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filterPrivacy="1"/>
  <xr:revisionPtr revIDLastSave="0" documentId="13_ncr:1_{88384D44-DE41-8949-A85E-AE9F601BFA59}" xr6:coauthVersionLast="47" xr6:coauthVersionMax="47" xr10:uidLastSave="{00000000-0000-0000-0000-000000000000}"/>
  <bookViews>
    <workbookView xWindow="0" yWindow="660" windowWidth="29400" windowHeight="16760" tabRatio="756" activeTab="1" xr2:uid="{00000000-000D-0000-FFFF-FFFF00000000}"/>
  </bookViews>
  <sheets>
    <sheet name="Source Results" sheetId="1" r:id="rId1"/>
    <sheet name="TL-Baseline Comparison" sheetId="12" r:id="rId2"/>
    <sheet name="Horns Rev" sheetId="3" r:id="rId3"/>
    <sheet name="Seagreen" sheetId="4" r:id="rId4"/>
    <sheet name="Gemini" sheetId="5" r:id="rId5"/>
    <sheet name="Hollandse_Noord" sheetId="6" r:id="rId6"/>
    <sheet name="Dieppe" sheetId="7" r:id="rId7"/>
    <sheet name="Moray Firth" sheetId="8" r:id="rId8"/>
    <sheet name="Kriegers" sheetId="9" r:id="rId9"/>
    <sheet name="East Anglia On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cwnZKD8420r8ElFKa5Ou6tTPux7qeNJ67Yq9zdZZwW4="/>
    </ext>
  </extLst>
</workbook>
</file>

<file path=xl/calcChain.xml><?xml version="1.0" encoding="utf-8"?>
<calcChain xmlns="http://schemas.openxmlformats.org/spreadsheetml/2006/main">
  <c r="E17" i="1" l="1"/>
  <c r="D17" i="1"/>
  <c r="K17" i="1"/>
  <c r="L17" i="1"/>
  <c r="C8" i="1"/>
  <c r="G17" i="1"/>
  <c r="O17" i="1"/>
  <c r="H17" i="1"/>
  <c r="C34" i="12"/>
  <c r="AP18" i="9"/>
  <c r="AH18" i="9"/>
  <c r="AT15" i="9"/>
  <c r="AT16" i="9"/>
  <c r="AT14" i="9"/>
  <c r="AT13" i="9"/>
  <c r="AT12" i="9"/>
  <c r="AT11" i="9"/>
  <c r="AT10" i="9"/>
  <c r="AT9" i="9"/>
  <c r="AP16" i="9"/>
  <c r="AP15" i="9"/>
  <c r="AP14" i="9"/>
  <c r="AP13" i="9"/>
  <c r="AP12" i="9"/>
  <c r="AP11" i="9"/>
  <c r="AP10" i="9"/>
  <c r="AP9" i="9"/>
  <c r="AL16" i="9"/>
  <c r="AL15" i="9"/>
  <c r="AL14" i="9"/>
  <c r="AL13" i="9"/>
  <c r="AL12" i="9"/>
  <c r="AL11" i="9"/>
  <c r="AL10" i="9"/>
  <c r="AL9" i="9"/>
  <c r="AH16" i="9"/>
  <c r="AH15" i="9"/>
  <c r="AH14" i="9"/>
  <c r="AH13" i="9"/>
  <c r="AH12" i="9"/>
  <c r="AH11" i="9"/>
  <c r="AH10" i="9"/>
  <c r="AH9" i="9"/>
  <c r="AD16" i="9"/>
  <c r="AD15" i="9"/>
  <c r="AD14" i="9"/>
  <c r="AD13" i="9"/>
  <c r="AD12" i="9"/>
  <c r="AD11" i="9"/>
  <c r="AD10" i="9"/>
  <c r="AD9" i="9"/>
  <c r="AT16" i="10"/>
  <c r="AT15" i="10"/>
  <c r="AT14" i="10"/>
  <c r="AT13" i="10"/>
  <c r="AT12" i="10"/>
  <c r="AT11" i="10"/>
  <c r="AT10" i="10"/>
  <c r="AT9" i="10"/>
  <c r="AP16" i="10"/>
  <c r="AP15" i="10"/>
  <c r="AP14" i="10"/>
  <c r="AP13" i="10"/>
  <c r="AF13" i="12" s="1"/>
  <c r="AP12" i="10"/>
  <c r="AP11" i="10"/>
  <c r="AP10" i="10"/>
  <c r="AP9" i="10"/>
  <c r="AL16" i="10"/>
  <c r="AL15" i="10"/>
  <c r="AL14" i="10"/>
  <c r="AL13" i="10"/>
  <c r="AL12" i="10"/>
  <c r="AL11" i="10"/>
  <c r="AL10" i="10"/>
  <c r="AL9" i="10"/>
  <c r="AH16" i="10"/>
  <c r="AH15" i="10"/>
  <c r="AH14" i="10"/>
  <c r="AH13" i="10"/>
  <c r="Z13" i="12" s="1"/>
  <c r="AH12" i="10"/>
  <c r="AH11" i="10"/>
  <c r="AH10" i="10"/>
  <c r="AH9" i="10"/>
  <c r="AD16" i="10"/>
  <c r="AD15" i="10"/>
  <c r="AD14" i="10"/>
  <c r="AD13" i="10"/>
  <c r="AD12" i="10"/>
  <c r="AD11" i="10"/>
  <c r="AD10" i="10"/>
  <c r="AD9" i="10"/>
  <c r="S73" i="10"/>
  <c r="S57" i="10"/>
  <c r="O73" i="10"/>
  <c r="O57" i="10"/>
  <c r="K73" i="10"/>
  <c r="K57" i="10"/>
  <c r="G73" i="10"/>
  <c r="G57" i="10"/>
  <c r="C73" i="10"/>
  <c r="C57" i="10"/>
  <c r="AH18" i="8"/>
  <c r="AT16" i="8"/>
  <c r="AR16" i="8"/>
  <c r="AQ16" i="8"/>
  <c r="AT15" i="8"/>
  <c r="AS15" i="8"/>
  <c r="AR15" i="8"/>
  <c r="AQ15" i="8"/>
  <c r="AT14" i="8"/>
  <c r="AR14" i="8"/>
  <c r="AQ14" i="8"/>
  <c r="AT13" i="8"/>
  <c r="AS13" i="8"/>
  <c r="AR13" i="8"/>
  <c r="AQ13" i="8"/>
  <c r="AT12" i="8"/>
  <c r="AR12" i="8"/>
  <c r="AQ12" i="8"/>
  <c r="AT11" i="8"/>
  <c r="AS11" i="8"/>
  <c r="AR11" i="8"/>
  <c r="AQ11" i="8"/>
  <c r="AT10" i="8"/>
  <c r="AR10" i="8"/>
  <c r="AQ10" i="8"/>
  <c r="AT9" i="8"/>
  <c r="AS9" i="8"/>
  <c r="AR9" i="8"/>
  <c r="AQ9" i="8"/>
  <c r="AP16" i="8"/>
  <c r="AN16" i="8"/>
  <c r="AM16" i="8"/>
  <c r="AP15" i="8"/>
  <c r="AN15" i="8"/>
  <c r="AM15" i="8"/>
  <c r="AP14" i="8"/>
  <c r="AN14" i="8"/>
  <c r="AM14" i="8"/>
  <c r="AP13" i="8"/>
  <c r="AO13" i="8"/>
  <c r="AN13" i="8"/>
  <c r="AM13" i="8"/>
  <c r="AP12" i="8"/>
  <c r="AN12" i="8"/>
  <c r="AM12" i="8"/>
  <c r="AP11" i="8"/>
  <c r="AN11" i="8"/>
  <c r="AM11" i="8"/>
  <c r="AP10" i="8"/>
  <c r="AN10" i="8"/>
  <c r="AM10" i="8"/>
  <c r="AP9" i="8"/>
  <c r="AN9" i="8"/>
  <c r="AM9" i="8"/>
  <c r="AL16" i="8"/>
  <c r="AJ16" i="8"/>
  <c r="AI16" i="8"/>
  <c r="AL15" i="8"/>
  <c r="AK15" i="8"/>
  <c r="AJ15" i="8"/>
  <c r="AI15" i="8"/>
  <c r="AL14" i="8"/>
  <c r="AJ14" i="8"/>
  <c r="AI14" i="8"/>
  <c r="AL13" i="8"/>
  <c r="AK13" i="8"/>
  <c r="AJ13" i="8"/>
  <c r="AI13" i="8"/>
  <c r="AL12" i="8"/>
  <c r="AJ12" i="8"/>
  <c r="AI12" i="8"/>
  <c r="AL11" i="8"/>
  <c r="AK11" i="8"/>
  <c r="AJ11" i="8"/>
  <c r="AI11" i="8"/>
  <c r="AL10" i="8"/>
  <c r="AJ10" i="8"/>
  <c r="AI10" i="8"/>
  <c r="AL9" i="8"/>
  <c r="AK9" i="8"/>
  <c r="AJ9" i="8"/>
  <c r="AI9" i="8"/>
  <c r="AH16" i="8"/>
  <c r="AF16" i="8"/>
  <c r="AE16" i="8"/>
  <c r="AH15" i="8"/>
  <c r="AG15" i="8"/>
  <c r="AF15" i="8"/>
  <c r="AE15" i="8"/>
  <c r="AH14" i="8"/>
  <c r="AF14" i="8"/>
  <c r="AE14" i="8"/>
  <c r="AH13" i="8"/>
  <c r="AF13" i="8"/>
  <c r="AE13" i="8"/>
  <c r="AH12" i="8"/>
  <c r="AF12" i="8"/>
  <c r="AE12" i="8"/>
  <c r="AH11" i="8"/>
  <c r="AF11" i="8"/>
  <c r="AE11" i="8"/>
  <c r="AH10" i="8"/>
  <c r="AF10" i="8"/>
  <c r="AE10" i="8"/>
  <c r="AH9" i="8"/>
  <c r="AF9" i="8"/>
  <c r="AE9" i="8"/>
  <c r="AD16" i="8"/>
  <c r="AD15" i="8"/>
  <c r="AD14" i="8"/>
  <c r="AD13" i="8"/>
  <c r="AD12" i="8"/>
  <c r="AD11" i="8"/>
  <c r="AD10" i="8"/>
  <c r="AD9" i="8"/>
  <c r="AB9" i="8"/>
  <c r="AA9" i="8"/>
  <c r="AD71" i="8"/>
  <c r="AD55" i="8"/>
  <c r="AH55" i="8"/>
  <c r="AH71" i="8"/>
  <c r="AL71" i="8"/>
  <c r="AL55" i="8"/>
  <c r="AP55" i="8"/>
  <c r="AP71" i="8"/>
  <c r="AT71" i="8"/>
  <c r="AT55" i="8"/>
  <c r="AT39" i="8"/>
  <c r="AT18" i="8" s="1"/>
  <c r="AP39" i="8"/>
  <c r="AP18" i="8" s="1"/>
  <c r="AL39" i="8"/>
  <c r="AL18" i="8" s="1"/>
  <c r="AH39" i="8"/>
  <c r="AD39" i="8"/>
  <c r="AD18" i="8" s="1"/>
  <c r="AG18" i="7"/>
  <c r="AS16" i="7"/>
  <c r="AS15" i="7"/>
  <c r="AS14" i="7"/>
  <c r="AS13" i="7"/>
  <c r="AS12" i="7"/>
  <c r="AS11" i="7"/>
  <c r="AS10" i="7"/>
  <c r="AS9" i="7"/>
  <c r="AO16" i="7"/>
  <c r="AO15" i="7"/>
  <c r="AO14" i="7"/>
  <c r="AO13" i="7"/>
  <c r="AO12" i="7"/>
  <c r="AO11" i="7"/>
  <c r="AO10" i="7"/>
  <c r="AO9" i="7"/>
  <c r="AK16" i="7"/>
  <c r="AK15" i="7"/>
  <c r="AK14" i="7"/>
  <c r="AK13" i="7"/>
  <c r="AK12" i="7"/>
  <c r="AK11" i="7"/>
  <c r="AK10" i="7"/>
  <c r="AK9" i="7"/>
  <c r="AG16" i="7"/>
  <c r="AG15" i="7"/>
  <c r="AG14" i="7"/>
  <c r="AG13" i="7"/>
  <c r="AG12" i="7"/>
  <c r="AG11" i="7"/>
  <c r="AG10" i="7"/>
  <c r="AG9" i="7"/>
  <c r="AC16" i="7"/>
  <c r="AC15" i="7"/>
  <c r="AC14" i="7"/>
  <c r="AC13" i="7"/>
  <c r="AC12" i="7"/>
  <c r="AC11" i="7"/>
  <c r="AC10" i="7"/>
  <c r="AC9" i="7"/>
  <c r="AA9" i="7"/>
  <c r="Z9" i="7"/>
  <c r="AT16" i="6"/>
  <c r="AS16" i="6"/>
  <c r="AR16" i="6"/>
  <c r="AQ16" i="6"/>
  <c r="AT15" i="6"/>
  <c r="AS15" i="6"/>
  <c r="AR15" i="6"/>
  <c r="AQ15" i="6"/>
  <c r="AT14" i="6"/>
  <c r="AS14" i="6"/>
  <c r="AR14" i="6"/>
  <c r="AQ14" i="6"/>
  <c r="AT13" i="6"/>
  <c r="AS13" i="6"/>
  <c r="AR13" i="6"/>
  <c r="AQ13" i="6"/>
  <c r="AT12" i="6"/>
  <c r="AS12" i="6"/>
  <c r="AR12" i="6"/>
  <c r="AQ12" i="6"/>
  <c r="AT11" i="6"/>
  <c r="AS11" i="6"/>
  <c r="AR11" i="6"/>
  <c r="AQ11" i="6"/>
  <c r="AT10" i="6"/>
  <c r="AS10" i="6"/>
  <c r="AR10" i="6"/>
  <c r="AQ10" i="6"/>
  <c r="AT9" i="6"/>
  <c r="AS9" i="6"/>
  <c r="AR9" i="6"/>
  <c r="AQ9" i="6"/>
  <c r="AP16" i="6"/>
  <c r="AO16" i="6"/>
  <c r="AN16" i="6"/>
  <c r="AM16" i="6"/>
  <c r="AP15" i="6"/>
  <c r="AO15" i="6"/>
  <c r="AN15" i="6"/>
  <c r="AM15" i="6"/>
  <c r="AP14" i="6"/>
  <c r="AO14" i="6"/>
  <c r="AN14" i="6"/>
  <c r="AM14" i="6"/>
  <c r="AP13" i="6"/>
  <c r="AO13" i="6"/>
  <c r="AN13" i="6"/>
  <c r="AM13" i="6"/>
  <c r="AP12" i="6"/>
  <c r="AO12" i="6"/>
  <c r="AN12" i="6"/>
  <c r="AM12" i="6"/>
  <c r="AP11" i="6"/>
  <c r="AO11" i="6"/>
  <c r="AN11" i="6"/>
  <c r="AM11" i="6"/>
  <c r="AP10" i="6"/>
  <c r="AO10" i="6"/>
  <c r="AN10" i="6"/>
  <c r="AM10" i="6"/>
  <c r="AP9" i="6"/>
  <c r="AO9" i="6"/>
  <c r="AN9" i="6"/>
  <c r="AM9" i="6"/>
  <c r="AL16" i="6"/>
  <c r="AK16" i="6"/>
  <c r="AJ16" i="6"/>
  <c r="AI16" i="6"/>
  <c r="AL15" i="6"/>
  <c r="AK15" i="6"/>
  <c r="AJ15" i="6"/>
  <c r="AI15" i="6"/>
  <c r="AL14" i="6"/>
  <c r="AK14" i="6"/>
  <c r="AJ14" i="6"/>
  <c r="AI14" i="6"/>
  <c r="AL13" i="6"/>
  <c r="AK13" i="6"/>
  <c r="AJ13" i="6"/>
  <c r="AI13" i="6"/>
  <c r="AL12" i="6"/>
  <c r="AK12" i="6"/>
  <c r="AJ12" i="6"/>
  <c r="AI12" i="6"/>
  <c r="AL11" i="6"/>
  <c r="AK11" i="6"/>
  <c r="AJ11" i="6"/>
  <c r="AI11" i="6"/>
  <c r="AL10" i="6"/>
  <c r="AK10" i="6"/>
  <c r="AJ10" i="6"/>
  <c r="AI10" i="6"/>
  <c r="AL9" i="6"/>
  <c r="AK9" i="6"/>
  <c r="AJ9" i="6"/>
  <c r="AI9" i="6"/>
  <c r="AH16" i="6"/>
  <c r="AG16" i="6"/>
  <c r="AF16" i="6"/>
  <c r="AE16" i="6"/>
  <c r="AH15" i="6"/>
  <c r="AG15" i="6"/>
  <c r="AF15" i="6"/>
  <c r="AE15" i="6"/>
  <c r="AH14" i="6"/>
  <c r="AG14" i="6"/>
  <c r="AF14" i="6"/>
  <c r="AE14" i="6"/>
  <c r="AH13" i="6"/>
  <c r="AG13" i="6"/>
  <c r="AF13" i="6"/>
  <c r="AE13" i="6"/>
  <c r="AH12" i="6"/>
  <c r="AG12" i="6"/>
  <c r="AF12" i="6"/>
  <c r="AE12" i="6"/>
  <c r="AH11" i="6"/>
  <c r="AG11" i="6"/>
  <c r="AF11" i="6"/>
  <c r="AE11" i="6"/>
  <c r="AH10" i="6"/>
  <c r="AG10" i="6"/>
  <c r="AF10" i="6"/>
  <c r="AE10" i="6"/>
  <c r="AH9" i="6"/>
  <c r="AG9" i="6"/>
  <c r="AF9" i="6"/>
  <c r="AE9" i="6"/>
  <c r="AT18" i="6"/>
  <c r="AS18" i="6"/>
  <c r="AR18" i="6"/>
  <c r="AP18" i="6"/>
  <c r="AO18" i="6"/>
  <c r="AN18" i="6"/>
  <c r="AL18" i="6"/>
  <c r="AK18" i="6"/>
  <c r="AJ18" i="6"/>
  <c r="AH18" i="6"/>
  <c r="AG18" i="6"/>
  <c r="AF18" i="6"/>
  <c r="AD18" i="6"/>
  <c r="AC18" i="6"/>
  <c r="AB18" i="6"/>
  <c r="AD16" i="6"/>
  <c r="AC16" i="6"/>
  <c r="AB16" i="6"/>
  <c r="AA16" i="6"/>
  <c r="AD15" i="6"/>
  <c r="AC15" i="6"/>
  <c r="AB15" i="6"/>
  <c r="AA15" i="6"/>
  <c r="AD14" i="6"/>
  <c r="AC14" i="6"/>
  <c r="AB14" i="6"/>
  <c r="AA14" i="6"/>
  <c r="AD13" i="6"/>
  <c r="AC13" i="6"/>
  <c r="AB13" i="6"/>
  <c r="AA13" i="6"/>
  <c r="AD12" i="6"/>
  <c r="AC12" i="6"/>
  <c r="AB12" i="6"/>
  <c r="AA12" i="6"/>
  <c r="AD11" i="6"/>
  <c r="AC11" i="6"/>
  <c r="AB11" i="6"/>
  <c r="AA11" i="6"/>
  <c r="AD10" i="6"/>
  <c r="AC10" i="6"/>
  <c r="AB10" i="6"/>
  <c r="AA10" i="6"/>
  <c r="AD9" i="6"/>
  <c r="AC9" i="6"/>
  <c r="AB9" i="6"/>
  <c r="AA9" i="6"/>
  <c r="Q18" i="6"/>
  <c r="O14" i="6"/>
  <c r="H18" i="6"/>
  <c r="AT16" i="5"/>
  <c r="AS16" i="5"/>
  <c r="AR16" i="5"/>
  <c r="AQ16" i="5"/>
  <c r="AT15" i="5"/>
  <c r="AS15" i="5"/>
  <c r="AR15" i="5"/>
  <c r="AQ15" i="5"/>
  <c r="AT14" i="5"/>
  <c r="AS14" i="5"/>
  <c r="AR14" i="5"/>
  <c r="AQ14" i="5"/>
  <c r="AT13" i="5"/>
  <c r="AS13" i="5"/>
  <c r="AR13" i="5"/>
  <c r="AQ13" i="5"/>
  <c r="AT12" i="5"/>
  <c r="AS12" i="5"/>
  <c r="AR12" i="5"/>
  <c r="AQ12" i="5"/>
  <c r="AT11" i="5"/>
  <c r="AS11" i="5"/>
  <c r="AR11" i="5"/>
  <c r="AQ11" i="5"/>
  <c r="AT10" i="5"/>
  <c r="AS10" i="5"/>
  <c r="AR10" i="5"/>
  <c r="AQ10" i="5"/>
  <c r="AT9" i="5"/>
  <c r="AS9" i="5"/>
  <c r="AR9" i="5"/>
  <c r="AQ9" i="5"/>
  <c r="AP16" i="5"/>
  <c r="AO16" i="5"/>
  <c r="AN16" i="5"/>
  <c r="AM16" i="5"/>
  <c r="AP15" i="5"/>
  <c r="AO15" i="5"/>
  <c r="AN15" i="5"/>
  <c r="AM15" i="5"/>
  <c r="AP14" i="5"/>
  <c r="AO14" i="5"/>
  <c r="AN14" i="5"/>
  <c r="AM14" i="5"/>
  <c r="AP13" i="5"/>
  <c r="AO13" i="5"/>
  <c r="AN13" i="5"/>
  <c r="AM13" i="5"/>
  <c r="AP12" i="5"/>
  <c r="AO12" i="5"/>
  <c r="AN12" i="5"/>
  <c r="AM12" i="5"/>
  <c r="AP11" i="5"/>
  <c r="AO11" i="5"/>
  <c r="AN11" i="5"/>
  <c r="AM11" i="5"/>
  <c r="AP10" i="5"/>
  <c r="AO10" i="5"/>
  <c r="AN10" i="5"/>
  <c r="AM10" i="5"/>
  <c r="AP9" i="5"/>
  <c r="AO9" i="5"/>
  <c r="AN9" i="5"/>
  <c r="AM9" i="5"/>
  <c r="AL16" i="5"/>
  <c r="AK16" i="5"/>
  <c r="AJ16" i="5"/>
  <c r="AI16" i="5"/>
  <c r="AL15" i="5"/>
  <c r="AK15" i="5"/>
  <c r="AJ15" i="5"/>
  <c r="AI15" i="5"/>
  <c r="AL14" i="5"/>
  <c r="AK14" i="5"/>
  <c r="AJ14" i="5"/>
  <c r="AI14" i="5"/>
  <c r="AL13" i="5"/>
  <c r="AK13" i="5"/>
  <c r="AJ13" i="5"/>
  <c r="AI13" i="5"/>
  <c r="AL12" i="5"/>
  <c r="AK12" i="5"/>
  <c r="AJ12" i="5"/>
  <c r="AI12" i="5"/>
  <c r="AL11" i="5"/>
  <c r="AK11" i="5"/>
  <c r="AJ11" i="5"/>
  <c r="AI11" i="5"/>
  <c r="AL10" i="5"/>
  <c r="AK10" i="5"/>
  <c r="AJ10" i="5"/>
  <c r="AI10" i="5"/>
  <c r="AL9" i="5"/>
  <c r="AK9" i="5"/>
  <c r="AJ9" i="5"/>
  <c r="AI9" i="5"/>
  <c r="AH16" i="5"/>
  <c r="AG16" i="5"/>
  <c r="AF16" i="5"/>
  <c r="AE16" i="5"/>
  <c r="AH15" i="5"/>
  <c r="AG15" i="5"/>
  <c r="AF15" i="5"/>
  <c r="AE15" i="5"/>
  <c r="AH14" i="5"/>
  <c r="AG14" i="5"/>
  <c r="AF14" i="5"/>
  <c r="AE14" i="5"/>
  <c r="AH13" i="5"/>
  <c r="AG13" i="5"/>
  <c r="AF13" i="5"/>
  <c r="AE13" i="5"/>
  <c r="AH12" i="5"/>
  <c r="AG12" i="5"/>
  <c r="AF12" i="5"/>
  <c r="AE12" i="5"/>
  <c r="AH11" i="5"/>
  <c r="AG11" i="5"/>
  <c r="AF11" i="5"/>
  <c r="AE11" i="5"/>
  <c r="AH10" i="5"/>
  <c r="AG10" i="5"/>
  <c r="AF10" i="5"/>
  <c r="AE10" i="5"/>
  <c r="AH9" i="5"/>
  <c r="AG9" i="5"/>
  <c r="AF9" i="5"/>
  <c r="AE9" i="5"/>
  <c r="AT18" i="5"/>
  <c r="AS18" i="5"/>
  <c r="AR18" i="5"/>
  <c r="AP18" i="5"/>
  <c r="AO18" i="5"/>
  <c r="AN18" i="5"/>
  <c r="AL18" i="5"/>
  <c r="AK18" i="5"/>
  <c r="AJ18" i="5"/>
  <c r="AH18" i="5"/>
  <c r="AG18" i="5"/>
  <c r="AF18" i="5"/>
  <c r="AD18" i="5"/>
  <c r="AC18" i="5"/>
  <c r="AB18" i="5"/>
  <c r="AD16" i="5"/>
  <c r="AC16" i="5"/>
  <c r="AB16" i="5"/>
  <c r="AA16" i="5"/>
  <c r="AD15" i="5"/>
  <c r="AC15" i="5"/>
  <c r="AB15" i="5"/>
  <c r="AA15" i="5"/>
  <c r="AD14" i="5"/>
  <c r="AC14" i="5"/>
  <c r="AB14" i="5"/>
  <c r="AA14" i="5"/>
  <c r="AD13" i="5"/>
  <c r="AC13" i="5"/>
  <c r="AB13" i="5"/>
  <c r="AA13" i="5"/>
  <c r="AD12" i="5"/>
  <c r="AC12" i="5"/>
  <c r="AB12" i="5"/>
  <c r="AA12" i="5"/>
  <c r="AD11" i="5"/>
  <c r="AC11" i="5"/>
  <c r="AB11" i="5"/>
  <c r="AA11" i="5"/>
  <c r="AD10" i="5"/>
  <c r="AC10" i="5"/>
  <c r="AB10" i="5"/>
  <c r="AA10" i="5"/>
  <c r="AD9" i="5"/>
  <c r="AC9" i="5"/>
  <c r="AB9" i="5"/>
  <c r="AA9" i="5"/>
  <c r="M18" i="5"/>
  <c r="L18" i="5"/>
  <c r="J18" i="5"/>
  <c r="I18" i="5"/>
  <c r="H18" i="5"/>
  <c r="F18" i="5"/>
  <c r="E18" i="5"/>
  <c r="D18" i="5"/>
  <c r="T20" i="4"/>
  <c r="P20" i="4"/>
  <c r="L20" i="4"/>
  <c r="H20" i="4"/>
  <c r="D20" i="4"/>
  <c r="AT16" i="4"/>
  <c r="AR16" i="4"/>
  <c r="AQ16" i="4"/>
  <c r="AT15" i="4"/>
  <c r="AR15" i="4"/>
  <c r="AQ15" i="4"/>
  <c r="AT14" i="4"/>
  <c r="AR14" i="4"/>
  <c r="AQ14" i="4"/>
  <c r="AT13" i="4"/>
  <c r="AR13" i="4"/>
  <c r="AQ13" i="4"/>
  <c r="AT12" i="4"/>
  <c r="AR12" i="4"/>
  <c r="AQ12" i="4"/>
  <c r="AT11" i="4"/>
  <c r="AR11" i="4"/>
  <c r="AQ11" i="4"/>
  <c r="AT10" i="4"/>
  <c r="AR10" i="4"/>
  <c r="AQ10" i="4"/>
  <c r="AT9" i="4"/>
  <c r="AR9" i="4"/>
  <c r="AQ9" i="4"/>
  <c r="AP16" i="4"/>
  <c r="AN16" i="4"/>
  <c r="AM16" i="4"/>
  <c r="AP15" i="4"/>
  <c r="AN15" i="4"/>
  <c r="AM15" i="4"/>
  <c r="AP14" i="4"/>
  <c r="AN14" i="4"/>
  <c r="AM14" i="4"/>
  <c r="AP13" i="4"/>
  <c r="AN13" i="4"/>
  <c r="AM13" i="4"/>
  <c r="AP12" i="4"/>
  <c r="AN12" i="4"/>
  <c r="AM12" i="4"/>
  <c r="AP11" i="4"/>
  <c r="AN11" i="4"/>
  <c r="AM11" i="4"/>
  <c r="AP10" i="4"/>
  <c r="AN10" i="4"/>
  <c r="AM10" i="4"/>
  <c r="AP9" i="4"/>
  <c r="AN9" i="4"/>
  <c r="AM9" i="4"/>
  <c r="AL16" i="4"/>
  <c r="AJ16" i="4"/>
  <c r="AI16" i="4"/>
  <c r="AL15" i="4"/>
  <c r="AJ15" i="4"/>
  <c r="AI15" i="4"/>
  <c r="AL14" i="4"/>
  <c r="AJ14" i="4"/>
  <c r="AI14" i="4"/>
  <c r="AL13" i="4"/>
  <c r="AJ13" i="4"/>
  <c r="AI13" i="4"/>
  <c r="AL12" i="4"/>
  <c r="AJ12" i="4"/>
  <c r="AI12" i="4"/>
  <c r="AL11" i="4"/>
  <c r="AJ11" i="4"/>
  <c r="AI11" i="4"/>
  <c r="AL10" i="4"/>
  <c r="AJ10" i="4"/>
  <c r="AI10" i="4"/>
  <c r="AL9" i="4"/>
  <c r="AJ9" i="4"/>
  <c r="AI9" i="4"/>
  <c r="AH16" i="4"/>
  <c r="AF16" i="4"/>
  <c r="AE16" i="4"/>
  <c r="AH15" i="4"/>
  <c r="AF15" i="4"/>
  <c r="AE15" i="4"/>
  <c r="AH14" i="4"/>
  <c r="AF14" i="4"/>
  <c r="AE14" i="4"/>
  <c r="AH13" i="4"/>
  <c r="AF13" i="4"/>
  <c r="AE13" i="4"/>
  <c r="AH12" i="4"/>
  <c r="AF12" i="4"/>
  <c r="AE12" i="4"/>
  <c r="AH11" i="4"/>
  <c r="AF11" i="4"/>
  <c r="AE11" i="4"/>
  <c r="AH10" i="4"/>
  <c r="AF10" i="4"/>
  <c r="AE10" i="4"/>
  <c r="AH9" i="4"/>
  <c r="AF9" i="4"/>
  <c r="AE9" i="4"/>
  <c r="AH18" i="4"/>
  <c r="AF18" i="4"/>
  <c r="AL18" i="4"/>
  <c r="AJ18" i="4"/>
  <c r="AP18" i="4"/>
  <c r="AN18" i="4"/>
  <c r="AT18" i="4"/>
  <c r="AR18" i="4"/>
  <c r="AD18" i="4"/>
  <c r="AB18" i="4"/>
  <c r="AD16" i="4"/>
  <c r="AB16" i="4"/>
  <c r="AA16" i="4"/>
  <c r="AD15" i="4"/>
  <c r="AB15" i="4"/>
  <c r="AA15" i="4"/>
  <c r="AD14" i="4"/>
  <c r="AB14" i="4"/>
  <c r="AA14" i="4"/>
  <c r="AD13" i="4"/>
  <c r="AB13" i="4"/>
  <c r="AA13" i="4"/>
  <c r="AD12" i="4"/>
  <c r="AB12" i="4"/>
  <c r="AA12" i="4"/>
  <c r="AD11" i="4"/>
  <c r="AB11" i="4"/>
  <c r="AA11" i="4"/>
  <c r="AD10" i="4"/>
  <c r="AB10" i="4"/>
  <c r="AA10" i="4"/>
  <c r="AD9" i="4"/>
  <c r="AB9" i="4"/>
  <c r="AA9" i="4"/>
  <c r="S9" i="4"/>
  <c r="T20" i="3"/>
  <c r="P20" i="3"/>
  <c r="L20" i="3"/>
  <c r="H20" i="3"/>
  <c r="D20" i="3"/>
  <c r="T18" i="3"/>
  <c r="Q14" i="3"/>
  <c r="M15" i="3"/>
  <c r="D18" i="3"/>
  <c r="C9" i="3"/>
  <c r="AQ14" i="3"/>
  <c r="AT18" i="3"/>
  <c r="AS18" i="3"/>
  <c r="AR18" i="3"/>
  <c r="AP18" i="3"/>
  <c r="AO18" i="3"/>
  <c r="AN18" i="3"/>
  <c r="AL18" i="3"/>
  <c r="AK18" i="3"/>
  <c r="AJ18" i="3"/>
  <c r="AH18" i="3"/>
  <c r="AG18" i="3"/>
  <c r="AF18" i="3"/>
  <c r="AT16" i="3"/>
  <c r="AS16" i="3"/>
  <c r="AR16" i="3"/>
  <c r="AQ16" i="3"/>
  <c r="AT15" i="3"/>
  <c r="AS15" i="3"/>
  <c r="AR15" i="3"/>
  <c r="AQ15" i="3"/>
  <c r="AT14" i="3"/>
  <c r="AS14" i="3"/>
  <c r="AR14" i="3"/>
  <c r="AT13" i="3"/>
  <c r="AS13" i="3"/>
  <c r="AR13" i="3"/>
  <c r="AQ13" i="3"/>
  <c r="AT12" i="3"/>
  <c r="AS12" i="3"/>
  <c r="AR12" i="3"/>
  <c r="AQ12" i="3"/>
  <c r="AT11" i="3"/>
  <c r="AS11" i="3"/>
  <c r="AR11" i="3"/>
  <c r="AQ11" i="3"/>
  <c r="AT10" i="3"/>
  <c r="AS10" i="3"/>
  <c r="AR10" i="3"/>
  <c r="AQ10" i="3"/>
  <c r="AT9" i="3"/>
  <c r="AS9" i="3"/>
  <c r="AR9" i="3"/>
  <c r="AQ9" i="3"/>
  <c r="AP16" i="3"/>
  <c r="AO16" i="3"/>
  <c r="AN16" i="3"/>
  <c r="AM16" i="3"/>
  <c r="AP15" i="3"/>
  <c r="AO15" i="3"/>
  <c r="AN15" i="3"/>
  <c r="AM15" i="3"/>
  <c r="AP14" i="3"/>
  <c r="AO14" i="3"/>
  <c r="AN14" i="3"/>
  <c r="AM14" i="3"/>
  <c r="AP13" i="3"/>
  <c r="AO13" i="3"/>
  <c r="AN13" i="3"/>
  <c r="AM13" i="3"/>
  <c r="AP12" i="3"/>
  <c r="AO12" i="3"/>
  <c r="AN12" i="3"/>
  <c r="AM12" i="3"/>
  <c r="AP11" i="3"/>
  <c r="AO11" i="3"/>
  <c r="AN11" i="3"/>
  <c r="AM11" i="3"/>
  <c r="AP10" i="3"/>
  <c r="AO10" i="3"/>
  <c r="AN10" i="3"/>
  <c r="AM10" i="3"/>
  <c r="AP9" i="3"/>
  <c r="AO9" i="3"/>
  <c r="AN9" i="3"/>
  <c r="AM9" i="3"/>
  <c r="AL16" i="3"/>
  <c r="AK16" i="3"/>
  <c r="AJ16" i="3"/>
  <c r="AI16" i="3"/>
  <c r="AL15" i="3"/>
  <c r="AK15" i="3"/>
  <c r="AJ15" i="3"/>
  <c r="AI15" i="3"/>
  <c r="AL14" i="3"/>
  <c r="AK14" i="3"/>
  <c r="AJ14" i="3"/>
  <c r="AI14" i="3"/>
  <c r="AL13" i="3"/>
  <c r="AK13" i="3"/>
  <c r="AJ13" i="3"/>
  <c r="AI13" i="3"/>
  <c r="AL12" i="3"/>
  <c r="AK12" i="3"/>
  <c r="AJ12" i="3"/>
  <c r="AI12" i="3"/>
  <c r="AL11" i="3"/>
  <c r="AK11" i="3"/>
  <c r="AJ11" i="3"/>
  <c r="AI11" i="3"/>
  <c r="AL10" i="3"/>
  <c r="AK10" i="3"/>
  <c r="AJ10" i="3"/>
  <c r="AI10" i="3"/>
  <c r="AL9" i="3"/>
  <c r="AK9" i="3"/>
  <c r="AJ9" i="3"/>
  <c r="AI9" i="3"/>
  <c r="AH16" i="3"/>
  <c r="AG16" i="3"/>
  <c r="AF16" i="3"/>
  <c r="AE16" i="3"/>
  <c r="AH15" i="3"/>
  <c r="AG15" i="3"/>
  <c r="AF15" i="3"/>
  <c r="AE15" i="3"/>
  <c r="AH14" i="3"/>
  <c r="AG14" i="3"/>
  <c r="AF14" i="3"/>
  <c r="AE14" i="3"/>
  <c r="AH13" i="3"/>
  <c r="AG13" i="3"/>
  <c r="AF13" i="3"/>
  <c r="AE13" i="3"/>
  <c r="AH12" i="3"/>
  <c r="AG12" i="3"/>
  <c r="AF12" i="3"/>
  <c r="AE12" i="3"/>
  <c r="AH11" i="3"/>
  <c r="AG11" i="3"/>
  <c r="AF11" i="3"/>
  <c r="AE11" i="3"/>
  <c r="AH10" i="3"/>
  <c r="AG10" i="3"/>
  <c r="AF10" i="3"/>
  <c r="AE10" i="3"/>
  <c r="AH9" i="3"/>
  <c r="AG9" i="3"/>
  <c r="AF9" i="3"/>
  <c r="AE9" i="3"/>
  <c r="AD18" i="3"/>
  <c r="AC18" i="3"/>
  <c r="AB18" i="3"/>
  <c r="AD16" i="3"/>
  <c r="AC16" i="3"/>
  <c r="AB16" i="3"/>
  <c r="AA16" i="3"/>
  <c r="AD15" i="3"/>
  <c r="AC15" i="3"/>
  <c r="AB15" i="3"/>
  <c r="AA15" i="3"/>
  <c r="AD14" i="3"/>
  <c r="AC14" i="3"/>
  <c r="AB14" i="3"/>
  <c r="AA14" i="3"/>
  <c r="AD13" i="3"/>
  <c r="AC13" i="3"/>
  <c r="AB13" i="3"/>
  <c r="AA13" i="3"/>
  <c r="AD12" i="3"/>
  <c r="AC12" i="3"/>
  <c r="AB12" i="3"/>
  <c r="AA12" i="3"/>
  <c r="AD11" i="3"/>
  <c r="AC11" i="3"/>
  <c r="AB11" i="3"/>
  <c r="AA11" i="3"/>
  <c r="AD10" i="3"/>
  <c r="AC10" i="3"/>
  <c r="AB10" i="3"/>
  <c r="AA10" i="3"/>
  <c r="AD9" i="3"/>
  <c r="AC9" i="3"/>
  <c r="AB9" i="3"/>
  <c r="AA9" i="3"/>
  <c r="AT69" i="6"/>
  <c r="AR69" i="6"/>
  <c r="AS67" i="6"/>
  <c r="AS66" i="6"/>
  <c r="AS65" i="6"/>
  <c r="AS64" i="6"/>
  <c r="AS63" i="6"/>
  <c r="AS62" i="6"/>
  <c r="AS61" i="6"/>
  <c r="AS60" i="6"/>
  <c r="AP69" i="6"/>
  <c r="AN69" i="6"/>
  <c r="AO67" i="6"/>
  <c r="AO66" i="6"/>
  <c r="AO65" i="6"/>
  <c r="AO64" i="6"/>
  <c r="AO63" i="6"/>
  <c r="AO62" i="6"/>
  <c r="AO61" i="6"/>
  <c r="AO60" i="6"/>
  <c r="AL69" i="6"/>
  <c r="AJ69" i="6"/>
  <c r="AK67" i="6"/>
  <c r="AK66" i="6"/>
  <c r="AK65" i="6"/>
  <c r="AK64" i="6"/>
  <c r="AK63" i="6"/>
  <c r="AK62" i="6"/>
  <c r="AK61" i="6"/>
  <c r="AK60" i="6"/>
  <c r="AH69" i="6"/>
  <c r="AF69" i="6"/>
  <c r="AG67" i="6"/>
  <c r="AG66" i="6"/>
  <c r="AG65" i="6"/>
  <c r="AG64" i="6"/>
  <c r="AG63" i="6"/>
  <c r="AG62" i="6"/>
  <c r="AG61" i="6"/>
  <c r="AG60" i="6"/>
  <c r="AD69" i="6"/>
  <c r="AB69" i="6"/>
  <c r="AC67" i="6"/>
  <c r="AC66" i="6"/>
  <c r="AC65" i="6"/>
  <c r="AC64" i="6"/>
  <c r="AC63" i="6"/>
  <c r="AC62" i="6"/>
  <c r="AC61" i="6"/>
  <c r="AC60" i="6"/>
  <c r="Q17" i="1"/>
  <c r="P17" i="1"/>
  <c r="AD71" i="10"/>
  <c r="AH71" i="10"/>
  <c r="AH18" i="10" s="1"/>
  <c r="AL71" i="10"/>
  <c r="AL18" i="10" s="1"/>
  <c r="AP71" i="10"/>
  <c r="AT71" i="10"/>
  <c r="AT55" i="10"/>
  <c r="AP55" i="10"/>
  <c r="AL55" i="10"/>
  <c r="AH55" i="10"/>
  <c r="AD55" i="10"/>
  <c r="AD71" i="9"/>
  <c r="AH71" i="9"/>
  <c r="AL71" i="9"/>
  <c r="AP71" i="9"/>
  <c r="AT71" i="9"/>
  <c r="AT55" i="9"/>
  <c r="AP55" i="9"/>
  <c r="AL55" i="9"/>
  <c r="AH55" i="9"/>
  <c r="AD55" i="9"/>
  <c r="AT53" i="6"/>
  <c r="AR53" i="6"/>
  <c r="AS51" i="6"/>
  <c r="AS50" i="6"/>
  <c r="AS49" i="6"/>
  <c r="AS48" i="6"/>
  <c r="AS47" i="6"/>
  <c r="AS46" i="6"/>
  <c r="AS45" i="6"/>
  <c r="AS44" i="6"/>
  <c r="AP53" i="6"/>
  <c r="AN53" i="6"/>
  <c r="AO51" i="6"/>
  <c r="AO50" i="6"/>
  <c r="AO49" i="6"/>
  <c r="AO48" i="6"/>
  <c r="AO47" i="6"/>
  <c r="AO46" i="6"/>
  <c r="AO45" i="6"/>
  <c r="AO44" i="6"/>
  <c r="AL53" i="6"/>
  <c r="AJ53" i="6"/>
  <c r="AK51" i="6"/>
  <c r="AK50" i="6"/>
  <c r="AK49" i="6"/>
  <c r="AK48" i="6"/>
  <c r="AK47" i="6"/>
  <c r="AK46" i="6"/>
  <c r="AK45" i="6"/>
  <c r="AK44" i="6"/>
  <c r="AH53" i="6"/>
  <c r="AF53" i="6"/>
  <c r="AG51" i="6"/>
  <c r="AG50" i="6"/>
  <c r="AG49" i="6"/>
  <c r="AG48" i="6"/>
  <c r="AG47" i="6"/>
  <c r="AG46" i="6"/>
  <c r="AG45" i="6"/>
  <c r="AG44" i="6"/>
  <c r="AD53" i="6"/>
  <c r="AB53" i="6"/>
  <c r="AC51" i="6"/>
  <c r="AC50" i="6"/>
  <c r="AC49" i="6"/>
  <c r="AC48" i="6"/>
  <c r="AC47" i="6"/>
  <c r="AC46" i="6"/>
  <c r="AC45" i="6"/>
  <c r="AC44" i="6"/>
  <c r="U46" i="4"/>
  <c r="AD69" i="3"/>
  <c r="AB69" i="3"/>
  <c r="AC67" i="3"/>
  <c r="AC66" i="3"/>
  <c r="AC65" i="3"/>
  <c r="AC64" i="3"/>
  <c r="AC63" i="3"/>
  <c r="AC62" i="3"/>
  <c r="AC61" i="3"/>
  <c r="AC60" i="3"/>
  <c r="AH69" i="3"/>
  <c r="AF69" i="3"/>
  <c r="AG67" i="3"/>
  <c r="AG66" i="3"/>
  <c r="AG65" i="3"/>
  <c r="AG64" i="3"/>
  <c r="AG63" i="3"/>
  <c r="AG62" i="3"/>
  <c r="AG61" i="3"/>
  <c r="AG60" i="3"/>
  <c r="AG69" i="3" s="1"/>
  <c r="AL69" i="3"/>
  <c r="AJ69" i="3"/>
  <c r="AK67" i="3"/>
  <c r="AK66" i="3"/>
  <c r="AK65" i="3"/>
  <c r="AK64" i="3"/>
  <c r="AK63" i="3"/>
  <c r="AK62" i="3"/>
  <c r="AK61" i="3"/>
  <c r="AK60" i="3"/>
  <c r="AP69" i="3"/>
  <c r="AN69" i="3"/>
  <c r="AO67" i="3"/>
  <c r="AO66" i="3"/>
  <c r="AO65" i="3"/>
  <c r="AO64" i="3"/>
  <c r="AO63" i="3"/>
  <c r="AO62" i="3"/>
  <c r="AO61" i="3"/>
  <c r="AO60" i="3"/>
  <c r="AT69" i="3"/>
  <c r="AR69" i="3"/>
  <c r="AS67" i="3"/>
  <c r="AS66" i="3"/>
  <c r="AS65" i="3"/>
  <c r="AS64" i="3"/>
  <c r="AS63" i="3"/>
  <c r="AS62" i="3"/>
  <c r="AS61" i="3"/>
  <c r="AS60" i="3"/>
  <c r="AT53" i="3"/>
  <c r="AR53" i="3"/>
  <c r="AS51" i="3"/>
  <c r="AS50" i="3"/>
  <c r="AS49" i="3"/>
  <c r="AS48" i="3"/>
  <c r="AS47" i="3"/>
  <c r="AS46" i="3"/>
  <c r="AS45" i="3"/>
  <c r="AS44" i="3"/>
  <c r="AP53" i="3"/>
  <c r="AN53" i="3"/>
  <c r="AO51" i="3"/>
  <c r="AO50" i="3"/>
  <c r="AO49" i="3"/>
  <c r="AO48" i="3"/>
  <c r="AO47" i="3"/>
  <c r="AO46" i="3"/>
  <c r="AO45" i="3"/>
  <c r="AO44" i="3"/>
  <c r="AL53" i="3"/>
  <c r="AJ53" i="3"/>
  <c r="AK51" i="3"/>
  <c r="AK50" i="3"/>
  <c r="AK49" i="3"/>
  <c r="AK48" i="3"/>
  <c r="AK47" i="3"/>
  <c r="AK46" i="3"/>
  <c r="AK45" i="3"/>
  <c r="AK44" i="3"/>
  <c r="AK53" i="3" s="1"/>
  <c r="AH53" i="3"/>
  <c r="AF53" i="3"/>
  <c r="AG51" i="3"/>
  <c r="AG50" i="3"/>
  <c r="AG49" i="3"/>
  <c r="AG48" i="3"/>
  <c r="AG47" i="3"/>
  <c r="AG46" i="3"/>
  <c r="AG45" i="3"/>
  <c r="AG44" i="3"/>
  <c r="AD53" i="3"/>
  <c r="AB53" i="3"/>
  <c r="AC51" i="3"/>
  <c r="AC50" i="3"/>
  <c r="AC49" i="3"/>
  <c r="AC48" i="3"/>
  <c r="AC47" i="3"/>
  <c r="AC46" i="3"/>
  <c r="AC45" i="3"/>
  <c r="AC44" i="3"/>
  <c r="AT38" i="3"/>
  <c r="AR38" i="3"/>
  <c r="AS36" i="3"/>
  <c r="AS35" i="3"/>
  <c r="AS34" i="3"/>
  <c r="AS33" i="3"/>
  <c r="AS32" i="3"/>
  <c r="AS31" i="3"/>
  <c r="AS30" i="3"/>
  <c r="AS29" i="3"/>
  <c r="AP38" i="3"/>
  <c r="AN38" i="3"/>
  <c r="AO36" i="3"/>
  <c r="AO35" i="3"/>
  <c r="AO34" i="3"/>
  <c r="AO33" i="3"/>
  <c r="AO32" i="3"/>
  <c r="AO31" i="3"/>
  <c r="AO30" i="3"/>
  <c r="AO29" i="3"/>
  <c r="AO38" i="3" s="1"/>
  <c r="AL38" i="3"/>
  <c r="AJ38" i="3"/>
  <c r="AK36" i="3"/>
  <c r="AK35" i="3"/>
  <c r="AK34" i="3"/>
  <c r="AK33" i="3"/>
  <c r="AK32" i="3"/>
  <c r="AK31" i="3"/>
  <c r="AK30" i="3"/>
  <c r="AK29" i="3"/>
  <c r="AH38" i="3"/>
  <c r="AF38" i="3"/>
  <c r="AG36" i="3"/>
  <c r="AG35" i="3"/>
  <c r="AG34" i="3"/>
  <c r="AG33" i="3"/>
  <c r="AG32" i="3"/>
  <c r="AG31" i="3"/>
  <c r="AG30" i="3"/>
  <c r="AG29" i="3"/>
  <c r="AB38" i="3"/>
  <c r="AD38" i="3"/>
  <c r="AC35" i="3"/>
  <c r="AC36" i="3"/>
  <c r="AC34" i="3"/>
  <c r="AC33" i="3"/>
  <c r="AC32" i="3"/>
  <c r="AC31" i="3"/>
  <c r="AC30" i="3"/>
  <c r="AC29" i="3"/>
  <c r="AD69" i="4"/>
  <c r="AB69" i="4"/>
  <c r="AC67" i="4"/>
  <c r="AC66" i="4"/>
  <c r="AC65" i="4"/>
  <c r="AC64" i="4"/>
  <c r="AC63" i="4"/>
  <c r="AC62" i="4"/>
  <c r="AC61" i="4"/>
  <c r="AC60" i="4"/>
  <c r="AH69" i="4"/>
  <c r="AF69" i="4"/>
  <c r="AG67" i="4"/>
  <c r="AG66" i="4"/>
  <c r="AG65" i="4"/>
  <c r="AG64" i="4"/>
  <c r="AG63" i="4"/>
  <c r="AG62" i="4"/>
  <c r="AG61" i="4"/>
  <c r="AG60" i="4"/>
  <c r="AL69" i="4"/>
  <c r="AJ69" i="4"/>
  <c r="AK67" i="4"/>
  <c r="AK66" i="4"/>
  <c r="AK65" i="4"/>
  <c r="AK64" i="4"/>
  <c r="AK63" i="4"/>
  <c r="AK62" i="4"/>
  <c r="AK61" i="4"/>
  <c r="AK60" i="4"/>
  <c r="AP69" i="4"/>
  <c r="AN69" i="4"/>
  <c r="AO67" i="4"/>
  <c r="AO66" i="4"/>
  <c r="AO65" i="4"/>
  <c r="AO64" i="4"/>
  <c r="AO63" i="4"/>
  <c r="AO62" i="4"/>
  <c r="AO61" i="4"/>
  <c r="AO60" i="4"/>
  <c r="AT69" i="4"/>
  <c r="AR69" i="4"/>
  <c r="AS67" i="4"/>
  <c r="AS66" i="4"/>
  <c r="AS65" i="4"/>
  <c r="AS64" i="4"/>
  <c r="AS63" i="4"/>
  <c r="AS62" i="4"/>
  <c r="AS61" i="4"/>
  <c r="AS60" i="4"/>
  <c r="AT53" i="4"/>
  <c r="AR53" i="4"/>
  <c r="AS51" i="4"/>
  <c r="AS50" i="4"/>
  <c r="AS49" i="4"/>
  <c r="AS48" i="4"/>
  <c r="AS47" i="4"/>
  <c r="AS46" i="4"/>
  <c r="AS45" i="4"/>
  <c r="AS44" i="4"/>
  <c r="AP53" i="4"/>
  <c r="AN53" i="4"/>
  <c r="AO51" i="4"/>
  <c r="AO50" i="4"/>
  <c r="AO49" i="4"/>
  <c r="AO48" i="4"/>
  <c r="AO47" i="4"/>
  <c r="AO46" i="4"/>
  <c r="AO45" i="4"/>
  <c r="AO44" i="4"/>
  <c r="AL53" i="4"/>
  <c r="AJ53" i="4"/>
  <c r="AK51" i="4"/>
  <c r="AK50" i="4"/>
  <c r="AK49" i="4"/>
  <c r="AK48" i="4"/>
  <c r="AK47" i="4"/>
  <c r="AK46" i="4"/>
  <c r="AK45" i="4"/>
  <c r="AK44" i="4"/>
  <c r="AH53" i="4"/>
  <c r="AF53" i="4"/>
  <c r="AG51" i="4"/>
  <c r="AG50" i="4"/>
  <c r="AG49" i="4"/>
  <c r="AG48" i="4"/>
  <c r="AG47" i="4"/>
  <c r="AG46" i="4"/>
  <c r="AG45" i="4"/>
  <c r="AG44" i="4"/>
  <c r="AD53" i="4"/>
  <c r="AB53" i="4"/>
  <c r="AC51" i="4"/>
  <c r="AC50" i="4"/>
  <c r="AC49" i="4"/>
  <c r="AC48" i="4"/>
  <c r="AC47" i="4"/>
  <c r="AC46" i="4"/>
  <c r="AC45" i="4"/>
  <c r="AC44" i="4"/>
  <c r="AT38" i="4"/>
  <c r="AR38" i="4"/>
  <c r="AS36" i="4"/>
  <c r="AS16" i="4" s="1"/>
  <c r="AS35" i="4"/>
  <c r="AS15" i="4" s="1"/>
  <c r="AS34" i="4"/>
  <c r="AS33" i="4"/>
  <c r="AS13" i="4" s="1"/>
  <c r="AS32" i="4"/>
  <c r="AS31" i="4"/>
  <c r="AS11" i="4" s="1"/>
  <c r="AS30" i="4"/>
  <c r="AS29" i="4"/>
  <c r="AS9" i="4" s="1"/>
  <c r="AP38" i="4"/>
  <c r="AN38" i="4"/>
  <c r="AO36" i="4"/>
  <c r="AO35" i="4"/>
  <c r="AO15" i="4" s="1"/>
  <c r="AO34" i="4"/>
  <c r="AO14" i="4" s="1"/>
  <c r="AO33" i="4"/>
  <c r="AO13" i="4" s="1"/>
  <c r="AO32" i="4"/>
  <c r="AO12" i="4" s="1"/>
  <c r="AO31" i="4"/>
  <c r="AO11" i="4" s="1"/>
  <c r="AO30" i="4"/>
  <c r="AO10" i="4" s="1"/>
  <c r="AO29" i="4"/>
  <c r="AO9" i="4" s="1"/>
  <c r="AL38" i="4"/>
  <c r="AJ38" i="4"/>
  <c r="AK36" i="4"/>
  <c r="AK35" i="4"/>
  <c r="AK15" i="4" s="1"/>
  <c r="AK34" i="4"/>
  <c r="AK14" i="4" s="1"/>
  <c r="AK33" i="4"/>
  <c r="AK13" i="4" s="1"/>
  <c r="AK32" i="4"/>
  <c r="AK12" i="4" s="1"/>
  <c r="AK31" i="4"/>
  <c r="AK11" i="4" s="1"/>
  <c r="AK30" i="4"/>
  <c r="AK29" i="4"/>
  <c r="AK9" i="4" s="1"/>
  <c r="AH38" i="4"/>
  <c r="AF38" i="4"/>
  <c r="AG36" i="4"/>
  <c r="AG16" i="4" s="1"/>
  <c r="AG35" i="4"/>
  <c r="AG15" i="4" s="1"/>
  <c r="AG34" i="4"/>
  <c r="AG14" i="4" s="1"/>
  <c r="AG33" i="4"/>
  <c r="AG13" i="4" s="1"/>
  <c r="AG32" i="4"/>
  <c r="AG31" i="4"/>
  <c r="AG11" i="4" s="1"/>
  <c r="AG30" i="4"/>
  <c r="AG10" i="4" s="1"/>
  <c r="AG29" i="4"/>
  <c r="AG9" i="4" s="1"/>
  <c r="AD38" i="4"/>
  <c r="AB38" i="4"/>
  <c r="AC36" i="4"/>
  <c r="AC16" i="4" s="1"/>
  <c r="AC35" i="4"/>
  <c r="AC15" i="4" s="1"/>
  <c r="AC34" i="4"/>
  <c r="AC33" i="4"/>
  <c r="AC13" i="4" s="1"/>
  <c r="AC32" i="4"/>
  <c r="AC31" i="4"/>
  <c r="AC11" i="4" s="1"/>
  <c r="AC30" i="4"/>
  <c r="AC10" i="4" s="1"/>
  <c r="AC29" i="4"/>
  <c r="AC9" i="4" s="1"/>
  <c r="AD69" i="5"/>
  <c r="AB69" i="5"/>
  <c r="AC67" i="5"/>
  <c r="AC66" i="5"/>
  <c r="AC65" i="5"/>
  <c r="AC64" i="5"/>
  <c r="AC63" i="5"/>
  <c r="AC62" i="5"/>
  <c r="AC61" i="5"/>
  <c r="AC60" i="5"/>
  <c r="AH69" i="5"/>
  <c r="AF69" i="5"/>
  <c r="AG67" i="5"/>
  <c r="AG66" i="5"/>
  <c r="AG65" i="5"/>
  <c r="AG64" i="5"/>
  <c r="AG63" i="5"/>
  <c r="AG62" i="5"/>
  <c r="AG61" i="5"/>
  <c r="AG60" i="5"/>
  <c r="AL69" i="5"/>
  <c r="AJ69" i="5"/>
  <c r="AK67" i="5"/>
  <c r="AK66" i="5"/>
  <c r="AK65" i="5"/>
  <c r="AK64" i="5"/>
  <c r="AK63" i="5"/>
  <c r="AK62" i="5"/>
  <c r="AK61" i="5"/>
  <c r="AK60" i="5"/>
  <c r="AK69" i="5" s="1"/>
  <c r="AP69" i="5"/>
  <c r="AN69" i="5"/>
  <c r="AO67" i="5"/>
  <c r="AO66" i="5"/>
  <c r="AO65" i="5"/>
  <c r="AO64" i="5"/>
  <c r="AO63" i="5"/>
  <c r="AO62" i="5"/>
  <c r="AO61" i="5"/>
  <c r="AO60" i="5"/>
  <c r="AT69" i="5"/>
  <c r="AR69" i="5"/>
  <c r="AS67" i="5"/>
  <c r="AS66" i="5"/>
  <c r="AS65" i="5"/>
  <c r="AS64" i="5"/>
  <c r="AS63" i="5"/>
  <c r="AS62" i="5"/>
  <c r="AS61" i="5"/>
  <c r="AS60" i="5"/>
  <c r="AT53" i="5"/>
  <c r="AR53" i="5"/>
  <c r="AS51" i="5"/>
  <c r="AS50" i="5"/>
  <c r="AS49" i="5"/>
  <c r="AS48" i="5"/>
  <c r="AS47" i="5"/>
  <c r="AS46" i="5"/>
  <c r="AS45" i="5"/>
  <c r="AS44" i="5"/>
  <c r="AP53" i="5"/>
  <c r="AN53" i="5"/>
  <c r="AO51" i="5"/>
  <c r="AO50" i="5"/>
  <c r="AO49" i="5"/>
  <c r="AO48" i="5"/>
  <c r="AO47" i="5"/>
  <c r="AO46" i="5"/>
  <c r="AO45" i="5"/>
  <c r="AO44" i="5"/>
  <c r="AL53" i="5"/>
  <c r="AJ53" i="5"/>
  <c r="AK51" i="5"/>
  <c r="AK50" i="5"/>
  <c r="AK49" i="5"/>
  <c r="AK48" i="5"/>
  <c r="AK47" i="5"/>
  <c r="AK46" i="5"/>
  <c r="AK45" i="5"/>
  <c r="AK53" i="5" s="1"/>
  <c r="AK44" i="5"/>
  <c r="AH53" i="5"/>
  <c r="AF53" i="5"/>
  <c r="AG51" i="5"/>
  <c r="AG50" i="5"/>
  <c r="AG49" i="5"/>
  <c r="AG48" i="5"/>
  <c r="AG47" i="5"/>
  <c r="AG46" i="5"/>
  <c r="AG45" i="5"/>
  <c r="AG44" i="5"/>
  <c r="AD53" i="5"/>
  <c r="AB53" i="5"/>
  <c r="AC51" i="5"/>
  <c r="AC50" i="5"/>
  <c r="AC49" i="5"/>
  <c r="AC48" i="5"/>
  <c r="AC47" i="5"/>
  <c r="AC46" i="5"/>
  <c r="AC45" i="5"/>
  <c r="AC44" i="5"/>
  <c r="AT38" i="5"/>
  <c r="AR38" i="5"/>
  <c r="AP38" i="5"/>
  <c r="AN38" i="5"/>
  <c r="AL38" i="5"/>
  <c r="AJ38" i="5"/>
  <c r="AH38" i="5"/>
  <c r="AF38" i="5"/>
  <c r="AD38" i="5"/>
  <c r="AB38" i="5"/>
  <c r="AS36" i="5"/>
  <c r="AS35" i="5"/>
  <c r="AS34" i="5"/>
  <c r="AS33" i="5"/>
  <c r="AS32" i="5"/>
  <c r="AS31" i="5"/>
  <c r="AS30" i="5"/>
  <c r="AS29" i="5"/>
  <c r="AO36" i="5"/>
  <c r="AO35" i="5"/>
  <c r="AO34" i="5"/>
  <c r="AO33" i="5"/>
  <c r="AO32" i="5"/>
  <c r="AO31" i="5"/>
  <c r="AO30" i="5"/>
  <c r="AO29" i="5"/>
  <c r="AK36" i="5"/>
  <c r="AK35" i="5"/>
  <c r="AK34" i="5"/>
  <c r="AK33" i="5"/>
  <c r="AK32" i="5"/>
  <c r="AK31" i="5"/>
  <c r="AK30" i="5"/>
  <c r="AK29" i="5"/>
  <c r="AG36" i="5"/>
  <c r="AG35" i="5"/>
  <c r="AG34" i="5"/>
  <c r="AG33" i="5"/>
  <c r="AG32" i="5"/>
  <c r="AG31" i="5"/>
  <c r="AG30" i="5"/>
  <c r="AG29" i="5"/>
  <c r="AC36" i="5"/>
  <c r="AC35" i="5"/>
  <c r="AC34" i="5"/>
  <c r="AC33" i="5"/>
  <c r="AC32" i="5"/>
  <c r="AC31" i="5"/>
  <c r="AC30" i="5"/>
  <c r="AC29" i="5"/>
  <c r="M17" i="1"/>
  <c r="I17" i="1"/>
  <c r="AT38" i="6"/>
  <c r="AR38" i="6"/>
  <c r="AP38" i="6"/>
  <c r="AN38" i="6"/>
  <c r="AL38" i="6"/>
  <c r="AJ38" i="6"/>
  <c r="AH38" i="6"/>
  <c r="AD38" i="6"/>
  <c r="AB38" i="6"/>
  <c r="AF38" i="6"/>
  <c r="AS36" i="6"/>
  <c r="AS35" i="6"/>
  <c r="AS34" i="6"/>
  <c r="AS33" i="6"/>
  <c r="AS32" i="6"/>
  <c r="AS31" i="6"/>
  <c r="AS30" i="6"/>
  <c r="AS29" i="6"/>
  <c r="AO36" i="6"/>
  <c r="AO35" i="6"/>
  <c r="AO38" i="6" s="1"/>
  <c r="AO34" i="6"/>
  <c r="AO33" i="6"/>
  <c r="AO32" i="6"/>
  <c r="AO31" i="6"/>
  <c r="AO30" i="6"/>
  <c r="AO29" i="6"/>
  <c r="AK36" i="6"/>
  <c r="AK35" i="6"/>
  <c r="AK38" i="6" s="1"/>
  <c r="AK34" i="6"/>
  <c r="AK33" i="6"/>
  <c r="AK32" i="6"/>
  <c r="AK31" i="6"/>
  <c r="AK30" i="6"/>
  <c r="AK29" i="6"/>
  <c r="AG36" i="6"/>
  <c r="AG35" i="6"/>
  <c r="AG34" i="6"/>
  <c r="AG33" i="6"/>
  <c r="AG32" i="6"/>
  <c r="AG31" i="6"/>
  <c r="AG30" i="6"/>
  <c r="AG29" i="6"/>
  <c r="AC36" i="6"/>
  <c r="AC35" i="6"/>
  <c r="AC34" i="6"/>
  <c r="AC33" i="6"/>
  <c r="AC32" i="6"/>
  <c r="AC31" i="6"/>
  <c r="AC30" i="6"/>
  <c r="AC29" i="6"/>
  <c r="U31" i="8"/>
  <c r="AT39" i="9"/>
  <c r="AT18" i="9" s="1"/>
  <c r="AP39" i="9"/>
  <c r="AL39" i="9"/>
  <c r="AL18" i="9" s="1"/>
  <c r="AH39" i="9"/>
  <c r="AD39" i="9"/>
  <c r="AD18" i="9" s="1"/>
  <c r="AT40" i="10"/>
  <c r="AT18" i="10" s="1"/>
  <c r="AP40" i="10"/>
  <c r="AP18" i="10" s="1"/>
  <c r="AL40" i="10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AS33" i="10"/>
  <c r="AS32" i="10"/>
  <c r="AS31" i="10"/>
  <c r="AH40" i="10"/>
  <c r="AD40" i="10"/>
  <c r="AD18" i="10" s="1"/>
  <c r="N71" i="10"/>
  <c r="AP60" i="12"/>
  <c r="AO60" i="12"/>
  <c r="AN60" i="12"/>
  <c r="AM60" i="12"/>
  <c r="AL60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AP58" i="12"/>
  <c r="AO58" i="12"/>
  <c r="AN58" i="12"/>
  <c r="AM58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AS39" i="7"/>
  <c r="AS18" i="7" s="1"/>
  <c r="AR69" i="7"/>
  <c r="AR68" i="7"/>
  <c r="AR67" i="7"/>
  <c r="AR66" i="7"/>
  <c r="AR65" i="7"/>
  <c r="AR64" i="7"/>
  <c r="AR63" i="7"/>
  <c r="AR62" i="7"/>
  <c r="AN69" i="7"/>
  <c r="AN68" i="7"/>
  <c r="AN67" i="7"/>
  <c r="AN66" i="7"/>
  <c r="AN65" i="7"/>
  <c r="AN64" i="7"/>
  <c r="AN63" i="7"/>
  <c r="AN62" i="7"/>
  <c r="AJ69" i="7"/>
  <c r="AJ68" i="7"/>
  <c r="AJ67" i="7"/>
  <c r="AJ66" i="7"/>
  <c r="AJ65" i="7"/>
  <c r="AJ64" i="7"/>
  <c r="AJ63" i="7"/>
  <c r="AJ62" i="7"/>
  <c r="AF69" i="7"/>
  <c r="AF68" i="7"/>
  <c r="AF67" i="7"/>
  <c r="AF66" i="7"/>
  <c r="AF65" i="7"/>
  <c r="AF64" i="7"/>
  <c r="AF63" i="7"/>
  <c r="AF62" i="7"/>
  <c r="AB69" i="7"/>
  <c r="AB68" i="7"/>
  <c r="AB67" i="7"/>
  <c r="AB66" i="7"/>
  <c r="AB65" i="7"/>
  <c r="AB64" i="7"/>
  <c r="AB63" i="7"/>
  <c r="AB62" i="7"/>
  <c r="AR53" i="7"/>
  <c r="AR52" i="7"/>
  <c r="AR51" i="7"/>
  <c r="AR50" i="7"/>
  <c r="AR49" i="7"/>
  <c r="AR48" i="7"/>
  <c r="AR47" i="7"/>
  <c r="AR46" i="7"/>
  <c r="AN53" i="7"/>
  <c r="AN52" i="7"/>
  <c r="AN51" i="7"/>
  <c r="AN50" i="7"/>
  <c r="AN49" i="7"/>
  <c r="AN48" i="7"/>
  <c r="AN47" i="7"/>
  <c r="AN46" i="7"/>
  <c r="AJ53" i="7"/>
  <c r="AJ52" i="7"/>
  <c r="AJ51" i="7"/>
  <c r="AJ50" i="7"/>
  <c r="AJ49" i="7"/>
  <c r="AJ48" i="7"/>
  <c r="AJ47" i="7"/>
  <c r="AJ46" i="7"/>
  <c r="AF53" i="7"/>
  <c r="AF52" i="7"/>
  <c r="AF51" i="7"/>
  <c r="AF50" i="7"/>
  <c r="AF49" i="7"/>
  <c r="AF48" i="7"/>
  <c r="AF47" i="7"/>
  <c r="AF46" i="7"/>
  <c r="AB53" i="7"/>
  <c r="AB52" i="7"/>
  <c r="AB51" i="7"/>
  <c r="AB50" i="7"/>
  <c r="AB49" i="7"/>
  <c r="AB48" i="7"/>
  <c r="AB47" i="7"/>
  <c r="AB46" i="7"/>
  <c r="AR37" i="7"/>
  <c r="AR36" i="7"/>
  <c r="AR35" i="7"/>
  <c r="AR34" i="7"/>
  <c r="AR33" i="7"/>
  <c r="AR12" i="7" s="1"/>
  <c r="AR32" i="7"/>
  <c r="AR31" i="7"/>
  <c r="AR30" i="7"/>
  <c r="AN37" i="7"/>
  <c r="AN16" i="7" s="1"/>
  <c r="AN36" i="7"/>
  <c r="AN35" i="7"/>
  <c r="AN34" i="7"/>
  <c r="AN33" i="7"/>
  <c r="AN32" i="7"/>
  <c r="AN31" i="7"/>
  <c r="AN10" i="7" s="1"/>
  <c r="AN30" i="7"/>
  <c r="AJ37" i="7"/>
  <c r="AJ36" i="7"/>
  <c r="AJ15" i="7" s="1"/>
  <c r="AJ35" i="7"/>
  <c r="AJ34" i="7"/>
  <c r="AJ33" i="7"/>
  <c r="AJ32" i="7"/>
  <c r="AJ31" i="7"/>
  <c r="AJ30" i="7"/>
  <c r="AJ9" i="7" s="1"/>
  <c r="AF37" i="7"/>
  <c r="AF36" i="7"/>
  <c r="AF15" i="7" s="1"/>
  <c r="AF35" i="7"/>
  <c r="AF14" i="7" s="1"/>
  <c r="AF34" i="7"/>
  <c r="AF33" i="7"/>
  <c r="AF32" i="7"/>
  <c r="AF31" i="7"/>
  <c r="AF10" i="7" s="1"/>
  <c r="AF30" i="7"/>
  <c r="AQ16" i="7"/>
  <c r="AP16" i="7"/>
  <c r="AM16" i="7"/>
  <c r="AL16" i="7"/>
  <c r="AI16" i="7"/>
  <c r="AH16" i="7"/>
  <c r="AE16" i="7"/>
  <c r="AD16" i="7"/>
  <c r="AA16" i="7"/>
  <c r="Z16" i="7"/>
  <c r="AQ15" i="7"/>
  <c r="AP15" i="7"/>
  <c r="AM15" i="7"/>
  <c r="AL15" i="7"/>
  <c r="AI15" i="7"/>
  <c r="AH15" i="7"/>
  <c r="AE15" i="7"/>
  <c r="AD15" i="7"/>
  <c r="AA15" i="7"/>
  <c r="Z15" i="7"/>
  <c r="AQ14" i="7"/>
  <c r="AP14" i="7"/>
  <c r="AM14" i="7"/>
  <c r="AL14" i="7"/>
  <c r="AJ14" i="7"/>
  <c r="AI14" i="7"/>
  <c r="AH14" i="7"/>
  <c r="AE14" i="7"/>
  <c r="AD14" i="7"/>
  <c r="AA14" i="7"/>
  <c r="Z14" i="7"/>
  <c r="AQ13" i="7"/>
  <c r="AP13" i="7"/>
  <c r="AM13" i="7"/>
  <c r="AL13" i="7"/>
  <c r="AI13" i="7"/>
  <c r="AH13" i="7"/>
  <c r="AE13" i="7"/>
  <c r="AD13" i="7"/>
  <c r="AA13" i="7"/>
  <c r="Z13" i="7"/>
  <c r="AQ12" i="7"/>
  <c r="AP12" i="7"/>
  <c r="AM12" i="7"/>
  <c r="AL12" i="7"/>
  <c r="AI12" i="7"/>
  <c r="AH12" i="7"/>
  <c r="AE12" i="7"/>
  <c r="AD12" i="7"/>
  <c r="AA12" i="7"/>
  <c r="Z12" i="7"/>
  <c r="AQ11" i="7"/>
  <c r="AP11" i="7"/>
  <c r="AM11" i="7"/>
  <c r="AL11" i="7"/>
  <c r="AI11" i="7"/>
  <c r="AH11" i="7"/>
  <c r="AE11" i="7"/>
  <c r="AD11" i="7"/>
  <c r="AA11" i="7"/>
  <c r="Z11" i="7"/>
  <c r="AQ10" i="7"/>
  <c r="AP10" i="7"/>
  <c r="AM10" i="7"/>
  <c r="AL10" i="7"/>
  <c r="AI10" i="7"/>
  <c r="AH10" i="7"/>
  <c r="AE10" i="7"/>
  <c r="AD10" i="7"/>
  <c r="AA10" i="7"/>
  <c r="Z10" i="7"/>
  <c r="AQ9" i="7"/>
  <c r="AP9" i="7"/>
  <c r="AM9" i="7"/>
  <c r="AL9" i="7"/>
  <c r="AI9" i="7"/>
  <c r="AH9" i="7"/>
  <c r="AE9" i="7"/>
  <c r="AD9" i="7"/>
  <c r="AS71" i="7"/>
  <c r="AQ71" i="7"/>
  <c r="AO71" i="7"/>
  <c r="AM71" i="7"/>
  <c r="AK71" i="7"/>
  <c r="AI71" i="7"/>
  <c r="AG71" i="7"/>
  <c r="AE71" i="7"/>
  <c r="AC71" i="7"/>
  <c r="AA71" i="7"/>
  <c r="AP57" i="7"/>
  <c r="AL57" i="7"/>
  <c r="AH57" i="7"/>
  <c r="AD57" i="7"/>
  <c r="Z57" i="7"/>
  <c r="AS55" i="7"/>
  <c r="AQ55" i="7"/>
  <c r="AO55" i="7"/>
  <c r="AM55" i="7"/>
  <c r="AK55" i="7"/>
  <c r="AI55" i="7"/>
  <c r="AG55" i="7"/>
  <c r="AE55" i="7"/>
  <c r="AC55" i="7"/>
  <c r="AA55" i="7"/>
  <c r="AP41" i="7"/>
  <c r="AL41" i="7"/>
  <c r="AH41" i="7"/>
  <c r="AD41" i="7"/>
  <c r="Z41" i="7"/>
  <c r="AQ39" i="7"/>
  <c r="AQ18" i="7" s="1"/>
  <c r="AO39" i="7"/>
  <c r="AO18" i="7" s="1"/>
  <c r="AM39" i="7"/>
  <c r="AM18" i="7" s="1"/>
  <c r="AK39" i="7"/>
  <c r="AK18" i="7" s="1"/>
  <c r="AI39" i="7"/>
  <c r="AI18" i="7" s="1"/>
  <c r="AG39" i="7"/>
  <c r="AE39" i="7"/>
  <c r="AE18" i="7" s="1"/>
  <c r="AC39" i="7"/>
  <c r="AC18" i="7" s="1"/>
  <c r="AA39" i="7"/>
  <c r="AA18" i="7" s="1"/>
  <c r="AB37" i="7"/>
  <c r="AB16" i="7" s="1"/>
  <c r="AB36" i="7"/>
  <c r="AB35" i="7"/>
  <c r="AB34" i="7"/>
  <c r="AB33" i="7"/>
  <c r="AB32" i="7"/>
  <c r="AB31" i="7"/>
  <c r="AB30" i="7"/>
  <c r="AB9" i="7" s="1"/>
  <c r="AB16" i="8"/>
  <c r="AA16" i="8"/>
  <c r="AB15" i="8"/>
  <c r="AA15" i="8"/>
  <c r="AB14" i="8"/>
  <c r="AA14" i="8"/>
  <c r="AB13" i="8"/>
  <c r="AA13" i="8"/>
  <c r="AB12" i="8"/>
  <c r="AA12" i="8"/>
  <c r="AB11" i="8"/>
  <c r="AA11" i="8"/>
  <c r="AB10" i="8"/>
  <c r="AA10" i="8"/>
  <c r="AR71" i="8"/>
  <c r="AN71" i="8"/>
  <c r="AJ71" i="8"/>
  <c r="AF71" i="8"/>
  <c r="AB71" i="8"/>
  <c r="AS69" i="8"/>
  <c r="AO69" i="8"/>
  <c r="AK69" i="8"/>
  <c r="AG69" i="8"/>
  <c r="AC69" i="8"/>
  <c r="AS68" i="8"/>
  <c r="AO68" i="8"/>
  <c r="AO15" i="8" s="1"/>
  <c r="AK68" i="8"/>
  <c r="AG68" i="8"/>
  <c r="AC68" i="8"/>
  <c r="AS67" i="8"/>
  <c r="AO67" i="8"/>
  <c r="AK67" i="8"/>
  <c r="AG67" i="8"/>
  <c r="AC67" i="8"/>
  <c r="AS66" i="8"/>
  <c r="AO66" i="8"/>
  <c r="AK66" i="8"/>
  <c r="AG66" i="8"/>
  <c r="AC66" i="8"/>
  <c r="AS65" i="8"/>
  <c r="AO65" i="8"/>
  <c r="AK65" i="8"/>
  <c r="AG65" i="8"/>
  <c r="AC65" i="8"/>
  <c r="AS64" i="8"/>
  <c r="AO64" i="8"/>
  <c r="AK64" i="8"/>
  <c r="AG64" i="8"/>
  <c r="AC64" i="8"/>
  <c r="AS63" i="8"/>
  <c r="AO63" i="8"/>
  <c r="AK63" i="8"/>
  <c r="AG63" i="8"/>
  <c r="AC63" i="8"/>
  <c r="AS62" i="8"/>
  <c r="AO62" i="8"/>
  <c r="AK62" i="8"/>
  <c r="AG62" i="8"/>
  <c r="AG9" i="8" s="1"/>
  <c r="AC62" i="8"/>
  <c r="AQ57" i="8"/>
  <c r="AM57" i="8"/>
  <c r="AI57" i="8"/>
  <c r="AE57" i="8"/>
  <c r="AA57" i="8"/>
  <c r="AR55" i="8"/>
  <c r="AN55" i="8"/>
  <c r="AJ55" i="8"/>
  <c r="AF55" i="8"/>
  <c r="AB55" i="8"/>
  <c r="AS53" i="8"/>
  <c r="AO53" i="8"/>
  <c r="AK53" i="8"/>
  <c r="AG53" i="8"/>
  <c r="AC53" i="8"/>
  <c r="AS52" i="8"/>
  <c r="AO52" i="8"/>
  <c r="AK52" i="8"/>
  <c r="AG52" i="8"/>
  <c r="AC52" i="8"/>
  <c r="AS51" i="8"/>
  <c r="AO51" i="8"/>
  <c r="AK51" i="8"/>
  <c r="AG51" i="8"/>
  <c r="AC51" i="8"/>
  <c r="AS50" i="8"/>
  <c r="AO50" i="8"/>
  <c r="AK50" i="8"/>
  <c r="AG50" i="8"/>
  <c r="AC50" i="8"/>
  <c r="AS49" i="8"/>
  <c r="AO49" i="8"/>
  <c r="AK49" i="8"/>
  <c r="AG49" i="8"/>
  <c r="AC49" i="8"/>
  <c r="AS48" i="8"/>
  <c r="AO48" i="8"/>
  <c r="AK48" i="8"/>
  <c r="AG48" i="8"/>
  <c r="AG11" i="8" s="1"/>
  <c r="AC48" i="8"/>
  <c r="AS47" i="8"/>
  <c r="AO47" i="8"/>
  <c r="AK47" i="8"/>
  <c r="AG47" i="8"/>
  <c r="AC47" i="8"/>
  <c r="AS46" i="8"/>
  <c r="AO46" i="8"/>
  <c r="AO9" i="8" s="1"/>
  <c r="AK46" i="8"/>
  <c r="AG46" i="8"/>
  <c r="AC46" i="8"/>
  <c r="AQ41" i="8"/>
  <c r="AM41" i="8"/>
  <c r="AI41" i="8"/>
  <c r="AE41" i="8"/>
  <c r="AA41" i="8"/>
  <c r="AR39" i="8"/>
  <c r="AR18" i="8" s="1"/>
  <c r="AN39" i="8"/>
  <c r="AN18" i="8" s="1"/>
  <c r="AJ39" i="8"/>
  <c r="AJ18" i="8" s="1"/>
  <c r="AF39" i="8"/>
  <c r="AF18" i="8" s="1"/>
  <c r="AB39" i="8"/>
  <c r="AS37" i="8"/>
  <c r="AS16" i="8" s="1"/>
  <c r="AO37" i="8"/>
  <c r="AO16" i="8" s="1"/>
  <c r="AK37" i="8"/>
  <c r="AK16" i="8" s="1"/>
  <c r="AG37" i="8"/>
  <c r="AG16" i="8" s="1"/>
  <c r="AC37" i="8"/>
  <c r="AS36" i="8"/>
  <c r="AO36" i="8"/>
  <c r="AK36" i="8"/>
  <c r="AG36" i="8"/>
  <c r="AC36" i="8"/>
  <c r="AS35" i="8"/>
  <c r="AS14" i="8" s="1"/>
  <c r="AO35" i="8"/>
  <c r="AO14" i="8" s="1"/>
  <c r="AK35" i="8"/>
  <c r="AK14" i="8" s="1"/>
  <c r="AG35" i="8"/>
  <c r="AG14" i="8" s="1"/>
  <c r="AC35" i="8"/>
  <c r="AS34" i="8"/>
  <c r="AO34" i="8"/>
  <c r="AK34" i="8"/>
  <c r="AG34" i="8"/>
  <c r="AG13" i="8" s="1"/>
  <c r="AC34" i="8"/>
  <c r="AS33" i="8"/>
  <c r="AS12" i="8" s="1"/>
  <c r="AO33" i="8"/>
  <c r="AO12" i="8" s="1"/>
  <c r="AK33" i="8"/>
  <c r="AK12" i="8" s="1"/>
  <c r="AG33" i="8"/>
  <c r="AG12" i="8" s="1"/>
  <c r="AC33" i="8"/>
  <c r="AS32" i="8"/>
  <c r="AO32" i="8"/>
  <c r="AO11" i="8" s="1"/>
  <c r="AK32" i="8"/>
  <c r="AG32" i="8"/>
  <c r="AC32" i="8"/>
  <c r="AS31" i="8"/>
  <c r="AS10" i="8" s="1"/>
  <c r="AO31" i="8"/>
  <c r="AO10" i="8" s="1"/>
  <c r="AK31" i="8"/>
  <c r="AK10" i="8" s="1"/>
  <c r="AG31" i="8"/>
  <c r="AG10" i="8" s="1"/>
  <c r="AC31" i="8"/>
  <c r="AS30" i="8"/>
  <c r="AO30" i="8"/>
  <c r="AK30" i="8"/>
  <c r="AG30" i="8"/>
  <c r="AC30" i="8"/>
  <c r="AC9" i="8" s="1"/>
  <c r="AB13" i="10"/>
  <c r="AR16" i="10"/>
  <c r="AQ16" i="10"/>
  <c r="AN16" i="10"/>
  <c r="AM16" i="10"/>
  <c r="AJ16" i="10"/>
  <c r="AA16" i="12" s="1"/>
  <c r="AI16" i="10"/>
  <c r="AF16" i="10"/>
  <c r="X16" i="12" s="1"/>
  <c r="AE16" i="10"/>
  <c r="AB16" i="10"/>
  <c r="AA16" i="10"/>
  <c r="AR15" i="10"/>
  <c r="AQ15" i="10"/>
  <c r="AN15" i="10"/>
  <c r="AD15" i="12" s="1"/>
  <c r="AM15" i="10"/>
  <c r="AJ15" i="10"/>
  <c r="AA15" i="12" s="1"/>
  <c r="AI15" i="10"/>
  <c r="AF15" i="10"/>
  <c r="AE15" i="10"/>
  <c r="AB15" i="10"/>
  <c r="AA15" i="10"/>
  <c r="AR14" i="10"/>
  <c r="AG14" i="12" s="1"/>
  <c r="AQ14" i="10"/>
  <c r="AN14" i="10"/>
  <c r="AD14" i="12" s="1"/>
  <c r="AM14" i="10"/>
  <c r="AJ14" i="10"/>
  <c r="AI14" i="10"/>
  <c r="AF14" i="10"/>
  <c r="AE14" i="10"/>
  <c r="AB14" i="10"/>
  <c r="U14" i="12" s="1"/>
  <c r="AA14" i="10"/>
  <c r="AR13" i="10"/>
  <c r="AQ13" i="10"/>
  <c r="AN13" i="10"/>
  <c r="AM13" i="10"/>
  <c r="AJ13" i="10"/>
  <c r="AI13" i="10"/>
  <c r="AF13" i="10"/>
  <c r="X13" i="12" s="1"/>
  <c r="AE13" i="10"/>
  <c r="AA13" i="10"/>
  <c r="AR12" i="10"/>
  <c r="AQ12" i="10"/>
  <c r="AN12" i="10"/>
  <c r="AM12" i="10"/>
  <c r="AJ12" i="10"/>
  <c r="AI12" i="10"/>
  <c r="AF12" i="10"/>
  <c r="AE12" i="10"/>
  <c r="AB12" i="10"/>
  <c r="AA12" i="10"/>
  <c r="AR11" i="10"/>
  <c r="AQ11" i="10"/>
  <c r="AN11" i="10"/>
  <c r="AM11" i="10"/>
  <c r="AJ11" i="10"/>
  <c r="AI11" i="10"/>
  <c r="AF11" i="10"/>
  <c r="AE11" i="10"/>
  <c r="AB11" i="10"/>
  <c r="AA11" i="10"/>
  <c r="AR10" i="10"/>
  <c r="AQ10" i="10"/>
  <c r="AN10" i="10"/>
  <c r="AM10" i="10"/>
  <c r="AJ10" i="10"/>
  <c r="AI10" i="10"/>
  <c r="AF10" i="10"/>
  <c r="AE10" i="10"/>
  <c r="AB10" i="10"/>
  <c r="AA10" i="10"/>
  <c r="AR9" i="10"/>
  <c r="AQ9" i="10"/>
  <c r="AN9" i="10"/>
  <c r="AM9" i="10"/>
  <c r="AJ9" i="10"/>
  <c r="AI9" i="10"/>
  <c r="AF9" i="10"/>
  <c r="X9" i="12" s="1"/>
  <c r="AE9" i="10"/>
  <c r="AB9" i="10"/>
  <c r="AA9" i="10"/>
  <c r="AR71" i="10"/>
  <c r="AN71" i="10"/>
  <c r="AJ71" i="10"/>
  <c r="AF71" i="10"/>
  <c r="AB71" i="10"/>
  <c r="AS69" i="10"/>
  <c r="AO69" i="10"/>
  <c r="AK69" i="10"/>
  <c r="AG69" i="10"/>
  <c r="AC69" i="10"/>
  <c r="AS68" i="10"/>
  <c r="AO68" i="10"/>
  <c r="AK68" i="10"/>
  <c r="AG68" i="10"/>
  <c r="AC68" i="10"/>
  <c r="AS67" i="10"/>
  <c r="AO67" i="10"/>
  <c r="AK67" i="10"/>
  <c r="AG67" i="10"/>
  <c r="AC67" i="10"/>
  <c r="AS66" i="10"/>
  <c r="AO66" i="10"/>
  <c r="AK66" i="10"/>
  <c r="AG66" i="10"/>
  <c r="AC66" i="10"/>
  <c r="AS65" i="10"/>
  <c r="AO65" i="10"/>
  <c r="AK65" i="10"/>
  <c r="AG65" i="10"/>
  <c r="AC65" i="10"/>
  <c r="AS64" i="10"/>
  <c r="AO64" i="10"/>
  <c r="AK64" i="10"/>
  <c r="AG64" i="10"/>
  <c r="AC64" i="10"/>
  <c r="AS63" i="10"/>
  <c r="AO63" i="10"/>
  <c r="AK63" i="10"/>
  <c r="AG63" i="10"/>
  <c r="AC63" i="10"/>
  <c r="AS62" i="10"/>
  <c r="AO62" i="10"/>
  <c r="AK62" i="10"/>
  <c r="AG62" i="10"/>
  <c r="AC62" i="10"/>
  <c r="AR55" i="10"/>
  <c r="AN55" i="10"/>
  <c r="AJ55" i="10"/>
  <c r="AF55" i="10"/>
  <c r="AB55" i="10"/>
  <c r="AS53" i="10"/>
  <c r="AO53" i="10"/>
  <c r="AK53" i="10"/>
  <c r="AG53" i="10"/>
  <c r="AC53" i="10"/>
  <c r="AS52" i="10"/>
  <c r="AO52" i="10"/>
  <c r="AK52" i="10"/>
  <c r="AG52" i="10"/>
  <c r="AC52" i="10"/>
  <c r="AS51" i="10"/>
  <c r="AO51" i="10"/>
  <c r="AK51" i="10"/>
  <c r="AG51" i="10"/>
  <c r="AC51" i="10"/>
  <c r="AS50" i="10"/>
  <c r="AO50" i="10"/>
  <c r="AK50" i="10"/>
  <c r="AG50" i="10"/>
  <c r="AC50" i="10"/>
  <c r="AS49" i="10"/>
  <c r="AO49" i="10"/>
  <c r="AK49" i="10"/>
  <c r="AG49" i="10"/>
  <c r="AC49" i="10"/>
  <c r="AS48" i="10"/>
  <c r="AS11" i="10" s="1"/>
  <c r="AO48" i="10"/>
  <c r="AK48" i="10"/>
  <c r="AG48" i="10"/>
  <c r="AC48" i="10"/>
  <c r="AS47" i="10"/>
  <c r="AO47" i="10"/>
  <c r="AK47" i="10"/>
  <c r="AG47" i="10"/>
  <c r="AC47" i="10"/>
  <c r="AS46" i="10"/>
  <c r="AO46" i="10"/>
  <c r="AK46" i="10"/>
  <c r="AG46" i="10"/>
  <c r="AC46" i="10"/>
  <c r="AR40" i="10"/>
  <c r="AR18" i="10" s="1"/>
  <c r="AN40" i="10"/>
  <c r="AN18" i="10" s="1"/>
  <c r="AJ40" i="10"/>
  <c r="AJ18" i="10" s="1"/>
  <c r="AF40" i="10"/>
  <c r="AF18" i="10" s="1"/>
  <c r="AB40" i="10"/>
  <c r="AS38" i="10"/>
  <c r="AO38" i="10"/>
  <c r="AK38" i="10"/>
  <c r="AG38" i="10"/>
  <c r="AC38" i="10"/>
  <c r="AS37" i="10"/>
  <c r="AO37" i="10"/>
  <c r="AK37" i="10"/>
  <c r="AG37" i="10"/>
  <c r="AC37" i="10"/>
  <c r="AS36" i="10"/>
  <c r="AO36" i="10"/>
  <c r="AK36" i="10"/>
  <c r="AG36" i="10"/>
  <c r="AC36" i="10"/>
  <c r="AS35" i="10"/>
  <c r="AO35" i="10"/>
  <c r="AK35" i="10"/>
  <c r="AG35" i="10"/>
  <c r="AC35" i="10"/>
  <c r="AS34" i="10"/>
  <c r="AO34" i="10"/>
  <c r="AK34" i="10"/>
  <c r="AG34" i="10"/>
  <c r="AC34" i="10"/>
  <c r="AO33" i="10"/>
  <c r="AK33" i="10"/>
  <c r="AG33" i="10"/>
  <c r="AC33" i="10"/>
  <c r="AO32" i="10"/>
  <c r="AK32" i="10"/>
  <c r="AG32" i="10"/>
  <c r="AC32" i="10"/>
  <c r="AO31" i="10"/>
  <c r="AK31" i="10"/>
  <c r="AG31" i="10"/>
  <c r="AC31" i="10"/>
  <c r="AC9" i="10" s="1"/>
  <c r="AB10" i="9"/>
  <c r="AR16" i="9"/>
  <c r="AQ16" i="9"/>
  <c r="AN16" i="9"/>
  <c r="AD16" i="12" s="1"/>
  <c r="AM16" i="9"/>
  <c r="AJ16" i="9"/>
  <c r="AI16" i="9"/>
  <c r="AF16" i="9"/>
  <c r="AE16" i="9"/>
  <c r="AB16" i="9"/>
  <c r="AA16" i="9"/>
  <c r="AR15" i="9"/>
  <c r="AG15" i="12" s="1"/>
  <c r="AQ15" i="9"/>
  <c r="AN15" i="9"/>
  <c r="AM15" i="9"/>
  <c r="AJ15" i="9"/>
  <c r="AI15" i="9"/>
  <c r="AF15" i="9"/>
  <c r="AE15" i="9"/>
  <c r="AB15" i="9"/>
  <c r="U15" i="12" s="1"/>
  <c r="AA15" i="9"/>
  <c r="AR14" i="9"/>
  <c r="AQ14" i="9"/>
  <c r="AN14" i="9"/>
  <c r="AM14" i="9"/>
  <c r="AJ14" i="9"/>
  <c r="AI14" i="9"/>
  <c r="AF14" i="9"/>
  <c r="X14" i="12" s="1"/>
  <c r="AE14" i="9"/>
  <c r="AB14" i="9"/>
  <c r="AA14" i="9"/>
  <c r="AR13" i="9"/>
  <c r="AQ13" i="9"/>
  <c r="AN13" i="9"/>
  <c r="AM13" i="9"/>
  <c r="AJ13" i="9"/>
  <c r="AA13" i="12" s="1"/>
  <c r="AI13" i="9"/>
  <c r="AF13" i="9"/>
  <c r="AE13" i="9"/>
  <c r="AB13" i="9"/>
  <c r="AA13" i="9"/>
  <c r="AR12" i="9"/>
  <c r="AQ12" i="9"/>
  <c r="AN12" i="9"/>
  <c r="AD12" i="12" s="1"/>
  <c r="AM12" i="9"/>
  <c r="AJ12" i="9"/>
  <c r="AI12" i="9"/>
  <c r="AF12" i="9"/>
  <c r="AE12" i="9"/>
  <c r="AB12" i="9"/>
  <c r="AA12" i="9"/>
  <c r="AR11" i="9"/>
  <c r="AG11" i="12" s="1"/>
  <c r="AQ11" i="9"/>
  <c r="AN11" i="9"/>
  <c r="AM11" i="9"/>
  <c r="AJ11" i="9"/>
  <c r="AI11" i="9"/>
  <c r="AF11" i="9"/>
  <c r="AE11" i="9"/>
  <c r="AB11" i="9"/>
  <c r="U11" i="12" s="1"/>
  <c r="AA11" i="9"/>
  <c r="AR10" i="9"/>
  <c r="AQ10" i="9"/>
  <c r="AN10" i="9"/>
  <c r="AM10" i="9"/>
  <c r="AJ10" i="9"/>
  <c r="AI10" i="9"/>
  <c r="AF10" i="9"/>
  <c r="X10" i="12" s="1"/>
  <c r="AE10" i="9"/>
  <c r="AA10" i="9"/>
  <c r="AR9" i="9"/>
  <c r="AQ9" i="9"/>
  <c r="AN9" i="9"/>
  <c r="AM9" i="9"/>
  <c r="AJ9" i="9"/>
  <c r="AA9" i="12" s="1"/>
  <c r="AI9" i="9"/>
  <c r="AF9" i="9"/>
  <c r="AE9" i="9"/>
  <c r="AB9" i="9"/>
  <c r="AA9" i="9"/>
  <c r="AB55" i="9"/>
  <c r="H39" i="9"/>
  <c r="AC33" i="9"/>
  <c r="AQ73" i="9"/>
  <c r="AM73" i="9"/>
  <c r="AI73" i="9"/>
  <c r="AE73" i="9"/>
  <c r="AA73" i="9"/>
  <c r="AR71" i="9"/>
  <c r="AN71" i="9"/>
  <c r="AJ71" i="9"/>
  <c r="AF71" i="9"/>
  <c r="AF18" i="9" s="1"/>
  <c r="AB71" i="9"/>
  <c r="AS69" i="9"/>
  <c r="AO69" i="9"/>
  <c r="AK69" i="9"/>
  <c r="AG69" i="9"/>
  <c r="AC69" i="9"/>
  <c r="AS68" i="9"/>
  <c r="AO68" i="9"/>
  <c r="AK68" i="9"/>
  <c r="AG68" i="9"/>
  <c r="AC68" i="9"/>
  <c r="AS67" i="9"/>
  <c r="AO67" i="9"/>
  <c r="AK67" i="9"/>
  <c r="AG67" i="9"/>
  <c r="AC67" i="9"/>
  <c r="AS66" i="9"/>
  <c r="AO66" i="9"/>
  <c r="AK66" i="9"/>
  <c r="AG66" i="9"/>
  <c r="AC66" i="9"/>
  <c r="AS65" i="9"/>
  <c r="AO65" i="9"/>
  <c r="AK65" i="9"/>
  <c r="AG65" i="9"/>
  <c r="AC65" i="9"/>
  <c r="AS64" i="9"/>
  <c r="AO64" i="9"/>
  <c r="AK64" i="9"/>
  <c r="AG64" i="9"/>
  <c r="AC64" i="9"/>
  <c r="AS63" i="9"/>
  <c r="AO63" i="9"/>
  <c r="AK63" i="9"/>
  <c r="AG63" i="9"/>
  <c r="AC63" i="9"/>
  <c r="AS62" i="9"/>
  <c r="AO62" i="9"/>
  <c r="AK62" i="9"/>
  <c r="AG62" i="9"/>
  <c r="AC62" i="9"/>
  <c r="AQ57" i="9"/>
  <c r="AM57" i="9"/>
  <c r="AI57" i="9"/>
  <c r="AE57" i="9"/>
  <c r="AA57" i="9"/>
  <c r="AR55" i="9"/>
  <c r="AN55" i="9"/>
  <c r="AJ55" i="9"/>
  <c r="AF55" i="9"/>
  <c r="AS53" i="9"/>
  <c r="AO53" i="9"/>
  <c r="AK53" i="9"/>
  <c r="AG53" i="9"/>
  <c r="AC53" i="9"/>
  <c r="AS52" i="9"/>
  <c r="AO52" i="9"/>
  <c r="AK52" i="9"/>
  <c r="AG52" i="9"/>
  <c r="AC52" i="9"/>
  <c r="AS51" i="9"/>
  <c r="AO51" i="9"/>
  <c r="AK51" i="9"/>
  <c r="AG51" i="9"/>
  <c r="AC51" i="9"/>
  <c r="AS50" i="9"/>
  <c r="AO50" i="9"/>
  <c r="AK50" i="9"/>
  <c r="AG50" i="9"/>
  <c r="AC50" i="9"/>
  <c r="AS49" i="9"/>
  <c r="AO49" i="9"/>
  <c r="AK49" i="9"/>
  <c r="AG49" i="9"/>
  <c r="AC49" i="9"/>
  <c r="AS48" i="9"/>
  <c r="AO48" i="9"/>
  <c r="AK48" i="9"/>
  <c r="AG48" i="9"/>
  <c r="AC48" i="9"/>
  <c r="AS47" i="9"/>
  <c r="AO47" i="9"/>
  <c r="AK47" i="9"/>
  <c r="AG47" i="9"/>
  <c r="AC47" i="9"/>
  <c r="AS46" i="9"/>
  <c r="AO46" i="9"/>
  <c r="AK46" i="9"/>
  <c r="AG46" i="9"/>
  <c r="AC46" i="9"/>
  <c r="AQ41" i="9"/>
  <c r="AM41" i="9"/>
  <c r="AI41" i="9"/>
  <c r="AE41" i="9"/>
  <c r="AA41" i="9"/>
  <c r="AR39" i="9"/>
  <c r="AR18" i="9" s="1"/>
  <c r="AN39" i="9"/>
  <c r="AN18" i="9" s="1"/>
  <c r="AJ39" i="9"/>
  <c r="AJ18" i="9" s="1"/>
  <c r="AF39" i="9"/>
  <c r="AB39" i="9"/>
  <c r="AS37" i="9"/>
  <c r="AO37" i="9"/>
  <c r="AK37" i="9"/>
  <c r="AG37" i="9"/>
  <c r="AC37" i="9"/>
  <c r="AS36" i="9"/>
  <c r="AO36" i="9"/>
  <c r="AK36" i="9"/>
  <c r="AG36" i="9"/>
  <c r="AC36" i="9"/>
  <c r="AS35" i="9"/>
  <c r="AO35" i="9"/>
  <c r="AK35" i="9"/>
  <c r="AG35" i="9"/>
  <c r="AC35" i="9"/>
  <c r="AS34" i="9"/>
  <c r="AO34" i="9"/>
  <c r="AK34" i="9"/>
  <c r="AG34" i="9"/>
  <c r="AC34" i="9"/>
  <c r="AS33" i="9"/>
  <c r="AO33" i="9"/>
  <c r="AK33" i="9"/>
  <c r="AG33" i="9"/>
  <c r="AS32" i="9"/>
  <c r="AO32" i="9"/>
  <c r="AK32" i="9"/>
  <c r="AG32" i="9"/>
  <c r="AC32" i="9"/>
  <c r="AS31" i="9"/>
  <c r="AO31" i="9"/>
  <c r="AK31" i="9"/>
  <c r="AG31" i="9"/>
  <c r="AG10" i="9" s="1"/>
  <c r="AC31" i="9"/>
  <c r="AS30" i="9"/>
  <c r="AO30" i="9"/>
  <c r="AK30" i="9"/>
  <c r="AG30" i="9"/>
  <c r="AC30" i="9"/>
  <c r="AC9" i="9" s="1"/>
  <c r="V71" i="10"/>
  <c r="T71" i="10"/>
  <c r="R71" i="10"/>
  <c r="P71" i="10"/>
  <c r="L71" i="10"/>
  <c r="J71" i="10"/>
  <c r="H71" i="10"/>
  <c r="F71" i="10"/>
  <c r="D71" i="10"/>
  <c r="U69" i="10"/>
  <c r="Q69" i="10"/>
  <c r="M69" i="10"/>
  <c r="I69" i="10"/>
  <c r="E69" i="10"/>
  <c r="U68" i="10"/>
  <c r="Q68" i="10"/>
  <c r="M68" i="10"/>
  <c r="I68" i="10"/>
  <c r="E68" i="10"/>
  <c r="U67" i="10"/>
  <c r="Q67" i="10"/>
  <c r="M67" i="10"/>
  <c r="I67" i="10"/>
  <c r="E67" i="10"/>
  <c r="U66" i="10"/>
  <c r="Q66" i="10"/>
  <c r="M66" i="10"/>
  <c r="I66" i="10"/>
  <c r="E66" i="10"/>
  <c r="U65" i="10"/>
  <c r="Q65" i="10"/>
  <c r="M65" i="10"/>
  <c r="I65" i="10"/>
  <c r="E65" i="10"/>
  <c r="U64" i="10"/>
  <c r="Q64" i="10"/>
  <c r="M64" i="10"/>
  <c r="I64" i="10"/>
  <c r="E64" i="10"/>
  <c r="U63" i="10"/>
  <c r="Q63" i="10"/>
  <c r="M63" i="10"/>
  <c r="I63" i="10"/>
  <c r="E63" i="10"/>
  <c r="U62" i="10"/>
  <c r="Q62" i="10"/>
  <c r="M62" i="10"/>
  <c r="I62" i="10"/>
  <c r="E62" i="10"/>
  <c r="V55" i="10"/>
  <c r="T55" i="10"/>
  <c r="R55" i="10"/>
  <c r="P55" i="10"/>
  <c r="N55" i="10"/>
  <c r="L55" i="10"/>
  <c r="J55" i="10"/>
  <c r="H55" i="10"/>
  <c r="F55" i="10"/>
  <c r="D55" i="10"/>
  <c r="U53" i="10"/>
  <c r="Q53" i="10"/>
  <c r="M53" i="10"/>
  <c r="I53" i="10"/>
  <c r="E53" i="10"/>
  <c r="U52" i="10"/>
  <c r="Q52" i="10"/>
  <c r="M52" i="10"/>
  <c r="I52" i="10"/>
  <c r="E52" i="10"/>
  <c r="U51" i="10"/>
  <c r="Q51" i="10"/>
  <c r="M51" i="10"/>
  <c r="I51" i="10"/>
  <c r="E51" i="10"/>
  <c r="U50" i="10"/>
  <c r="Q50" i="10"/>
  <c r="M50" i="10"/>
  <c r="I50" i="10"/>
  <c r="E50" i="10"/>
  <c r="U49" i="10"/>
  <c r="Q49" i="10"/>
  <c r="M49" i="10"/>
  <c r="I49" i="10"/>
  <c r="E49" i="10"/>
  <c r="U48" i="10"/>
  <c r="Q48" i="10"/>
  <c r="M48" i="10"/>
  <c r="I48" i="10"/>
  <c r="E48" i="10"/>
  <c r="U47" i="10"/>
  <c r="Q47" i="10"/>
  <c r="M47" i="10"/>
  <c r="I47" i="10"/>
  <c r="E47" i="10"/>
  <c r="U46" i="10"/>
  <c r="Q46" i="10"/>
  <c r="M46" i="10"/>
  <c r="I46" i="10"/>
  <c r="E46" i="10"/>
  <c r="S42" i="10"/>
  <c r="O42" i="10"/>
  <c r="K42" i="10"/>
  <c r="G42" i="10"/>
  <c r="C42" i="10"/>
  <c r="V40" i="10"/>
  <c r="T40" i="10"/>
  <c r="R40" i="10"/>
  <c r="P40" i="10"/>
  <c r="N40" i="10"/>
  <c r="L40" i="10"/>
  <c r="J40" i="10"/>
  <c r="H40" i="10"/>
  <c r="F40" i="10"/>
  <c r="D40" i="10"/>
  <c r="U38" i="10"/>
  <c r="Q38" i="10"/>
  <c r="M38" i="10"/>
  <c r="I38" i="10"/>
  <c r="E38" i="10"/>
  <c r="U37" i="10"/>
  <c r="Q37" i="10"/>
  <c r="M37" i="10"/>
  <c r="I37" i="10"/>
  <c r="E37" i="10"/>
  <c r="U36" i="10"/>
  <c r="Q36" i="10"/>
  <c r="M36" i="10"/>
  <c r="I36" i="10"/>
  <c r="E36" i="10"/>
  <c r="U35" i="10"/>
  <c r="Q35" i="10"/>
  <c r="M35" i="10"/>
  <c r="I35" i="10"/>
  <c r="E35" i="10"/>
  <c r="U34" i="10"/>
  <c r="Q34" i="10"/>
  <c r="M34" i="10"/>
  <c r="I34" i="10"/>
  <c r="E34" i="10"/>
  <c r="U33" i="10"/>
  <c r="Q33" i="10"/>
  <c r="M33" i="10"/>
  <c r="I33" i="10"/>
  <c r="E33" i="10"/>
  <c r="U32" i="10"/>
  <c r="Q32" i="10"/>
  <c r="M32" i="10"/>
  <c r="I32" i="10"/>
  <c r="E32" i="10"/>
  <c r="U31" i="10"/>
  <c r="Q31" i="10"/>
  <c r="M31" i="10"/>
  <c r="I31" i="10"/>
  <c r="E31" i="10"/>
  <c r="V16" i="10"/>
  <c r="T16" i="10"/>
  <c r="S16" i="10"/>
  <c r="R16" i="10"/>
  <c r="P16" i="10"/>
  <c r="O16" i="10"/>
  <c r="N16" i="10"/>
  <c r="L16" i="10"/>
  <c r="K16" i="10"/>
  <c r="J16" i="10"/>
  <c r="H16" i="10"/>
  <c r="G16" i="10"/>
  <c r="F16" i="10"/>
  <c r="D16" i="10"/>
  <c r="C16" i="10"/>
  <c r="V15" i="10"/>
  <c r="T15" i="10"/>
  <c r="S15" i="10"/>
  <c r="R15" i="10"/>
  <c r="P15" i="10"/>
  <c r="O15" i="10"/>
  <c r="N15" i="10"/>
  <c r="L15" i="10"/>
  <c r="K15" i="10"/>
  <c r="J15" i="10"/>
  <c r="H15" i="10"/>
  <c r="G15" i="10"/>
  <c r="F15" i="10"/>
  <c r="D15" i="10"/>
  <c r="C15" i="10"/>
  <c r="V14" i="10"/>
  <c r="T14" i="10"/>
  <c r="S14" i="10"/>
  <c r="R14" i="10"/>
  <c r="P14" i="10"/>
  <c r="O14" i="10"/>
  <c r="N14" i="10"/>
  <c r="L14" i="10"/>
  <c r="K14" i="10"/>
  <c r="J14" i="10"/>
  <c r="H14" i="10"/>
  <c r="G14" i="10"/>
  <c r="F14" i="10"/>
  <c r="D14" i="10"/>
  <c r="C14" i="10"/>
  <c r="V13" i="10"/>
  <c r="T13" i="10"/>
  <c r="S13" i="10"/>
  <c r="R13" i="10"/>
  <c r="P13" i="10"/>
  <c r="O13" i="10"/>
  <c r="N13" i="10"/>
  <c r="L13" i="10"/>
  <c r="K13" i="10"/>
  <c r="J13" i="10"/>
  <c r="H13" i="10"/>
  <c r="G13" i="10"/>
  <c r="F13" i="10"/>
  <c r="D13" i="10"/>
  <c r="C13" i="10"/>
  <c r="V12" i="10"/>
  <c r="T12" i="10"/>
  <c r="S12" i="10"/>
  <c r="R12" i="10"/>
  <c r="P12" i="10"/>
  <c r="O12" i="10"/>
  <c r="N12" i="10"/>
  <c r="L12" i="10"/>
  <c r="K12" i="10"/>
  <c r="J12" i="10"/>
  <c r="H12" i="10"/>
  <c r="G12" i="10"/>
  <c r="F12" i="10"/>
  <c r="D12" i="10"/>
  <c r="C12" i="10"/>
  <c r="V11" i="10"/>
  <c r="T11" i="10"/>
  <c r="S11" i="10"/>
  <c r="R11" i="10"/>
  <c r="P11" i="10"/>
  <c r="O11" i="10"/>
  <c r="N11" i="10"/>
  <c r="L11" i="10"/>
  <c r="K11" i="10"/>
  <c r="J11" i="10"/>
  <c r="H11" i="10"/>
  <c r="G11" i="10"/>
  <c r="F11" i="10"/>
  <c r="D11" i="10"/>
  <c r="C11" i="10"/>
  <c r="V10" i="10"/>
  <c r="T10" i="10"/>
  <c r="S10" i="10"/>
  <c r="R10" i="10"/>
  <c r="P10" i="10"/>
  <c r="O10" i="10"/>
  <c r="N10" i="10"/>
  <c r="L10" i="10"/>
  <c r="K10" i="10"/>
  <c r="J10" i="10"/>
  <c r="H10" i="10"/>
  <c r="G10" i="10"/>
  <c r="F10" i="10"/>
  <c r="D10" i="10"/>
  <c r="C10" i="10"/>
  <c r="V9" i="10"/>
  <c r="T9" i="10"/>
  <c r="S9" i="10"/>
  <c r="R9" i="10"/>
  <c r="P9" i="10"/>
  <c r="O9" i="10"/>
  <c r="N9" i="10"/>
  <c r="L9" i="10"/>
  <c r="K9" i="10"/>
  <c r="J9" i="10"/>
  <c r="H9" i="10"/>
  <c r="G9" i="10"/>
  <c r="F9" i="10"/>
  <c r="D9" i="10"/>
  <c r="C9" i="10"/>
  <c r="S73" i="9"/>
  <c r="O73" i="9"/>
  <c r="K73" i="9"/>
  <c r="G73" i="9"/>
  <c r="C73" i="9"/>
  <c r="V71" i="9"/>
  <c r="T71" i="9"/>
  <c r="R71" i="9"/>
  <c r="P71" i="9"/>
  <c r="N71" i="9"/>
  <c r="L71" i="9"/>
  <c r="J71" i="9"/>
  <c r="H71" i="9"/>
  <c r="F71" i="9"/>
  <c r="D71" i="9"/>
  <c r="U69" i="9"/>
  <c r="Q69" i="9"/>
  <c r="M69" i="9"/>
  <c r="I69" i="9"/>
  <c r="E69" i="9"/>
  <c r="U68" i="9"/>
  <c r="Q68" i="9"/>
  <c r="M68" i="9"/>
  <c r="I68" i="9"/>
  <c r="E68" i="9"/>
  <c r="U67" i="9"/>
  <c r="Q67" i="9"/>
  <c r="M67" i="9"/>
  <c r="I67" i="9"/>
  <c r="E67" i="9"/>
  <c r="U66" i="9"/>
  <c r="Q66" i="9"/>
  <c r="M66" i="9"/>
  <c r="I66" i="9"/>
  <c r="E66" i="9"/>
  <c r="U65" i="9"/>
  <c r="Q65" i="9"/>
  <c r="M65" i="9"/>
  <c r="I65" i="9"/>
  <c r="E65" i="9"/>
  <c r="U64" i="9"/>
  <c r="Q64" i="9"/>
  <c r="M64" i="9"/>
  <c r="I64" i="9"/>
  <c r="E64" i="9"/>
  <c r="U63" i="9"/>
  <c r="Q63" i="9"/>
  <c r="M63" i="9"/>
  <c r="I63" i="9"/>
  <c r="E63" i="9"/>
  <c r="U62" i="9"/>
  <c r="Q62" i="9"/>
  <c r="M62" i="9"/>
  <c r="I62" i="9"/>
  <c r="E62" i="9"/>
  <c r="S57" i="9"/>
  <c r="O57" i="9"/>
  <c r="K57" i="9"/>
  <c r="G57" i="9"/>
  <c r="C57" i="9"/>
  <c r="V55" i="9"/>
  <c r="T55" i="9"/>
  <c r="R55" i="9"/>
  <c r="P55" i="9"/>
  <c r="N55" i="9"/>
  <c r="L55" i="9"/>
  <c r="J55" i="9"/>
  <c r="H55" i="9"/>
  <c r="F55" i="9"/>
  <c r="D55" i="9"/>
  <c r="U53" i="9"/>
  <c r="Q53" i="9"/>
  <c r="M53" i="9"/>
  <c r="I53" i="9"/>
  <c r="E53" i="9"/>
  <c r="U52" i="9"/>
  <c r="Q52" i="9"/>
  <c r="M52" i="9"/>
  <c r="I52" i="9"/>
  <c r="E52" i="9"/>
  <c r="U51" i="9"/>
  <c r="Q51" i="9"/>
  <c r="M51" i="9"/>
  <c r="I51" i="9"/>
  <c r="E51" i="9"/>
  <c r="U50" i="9"/>
  <c r="Q50" i="9"/>
  <c r="M50" i="9"/>
  <c r="I50" i="9"/>
  <c r="E50" i="9"/>
  <c r="U49" i="9"/>
  <c r="Q49" i="9"/>
  <c r="M49" i="9"/>
  <c r="I49" i="9"/>
  <c r="E49" i="9"/>
  <c r="U48" i="9"/>
  <c r="Q48" i="9"/>
  <c r="M48" i="9"/>
  <c r="I48" i="9"/>
  <c r="E48" i="9"/>
  <c r="U47" i="9"/>
  <c r="Q47" i="9"/>
  <c r="M47" i="9"/>
  <c r="I47" i="9"/>
  <c r="E47" i="9"/>
  <c r="U46" i="9"/>
  <c r="Q46" i="9"/>
  <c r="M46" i="9"/>
  <c r="I46" i="9"/>
  <c r="E46" i="9"/>
  <c r="S41" i="9"/>
  <c r="O41" i="9"/>
  <c r="K41" i="9"/>
  <c r="G41" i="9"/>
  <c r="C41" i="9"/>
  <c r="V39" i="9"/>
  <c r="T39" i="9"/>
  <c r="R39" i="9"/>
  <c r="P39" i="9"/>
  <c r="N39" i="9"/>
  <c r="L39" i="9"/>
  <c r="J39" i="9"/>
  <c r="F39" i="9"/>
  <c r="D39" i="9"/>
  <c r="U37" i="9"/>
  <c r="Q37" i="9"/>
  <c r="M37" i="9"/>
  <c r="I37" i="9"/>
  <c r="E37" i="9"/>
  <c r="U36" i="9"/>
  <c r="Q36" i="9"/>
  <c r="M36" i="9"/>
  <c r="I36" i="9"/>
  <c r="E36" i="9"/>
  <c r="U35" i="9"/>
  <c r="Q35" i="9"/>
  <c r="M35" i="9"/>
  <c r="I35" i="9"/>
  <c r="E35" i="9"/>
  <c r="U34" i="9"/>
  <c r="Q34" i="9"/>
  <c r="M34" i="9"/>
  <c r="I34" i="9"/>
  <c r="E34" i="9"/>
  <c r="U33" i="9"/>
  <c r="Q33" i="9"/>
  <c r="M33" i="9"/>
  <c r="I33" i="9"/>
  <c r="E33" i="9"/>
  <c r="U32" i="9"/>
  <c r="Q32" i="9"/>
  <c r="M32" i="9"/>
  <c r="I32" i="9"/>
  <c r="E32" i="9"/>
  <c r="U31" i="9"/>
  <c r="Q31" i="9"/>
  <c r="M31" i="9"/>
  <c r="I31" i="9"/>
  <c r="E31" i="9"/>
  <c r="U30" i="9"/>
  <c r="Q30" i="9"/>
  <c r="M30" i="9"/>
  <c r="I30" i="9"/>
  <c r="E30" i="9"/>
  <c r="V16" i="9"/>
  <c r="T16" i="9"/>
  <c r="S16" i="9"/>
  <c r="R16" i="9"/>
  <c r="AG57" i="12" s="1"/>
  <c r="P16" i="9"/>
  <c r="O16" i="9"/>
  <c r="N16" i="9"/>
  <c r="Y57" i="12" s="1"/>
  <c r="L16" i="9"/>
  <c r="K16" i="9"/>
  <c r="J16" i="9"/>
  <c r="H16" i="9"/>
  <c r="G16" i="9"/>
  <c r="F16" i="9"/>
  <c r="I57" i="12" s="1"/>
  <c r="D16" i="9"/>
  <c r="C16" i="9"/>
  <c r="V15" i="9"/>
  <c r="T15" i="9"/>
  <c r="S15" i="9"/>
  <c r="R15" i="9"/>
  <c r="P15" i="9"/>
  <c r="O15" i="9"/>
  <c r="N15" i="9"/>
  <c r="Y56" i="12" s="1"/>
  <c r="L15" i="9"/>
  <c r="K15" i="9"/>
  <c r="J15" i="9"/>
  <c r="H15" i="9"/>
  <c r="G15" i="9"/>
  <c r="F15" i="9"/>
  <c r="I56" i="12" s="1"/>
  <c r="D15" i="9"/>
  <c r="C15" i="9"/>
  <c r="V14" i="9"/>
  <c r="AO55" i="12" s="1"/>
  <c r="T14" i="9"/>
  <c r="S14" i="9"/>
  <c r="R14" i="9"/>
  <c r="P14" i="9"/>
  <c r="O14" i="9"/>
  <c r="N14" i="9"/>
  <c r="Y55" i="12" s="1"/>
  <c r="L14" i="9"/>
  <c r="K14" i="9"/>
  <c r="J14" i="9"/>
  <c r="H14" i="9"/>
  <c r="G14" i="9"/>
  <c r="F14" i="9"/>
  <c r="I55" i="12" s="1"/>
  <c r="D14" i="9"/>
  <c r="C14" i="9"/>
  <c r="V13" i="9"/>
  <c r="AO54" i="12" s="1"/>
  <c r="T13" i="9"/>
  <c r="S13" i="9"/>
  <c r="R13" i="9"/>
  <c r="P13" i="9"/>
  <c r="O13" i="9"/>
  <c r="N13" i="9"/>
  <c r="Y54" i="12" s="1"/>
  <c r="L13" i="9"/>
  <c r="K13" i="9"/>
  <c r="J13" i="9"/>
  <c r="Q54" i="12" s="1"/>
  <c r="H13" i="9"/>
  <c r="G13" i="9"/>
  <c r="F13" i="9"/>
  <c r="D13" i="9"/>
  <c r="C13" i="9"/>
  <c r="V12" i="9"/>
  <c r="T12" i="9"/>
  <c r="S12" i="9"/>
  <c r="R12" i="9"/>
  <c r="P12" i="9"/>
  <c r="O12" i="9"/>
  <c r="N12" i="9"/>
  <c r="L12" i="9"/>
  <c r="K12" i="9"/>
  <c r="J12" i="9"/>
  <c r="H12" i="9"/>
  <c r="G12" i="9"/>
  <c r="F12" i="9"/>
  <c r="D12" i="9"/>
  <c r="C12" i="9"/>
  <c r="V11" i="9"/>
  <c r="AO52" i="12" s="1"/>
  <c r="T11" i="9"/>
  <c r="S11" i="9"/>
  <c r="R11" i="9"/>
  <c r="P11" i="9"/>
  <c r="O11" i="9"/>
  <c r="N11" i="9"/>
  <c r="L11" i="9"/>
  <c r="K11" i="9"/>
  <c r="J11" i="9"/>
  <c r="Q52" i="12" s="1"/>
  <c r="H11" i="9"/>
  <c r="G11" i="9"/>
  <c r="F11" i="9"/>
  <c r="D11" i="9"/>
  <c r="C11" i="9"/>
  <c r="V10" i="9"/>
  <c r="AO51" i="12" s="1"/>
  <c r="T10" i="9"/>
  <c r="S10" i="9"/>
  <c r="R10" i="9"/>
  <c r="P10" i="9"/>
  <c r="O10" i="9"/>
  <c r="N10" i="9"/>
  <c r="L10" i="9"/>
  <c r="K10" i="9"/>
  <c r="J10" i="9"/>
  <c r="Q51" i="12" s="1"/>
  <c r="H10" i="9"/>
  <c r="G10" i="9"/>
  <c r="F10" i="9"/>
  <c r="D10" i="9"/>
  <c r="C10" i="9"/>
  <c r="V9" i="9"/>
  <c r="T9" i="9"/>
  <c r="S9" i="9"/>
  <c r="R9" i="9"/>
  <c r="AG50" i="12" s="1"/>
  <c r="P9" i="9"/>
  <c r="O9" i="9"/>
  <c r="N9" i="9"/>
  <c r="L9" i="9"/>
  <c r="K9" i="9"/>
  <c r="J9" i="9"/>
  <c r="H9" i="9"/>
  <c r="G9" i="9"/>
  <c r="F9" i="9"/>
  <c r="I50" i="12" s="1"/>
  <c r="D9" i="9"/>
  <c r="C9" i="9"/>
  <c r="S73" i="8"/>
  <c r="O73" i="8"/>
  <c r="K73" i="8"/>
  <c r="G73" i="8"/>
  <c r="C73" i="8"/>
  <c r="V71" i="8"/>
  <c r="T71" i="8"/>
  <c r="R71" i="8"/>
  <c r="P71" i="8"/>
  <c r="N71" i="8"/>
  <c r="L71" i="8"/>
  <c r="J71" i="8"/>
  <c r="H71" i="8"/>
  <c r="F71" i="8"/>
  <c r="D71" i="8"/>
  <c r="U69" i="8"/>
  <c r="Q69" i="8"/>
  <c r="M69" i="8"/>
  <c r="I69" i="8"/>
  <c r="E69" i="8"/>
  <c r="U68" i="8"/>
  <c r="Q68" i="8"/>
  <c r="M68" i="8"/>
  <c r="I68" i="8"/>
  <c r="E68" i="8"/>
  <c r="U67" i="8"/>
  <c r="Q67" i="8"/>
  <c r="M67" i="8"/>
  <c r="I67" i="8"/>
  <c r="E67" i="8"/>
  <c r="U66" i="8"/>
  <c r="Q66" i="8"/>
  <c r="M66" i="8"/>
  <c r="I66" i="8"/>
  <c r="E66" i="8"/>
  <c r="U65" i="8"/>
  <c r="Q65" i="8"/>
  <c r="M65" i="8"/>
  <c r="I65" i="8"/>
  <c r="E65" i="8"/>
  <c r="U64" i="8"/>
  <c r="Q64" i="8"/>
  <c r="M64" i="8"/>
  <c r="I64" i="8"/>
  <c r="E64" i="8"/>
  <c r="U63" i="8"/>
  <c r="Q63" i="8"/>
  <c r="M63" i="8"/>
  <c r="I63" i="8"/>
  <c r="E63" i="8"/>
  <c r="U62" i="8"/>
  <c r="Q62" i="8"/>
  <c r="M62" i="8"/>
  <c r="I62" i="8"/>
  <c r="E62" i="8"/>
  <c r="S57" i="8"/>
  <c r="O57" i="8"/>
  <c r="K57" i="8"/>
  <c r="G57" i="8"/>
  <c r="C57" i="8"/>
  <c r="V55" i="8"/>
  <c r="T55" i="8"/>
  <c r="R55" i="8"/>
  <c r="P55" i="8"/>
  <c r="N55" i="8"/>
  <c r="L55" i="8"/>
  <c r="J55" i="8"/>
  <c r="H55" i="8"/>
  <c r="F55" i="8"/>
  <c r="D55" i="8"/>
  <c r="U53" i="8"/>
  <c r="Q53" i="8"/>
  <c r="M53" i="8"/>
  <c r="I53" i="8"/>
  <c r="E53" i="8"/>
  <c r="U52" i="8"/>
  <c r="Q52" i="8"/>
  <c r="M52" i="8"/>
  <c r="I52" i="8"/>
  <c r="E52" i="8"/>
  <c r="U51" i="8"/>
  <c r="Q51" i="8"/>
  <c r="M51" i="8"/>
  <c r="I51" i="8"/>
  <c r="E51" i="8"/>
  <c r="U50" i="8"/>
  <c r="Q50" i="8"/>
  <c r="M50" i="8"/>
  <c r="I50" i="8"/>
  <c r="E50" i="8"/>
  <c r="U49" i="8"/>
  <c r="Q49" i="8"/>
  <c r="M49" i="8"/>
  <c r="I49" i="8"/>
  <c r="E49" i="8"/>
  <c r="U48" i="8"/>
  <c r="Q48" i="8"/>
  <c r="M48" i="8"/>
  <c r="I48" i="8"/>
  <c r="E48" i="8"/>
  <c r="U47" i="8"/>
  <c r="Q47" i="8"/>
  <c r="M47" i="8"/>
  <c r="I47" i="8"/>
  <c r="E47" i="8"/>
  <c r="U46" i="8"/>
  <c r="Q46" i="8"/>
  <c r="M46" i="8"/>
  <c r="I46" i="8"/>
  <c r="E46" i="8"/>
  <c r="S41" i="8"/>
  <c r="O41" i="8"/>
  <c r="K41" i="8"/>
  <c r="G41" i="8"/>
  <c r="C41" i="8"/>
  <c r="V39" i="8"/>
  <c r="T39" i="8"/>
  <c r="R39" i="8"/>
  <c r="P39" i="8"/>
  <c r="N39" i="8"/>
  <c r="L39" i="8"/>
  <c r="J39" i="8"/>
  <c r="H39" i="8"/>
  <c r="F39" i="8"/>
  <c r="D39" i="8"/>
  <c r="D18" i="8" s="1"/>
  <c r="U37" i="8"/>
  <c r="Q37" i="8"/>
  <c r="M37" i="8"/>
  <c r="I37" i="8"/>
  <c r="E37" i="8"/>
  <c r="U36" i="8"/>
  <c r="Q36" i="8"/>
  <c r="M36" i="8"/>
  <c r="I36" i="8"/>
  <c r="E36" i="8"/>
  <c r="U35" i="8"/>
  <c r="Q35" i="8"/>
  <c r="M35" i="8"/>
  <c r="I35" i="8"/>
  <c r="E35" i="8"/>
  <c r="U34" i="8"/>
  <c r="Q34" i="8"/>
  <c r="M34" i="8"/>
  <c r="I34" i="8"/>
  <c r="E34" i="8"/>
  <c r="U33" i="8"/>
  <c r="Q33" i="8"/>
  <c r="M33" i="8"/>
  <c r="I33" i="8"/>
  <c r="E33" i="8"/>
  <c r="U32" i="8"/>
  <c r="Q32" i="8"/>
  <c r="M32" i="8"/>
  <c r="I32" i="8"/>
  <c r="E32" i="8"/>
  <c r="Q31" i="8"/>
  <c r="M31" i="8"/>
  <c r="I31" i="8"/>
  <c r="E31" i="8"/>
  <c r="U30" i="8"/>
  <c r="Q30" i="8"/>
  <c r="M30" i="8"/>
  <c r="I30" i="8"/>
  <c r="E30" i="8"/>
  <c r="V16" i="8"/>
  <c r="T16" i="8"/>
  <c r="S16" i="8"/>
  <c r="R16" i="8"/>
  <c r="P16" i="8"/>
  <c r="O16" i="8"/>
  <c r="N16" i="8"/>
  <c r="L16" i="8"/>
  <c r="K16" i="8"/>
  <c r="J16" i="8"/>
  <c r="H16" i="8"/>
  <c r="G16" i="8"/>
  <c r="F16" i="8"/>
  <c r="D16" i="8"/>
  <c r="C16" i="8"/>
  <c r="V15" i="8"/>
  <c r="AN56" i="12" s="1"/>
  <c r="T15" i="8"/>
  <c r="S15" i="8"/>
  <c r="R15" i="8"/>
  <c r="P15" i="8"/>
  <c r="O15" i="8"/>
  <c r="N15" i="8"/>
  <c r="L15" i="8"/>
  <c r="K15" i="8"/>
  <c r="J15" i="8"/>
  <c r="H15" i="8"/>
  <c r="G15" i="8"/>
  <c r="F15" i="8"/>
  <c r="D15" i="8"/>
  <c r="C15" i="8"/>
  <c r="V14" i="8"/>
  <c r="AN55" i="12" s="1"/>
  <c r="T14" i="8"/>
  <c r="S14" i="8"/>
  <c r="R14" i="8"/>
  <c r="P14" i="8"/>
  <c r="O14" i="8"/>
  <c r="N14" i="8"/>
  <c r="X55" i="12" s="1"/>
  <c r="L14" i="8"/>
  <c r="K14" i="8"/>
  <c r="J14" i="8"/>
  <c r="P55" i="12" s="1"/>
  <c r="H14" i="8"/>
  <c r="G14" i="8"/>
  <c r="F14" i="8"/>
  <c r="D14" i="8"/>
  <c r="C14" i="8"/>
  <c r="V13" i="8"/>
  <c r="AN54" i="12" s="1"/>
  <c r="T13" i="8"/>
  <c r="S13" i="8"/>
  <c r="R13" i="8"/>
  <c r="P13" i="8"/>
  <c r="O13" i="8"/>
  <c r="N13" i="8"/>
  <c r="L13" i="8"/>
  <c r="K13" i="8"/>
  <c r="J13" i="8"/>
  <c r="H13" i="8"/>
  <c r="G13" i="8"/>
  <c r="F13" i="8"/>
  <c r="D13" i="8"/>
  <c r="C13" i="8"/>
  <c r="V12" i="8"/>
  <c r="T12" i="8"/>
  <c r="S12" i="8"/>
  <c r="R12" i="8"/>
  <c r="P12" i="8"/>
  <c r="O12" i="8"/>
  <c r="N12" i="8"/>
  <c r="L12" i="8"/>
  <c r="K12" i="8"/>
  <c r="J12" i="8"/>
  <c r="P53" i="12" s="1"/>
  <c r="H12" i="8"/>
  <c r="G12" i="8"/>
  <c r="F12" i="8"/>
  <c r="D12" i="8"/>
  <c r="C12" i="8"/>
  <c r="V11" i="8"/>
  <c r="T11" i="8"/>
  <c r="S11" i="8"/>
  <c r="R11" i="8"/>
  <c r="P11" i="8"/>
  <c r="O11" i="8"/>
  <c r="N11" i="8"/>
  <c r="L11" i="8"/>
  <c r="K11" i="8"/>
  <c r="J11" i="8"/>
  <c r="P52" i="12" s="1"/>
  <c r="H11" i="8"/>
  <c r="G11" i="8"/>
  <c r="F11" i="8"/>
  <c r="D11" i="8"/>
  <c r="C11" i="8"/>
  <c r="V10" i="8"/>
  <c r="T10" i="8"/>
  <c r="S10" i="8"/>
  <c r="R10" i="8"/>
  <c r="P10" i="8"/>
  <c r="O10" i="8"/>
  <c r="N10" i="8"/>
  <c r="L10" i="8"/>
  <c r="K10" i="8"/>
  <c r="J10" i="8"/>
  <c r="H10" i="8"/>
  <c r="G10" i="8"/>
  <c r="F10" i="8"/>
  <c r="D10" i="8"/>
  <c r="C10" i="8"/>
  <c r="V9" i="8"/>
  <c r="T9" i="8"/>
  <c r="S9" i="8"/>
  <c r="R9" i="8"/>
  <c r="P9" i="8"/>
  <c r="O9" i="8"/>
  <c r="N9" i="8"/>
  <c r="L9" i="8"/>
  <c r="K9" i="8"/>
  <c r="J9" i="8"/>
  <c r="H9" i="8"/>
  <c r="G9" i="8"/>
  <c r="F9" i="8"/>
  <c r="H50" i="12" s="1"/>
  <c r="D9" i="8"/>
  <c r="C9" i="8"/>
  <c r="S73" i="7"/>
  <c r="O73" i="7"/>
  <c r="K73" i="7"/>
  <c r="G73" i="7"/>
  <c r="C73" i="7"/>
  <c r="V71" i="7"/>
  <c r="T71" i="7"/>
  <c r="R71" i="7"/>
  <c r="P71" i="7"/>
  <c r="N71" i="7"/>
  <c r="L71" i="7"/>
  <c r="J71" i="7"/>
  <c r="H71" i="7"/>
  <c r="F71" i="7"/>
  <c r="D71" i="7"/>
  <c r="U69" i="7"/>
  <c r="Q69" i="7"/>
  <c r="M69" i="7"/>
  <c r="I69" i="7"/>
  <c r="E69" i="7"/>
  <c r="U68" i="7"/>
  <c r="Q68" i="7"/>
  <c r="M68" i="7"/>
  <c r="I68" i="7"/>
  <c r="E68" i="7"/>
  <c r="U67" i="7"/>
  <c r="Q67" i="7"/>
  <c r="M67" i="7"/>
  <c r="I67" i="7"/>
  <c r="E67" i="7"/>
  <c r="U66" i="7"/>
  <c r="Q66" i="7"/>
  <c r="M66" i="7"/>
  <c r="I66" i="7"/>
  <c r="E66" i="7"/>
  <c r="U65" i="7"/>
  <c r="Q65" i="7"/>
  <c r="M65" i="7"/>
  <c r="I65" i="7"/>
  <c r="E65" i="7"/>
  <c r="U64" i="7"/>
  <c r="Q64" i="7"/>
  <c r="M64" i="7"/>
  <c r="I64" i="7"/>
  <c r="E64" i="7"/>
  <c r="U63" i="7"/>
  <c r="Q63" i="7"/>
  <c r="M63" i="7"/>
  <c r="I63" i="7"/>
  <c r="E63" i="7"/>
  <c r="U62" i="7"/>
  <c r="Q62" i="7"/>
  <c r="M62" i="7"/>
  <c r="I62" i="7"/>
  <c r="E62" i="7"/>
  <c r="S57" i="7"/>
  <c r="O57" i="7"/>
  <c r="K57" i="7"/>
  <c r="G57" i="7"/>
  <c r="C57" i="7"/>
  <c r="V55" i="7"/>
  <c r="T55" i="7"/>
  <c r="R55" i="7"/>
  <c r="P55" i="7"/>
  <c r="N55" i="7"/>
  <c r="L55" i="7"/>
  <c r="J55" i="7"/>
  <c r="H55" i="7"/>
  <c r="F55" i="7"/>
  <c r="D55" i="7"/>
  <c r="U53" i="7"/>
  <c r="Q53" i="7"/>
  <c r="M53" i="7"/>
  <c r="I53" i="7"/>
  <c r="E53" i="7"/>
  <c r="U52" i="7"/>
  <c r="Q52" i="7"/>
  <c r="M52" i="7"/>
  <c r="I52" i="7"/>
  <c r="E52" i="7"/>
  <c r="U51" i="7"/>
  <c r="Q51" i="7"/>
  <c r="M51" i="7"/>
  <c r="I51" i="7"/>
  <c r="E51" i="7"/>
  <c r="U50" i="7"/>
  <c r="Q50" i="7"/>
  <c r="M50" i="7"/>
  <c r="I50" i="7"/>
  <c r="E50" i="7"/>
  <c r="U49" i="7"/>
  <c r="Q49" i="7"/>
  <c r="M49" i="7"/>
  <c r="I49" i="7"/>
  <c r="E49" i="7"/>
  <c r="U48" i="7"/>
  <c r="Q48" i="7"/>
  <c r="M48" i="7"/>
  <c r="I48" i="7"/>
  <c r="E48" i="7"/>
  <c r="U47" i="7"/>
  <c r="Q47" i="7"/>
  <c r="M47" i="7"/>
  <c r="I47" i="7"/>
  <c r="E47" i="7"/>
  <c r="U46" i="7"/>
  <c r="Q46" i="7"/>
  <c r="M46" i="7"/>
  <c r="I46" i="7"/>
  <c r="E46" i="7"/>
  <c r="S41" i="7"/>
  <c r="O41" i="7"/>
  <c r="K41" i="7"/>
  <c r="G41" i="7"/>
  <c r="C41" i="7"/>
  <c r="V39" i="7"/>
  <c r="T39" i="7"/>
  <c r="R39" i="7"/>
  <c r="P39" i="7"/>
  <c r="N39" i="7"/>
  <c r="L39" i="7"/>
  <c r="J39" i="7"/>
  <c r="H39" i="7"/>
  <c r="F39" i="7"/>
  <c r="D39" i="7"/>
  <c r="U37" i="7"/>
  <c r="Q37" i="7"/>
  <c r="M37" i="7"/>
  <c r="I37" i="7"/>
  <c r="E37" i="7"/>
  <c r="U36" i="7"/>
  <c r="Q36" i="7"/>
  <c r="M36" i="7"/>
  <c r="I36" i="7"/>
  <c r="E36" i="7"/>
  <c r="U35" i="7"/>
  <c r="Q35" i="7"/>
  <c r="M35" i="7"/>
  <c r="I35" i="7"/>
  <c r="E35" i="7"/>
  <c r="U34" i="7"/>
  <c r="Q34" i="7"/>
  <c r="M34" i="7"/>
  <c r="I34" i="7"/>
  <c r="E34" i="7"/>
  <c r="U33" i="7"/>
  <c r="Q33" i="7"/>
  <c r="M33" i="7"/>
  <c r="I33" i="7"/>
  <c r="E33" i="7"/>
  <c r="U32" i="7"/>
  <c r="Q32" i="7"/>
  <c r="M32" i="7"/>
  <c r="I32" i="7"/>
  <c r="E32" i="7"/>
  <c r="U31" i="7"/>
  <c r="Q31" i="7"/>
  <c r="M31" i="7"/>
  <c r="I31" i="7"/>
  <c r="E31" i="7"/>
  <c r="U30" i="7"/>
  <c r="Q30" i="7"/>
  <c r="M30" i="7"/>
  <c r="I30" i="7"/>
  <c r="E30" i="7"/>
  <c r="V16" i="7"/>
  <c r="AM57" i="12" s="1"/>
  <c r="T16" i="7"/>
  <c r="S16" i="7"/>
  <c r="R16" i="7"/>
  <c r="P16" i="7"/>
  <c r="O16" i="7"/>
  <c r="N16" i="7"/>
  <c r="L16" i="7"/>
  <c r="K16" i="7"/>
  <c r="J16" i="7"/>
  <c r="H16" i="7"/>
  <c r="G16" i="7"/>
  <c r="F16" i="7"/>
  <c r="G57" i="12" s="1"/>
  <c r="D16" i="7"/>
  <c r="C16" i="7"/>
  <c r="V15" i="7"/>
  <c r="T15" i="7"/>
  <c r="S15" i="7"/>
  <c r="R15" i="7"/>
  <c r="P15" i="7"/>
  <c r="O15" i="7"/>
  <c r="N15" i="7"/>
  <c r="L15" i="7"/>
  <c r="K15" i="7"/>
  <c r="J15" i="7"/>
  <c r="O56" i="12" s="1"/>
  <c r="H15" i="7"/>
  <c r="G15" i="7"/>
  <c r="F15" i="7"/>
  <c r="D15" i="7"/>
  <c r="C15" i="7"/>
  <c r="V14" i="7"/>
  <c r="T14" i="7"/>
  <c r="S14" i="7"/>
  <c r="R14" i="7"/>
  <c r="P14" i="7"/>
  <c r="O14" i="7"/>
  <c r="N14" i="7"/>
  <c r="L14" i="7"/>
  <c r="K14" i="7"/>
  <c r="J14" i="7"/>
  <c r="H14" i="7"/>
  <c r="G14" i="7"/>
  <c r="F14" i="7"/>
  <c r="D14" i="7"/>
  <c r="C14" i="7"/>
  <c r="V13" i="7"/>
  <c r="T13" i="7"/>
  <c r="S13" i="7"/>
  <c r="R13" i="7"/>
  <c r="AE54" i="12" s="1"/>
  <c r="P13" i="7"/>
  <c r="O13" i="7"/>
  <c r="N13" i="7"/>
  <c r="L13" i="7"/>
  <c r="K13" i="7"/>
  <c r="J13" i="7"/>
  <c r="H13" i="7"/>
  <c r="G13" i="7"/>
  <c r="F13" i="7"/>
  <c r="D13" i="7"/>
  <c r="C13" i="7"/>
  <c r="V12" i="7"/>
  <c r="T12" i="7"/>
  <c r="S12" i="7"/>
  <c r="R12" i="7"/>
  <c r="P12" i="7"/>
  <c r="O12" i="7"/>
  <c r="N12" i="7"/>
  <c r="L12" i="7"/>
  <c r="K12" i="7"/>
  <c r="J12" i="7"/>
  <c r="H12" i="7"/>
  <c r="G12" i="7"/>
  <c r="F12" i="7"/>
  <c r="G53" i="12" s="1"/>
  <c r="D12" i="7"/>
  <c r="C12" i="7"/>
  <c r="V11" i="7"/>
  <c r="T11" i="7"/>
  <c r="S11" i="7"/>
  <c r="R11" i="7"/>
  <c r="P11" i="7"/>
  <c r="O11" i="7"/>
  <c r="N11" i="7"/>
  <c r="L11" i="7"/>
  <c r="K11" i="7"/>
  <c r="J11" i="7"/>
  <c r="H11" i="7"/>
  <c r="G11" i="7"/>
  <c r="F11" i="7"/>
  <c r="D11" i="7"/>
  <c r="C11" i="7"/>
  <c r="V10" i="7"/>
  <c r="T10" i="7"/>
  <c r="S10" i="7"/>
  <c r="R10" i="7"/>
  <c r="P10" i="7"/>
  <c r="O10" i="7"/>
  <c r="N10" i="7"/>
  <c r="W51" i="12" s="1"/>
  <c r="L10" i="7"/>
  <c r="K10" i="7"/>
  <c r="J10" i="7"/>
  <c r="H10" i="7"/>
  <c r="G10" i="7"/>
  <c r="F10" i="7"/>
  <c r="D10" i="7"/>
  <c r="C10" i="7"/>
  <c r="V9" i="7"/>
  <c r="T9" i="7"/>
  <c r="S9" i="7"/>
  <c r="R9" i="7"/>
  <c r="P9" i="7"/>
  <c r="O9" i="7"/>
  <c r="N9" i="7"/>
  <c r="L9" i="7"/>
  <c r="K9" i="7"/>
  <c r="J9" i="7"/>
  <c r="H9" i="7"/>
  <c r="G9" i="7"/>
  <c r="F9" i="7"/>
  <c r="D9" i="7"/>
  <c r="C9" i="7"/>
  <c r="S71" i="6"/>
  <c r="O71" i="6"/>
  <c r="K71" i="6"/>
  <c r="G71" i="6"/>
  <c r="C71" i="6"/>
  <c r="V69" i="6"/>
  <c r="T69" i="6"/>
  <c r="R69" i="6"/>
  <c r="P69" i="6"/>
  <c r="N69" i="6"/>
  <c r="L69" i="6"/>
  <c r="J69" i="6"/>
  <c r="H69" i="6"/>
  <c r="F69" i="6"/>
  <c r="D69" i="6"/>
  <c r="U67" i="6"/>
  <c r="Q67" i="6"/>
  <c r="M67" i="6"/>
  <c r="I67" i="6"/>
  <c r="E67" i="6"/>
  <c r="U66" i="6"/>
  <c r="Q66" i="6"/>
  <c r="M66" i="6"/>
  <c r="I66" i="6"/>
  <c r="E66" i="6"/>
  <c r="U65" i="6"/>
  <c r="Q65" i="6"/>
  <c r="M65" i="6"/>
  <c r="I65" i="6"/>
  <c r="E65" i="6"/>
  <c r="U64" i="6"/>
  <c r="Q64" i="6"/>
  <c r="M64" i="6"/>
  <c r="I64" i="6"/>
  <c r="E64" i="6"/>
  <c r="U63" i="6"/>
  <c r="Q63" i="6"/>
  <c r="M63" i="6"/>
  <c r="I63" i="6"/>
  <c r="E63" i="6"/>
  <c r="U62" i="6"/>
  <c r="Q62" i="6"/>
  <c r="M62" i="6"/>
  <c r="I62" i="6"/>
  <c r="E62" i="6"/>
  <c r="U61" i="6"/>
  <c r="Q61" i="6"/>
  <c r="M61" i="6"/>
  <c r="I61" i="6"/>
  <c r="E61" i="6"/>
  <c r="U60" i="6"/>
  <c r="Q60" i="6"/>
  <c r="M60" i="6"/>
  <c r="I60" i="6"/>
  <c r="E60" i="6"/>
  <c r="S56" i="6"/>
  <c r="O56" i="6"/>
  <c r="K56" i="6"/>
  <c r="G56" i="6"/>
  <c r="C56" i="6"/>
  <c r="V54" i="6"/>
  <c r="T54" i="6"/>
  <c r="R54" i="6"/>
  <c r="P54" i="6"/>
  <c r="N54" i="6"/>
  <c r="L54" i="6"/>
  <c r="J54" i="6"/>
  <c r="H54" i="6"/>
  <c r="F54" i="6"/>
  <c r="D54" i="6"/>
  <c r="U52" i="6"/>
  <c r="Q52" i="6"/>
  <c r="M52" i="6"/>
  <c r="I52" i="6"/>
  <c r="E52" i="6"/>
  <c r="U51" i="6"/>
  <c r="Q51" i="6"/>
  <c r="M51" i="6"/>
  <c r="I51" i="6"/>
  <c r="E51" i="6"/>
  <c r="U50" i="6"/>
  <c r="Q50" i="6"/>
  <c r="M50" i="6"/>
  <c r="I50" i="6"/>
  <c r="E50" i="6"/>
  <c r="U49" i="6"/>
  <c r="Q49" i="6"/>
  <c r="M49" i="6"/>
  <c r="I49" i="6"/>
  <c r="E49" i="6"/>
  <c r="U48" i="6"/>
  <c r="Q48" i="6"/>
  <c r="M48" i="6"/>
  <c r="I48" i="6"/>
  <c r="E48" i="6"/>
  <c r="U47" i="6"/>
  <c r="Q47" i="6"/>
  <c r="M47" i="6"/>
  <c r="I47" i="6"/>
  <c r="E47" i="6"/>
  <c r="U46" i="6"/>
  <c r="Q46" i="6"/>
  <c r="M46" i="6"/>
  <c r="I46" i="6"/>
  <c r="E46" i="6"/>
  <c r="U45" i="6"/>
  <c r="Q45" i="6"/>
  <c r="M45" i="6"/>
  <c r="I45" i="6"/>
  <c r="E45" i="6"/>
  <c r="S40" i="6"/>
  <c r="O40" i="6"/>
  <c r="K40" i="6"/>
  <c r="G40" i="6"/>
  <c r="C40" i="6"/>
  <c r="V38" i="6"/>
  <c r="T38" i="6"/>
  <c r="R38" i="6"/>
  <c r="P38" i="6"/>
  <c r="N38" i="6"/>
  <c r="L38" i="6"/>
  <c r="J38" i="6"/>
  <c r="H38" i="6"/>
  <c r="F38" i="6"/>
  <c r="D38" i="6"/>
  <c r="U36" i="6"/>
  <c r="U16" i="6" s="1"/>
  <c r="Q36" i="6"/>
  <c r="M36" i="6"/>
  <c r="I36" i="6"/>
  <c r="E36" i="6"/>
  <c r="U35" i="6"/>
  <c r="Q35" i="6"/>
  <c r="M35" i="6"/>
  <c r="I35" i="6"/>
  <c r="E35" i="6"/>
  <c r="U34" i="6"/>
  <c r="Q34" i="6"/>
  <c r="M34" i="6"/>
  <c r="I34" i="6"/>
  <c r="E34" i="6"/>
  <c r="U33" i="6"/>
  <c r="Q33" i="6"/>
  <c r="M33" i="6"/>
  <c r="I33" i="6"/>
  <c r="E33" i="6"/>
  <c r="U32" i="6"/>
  <c r="Q32" i="6"/>
  <c r="M32" i="6"/>
  <c r="I32" i="6"/>
  <c r="I12" i="6" s="1"/>
  <c r="N37" i="12" s="1"/>
  <c r="E32" i="6"/>
  <c r="U31" i="6"/>
  <c r="Q31" i="6"/>
  <c r="M31" i="6"/>
  <c r="I31" i="6"/>
  <c r="E31" i="6"/>
  <c r="U30" i="6"/>
  <c r="Q30" i="6"/>
  <c r="M30" i="6"/>
  <c r="I30" i="6"/>
  <c r="E30" i="6"/>
  <c r="U29" i="6"/>
  <c r="Q29" i="6"/>
  <c r="M29" i="6"/>
  <c r="I29" i="6"/>
  <c r="E29" i="6"/>
  <c r="V16" i="6"/>
  <c r="T16" i="6"/>
  <c r="S16" i="6"/>
  <c r="R16" i="6"/>
  <c r="P16" i="6"/>
  <c r="O16" i="6"/>
  <c r="N16" i="6"/>
  <c r="L16" i="6"/>
  <c r="K16" i="6"/>
  <c r="J16" i="6"/>
  <c r="H16" i="6"/>
  <c r="G16" i="6"/>
  <c r="F16" i="6"/>
  <c r="D16" i="6"/>
  <c r="C16" i="6"/>
  <c r="V15" i="6"/>
  <c r="T15" i="6"/>
  <c r="S15" i="6"/>
  <c r="R15" i="6"/>
  <c r="P15" i="6"/>
  <c r="O15" i="6"/>
  <c r="N15" i="6"/>
  <c r="L15" i="6"/>
  <c r="K15" i="6"/>
  <c r="J15" i="6"/>
  <c r="H15" i="6"/>
  <c r="G15" i="6"/>
  <c r="F15" i="6"/>
  <c r="D15" i="6"/>
  <c r="C15" i="6"/>
  <c r="V14" i="6"/>
  <c r="T14" i="6"/>
  <c r="S14" i="6"/>
  <c r="R14" i="6"/>
  <c r="P14" i="6"/>
  <c r="N14" i="6"/>
  <c r="L14" i="6"/>
  <c r="K14" i="6"/>
  <c r="J14" i="6"/>
  <c r="H14" i="6"/>
  <c r="G14" i="6"/>
  <c r="F14" i="6"/>
  <c r="D14" i="6"/>
  <c r="C14" i="6"/>
  <c r="V13" i="6"/>
  <c r="T13" i="6"/>
  <c r="S13" i="6"/>
  <c r="R13" i="6"/>
  <c r="P13" i="6"/>
  <c r="O13" i="6"/>
  <c r="N13" i="6"/>
  <c r="L13" i="6"/>
  <c r="K13" i="6"/>
  <c r="J13" i="6"/>
  <c r="H13" i="6"/>
  <c r="G13" i="6"/>
  <c r="F13" i="6"/>
  <c r="D13" i="6"/>
  <c r="C13" i="6"/>
  <c r="V12" i="6"/>
  <c r="T12" i="6"/>
  <c r="S12" i="6"/>
  <c r="R12" i="6"/>
  <c r="P12" i="6"/>
  <c r="O12" i="6"/>
  <c r="N12" i="6"/>
  <c r="L12" i="6"/>
  <c r="K12" i="6"/>
  <c r="J12" i="6"/>
  <c r="H12" i="6"/>
  <c r="G12" i="6"/>
  <c r="F12" i="6"/>
  <c r="D12" i="6"/>
  <c r="C12" i="6"/>
  <c r="V11" i="6"/>
  <c r="T11" i="6"/>
  <c r="S11" i="6"/>
  <c r="R11" i="6"/>
  <c r="P11" i="6"/>
  <c r="O11" i="6"/>
  <c r="N11" i="6"/>
  <c r="L11" i="6"/>
  <c r="K11" i="6"/>
  <c r="J11" i="6"/>
  <c r="H11" i="6"/>
  <c r="G11" i="6"/>
  <c r="F11" i="6"/>
  <c r="D11" i="6"/>
  <c r="C11" i="6"/>
  <c r="V10" i="6"/>
  <c r="T10" i="6"/>
  <c r="S10" i="6"/>
  <c r="R10" i="6"/>
  <c r="P10" i="6"/>
  <c r="O10" i="6"/>
  <c r="N10" i="6"/>
  <c r="L10" i="6"/>
  <c r="K10" i="6"/>
  <c r="J10" i="6"/>
  <c r="N51" i="12" s="1"/>
  <c r="H10" i="6"/>
  <c r="G10" i="6"/>
  <c r="F10" i="6"/>
  <c r="D10" i="6"/>
  <c r="C10" i="6"/>
  <c r="V9" i="6"/>
  <c r="T9" i="6"/>
  <c r="S9" i="6"/>
  <c r="R9" i="6"/>
  <c r="P9" i="6"/>
  <c r="O9" i="6"/>
  <c r="N9" i="6"/>
  <c r="L9" i="6"/>
  <c r="K9" i="6"/>
  <c r="J9" i="6"/>
  <c r="H9" i="6"/>
  <c r="G9" i="6"/>
  <c r="F9" i="6"/>
  <c r="D9" i="6"/>
  <c r="C9" i="6"/>
  <c r="S72" i="5"/>
  <c r="O72" i="5"/>
  <c r="K72" i="5"/>
  <c r="G72" i="5"/>
  <c r="C72" i="5"/>
  <c r="V70" i="5"/>
  <c r="T70" i="5"/>
  <c r="R70" i="5"/>
  <c r="P70" i="5"/>
  <c r="N70" i="5"/>
  <c r="L70" i="5"/>
  <c r="J70" i="5"/>
  <c r="H70" i="5"/>
  <c r="F70" i="5"/>
  <c r="D70" i="5"/>
  <c r="U68" i="5"/>
  <c r="Q68" i="5"/>
  <c r="M68" i="5"/>
  <c r="I68" i="5"/>
  <c r="E68" i="5"/>
  <c r="U67" i="5"/>
  <c r="Q67" i="5"/>
  <c r="M67" i="5"/>
  <c r="I67" i="5"/>
  <c r="E67" i="5"/>
  <c r="U66" i="5"/>
  <c r="Q66" i="5"/>
  <c r="M66" i="5"/>
  <c r="I66" i="5"/>
  <c r="E66" i="5"/>
  <c r="U65" i="5"/>
  <c r="Q65" i="5"/>
  <c r="M65" i="5"/>
  <c r="I65" i="5"/>
  <c r="E65" i="5"/>
  <c r="U64" i="5"/>
  <c r="Q64" i="5"/>
  <c r="M64" i="5"/>
  <c r="I64" i="5"/>
  <c r="E64" i="5"/>
  <c r="U63" i="5"/>
  <c r="Q63" i="5"/>
  <c r="M63" i="5"/>
  <c r="I63" i="5"/>
  <c r="E63" i="5"/>
  <c r="U62" i="5"/>
  <c r="Q62" i="5"/>
  <c r="M62" i="5"/>
  <c r="I62" i="5"/>
  <c r="E62" i="5"/>
  <c r="U61" i="5"/>
  <c r="Q61" i="5"/>
  <c r="M61" i="5"/>
  <c r="I61" i="5"/>
  <c r="E61" i="5"/>
  <c r="S56" i="5"/>
  <c r="O56" i="5"/>
  <c r="K56" i="5"/>
  <c r="G56" i="5"/>
  <c r="C56" i="5"/>
  <c r="V54" i="5"/>
  <c r="V18" i="5" s="1"/>
  <c r="T54" i="5"/>
  <c r="T18" i="5" s="1"/>
  <c r="R54" i="5"/>
  <c r="R18" i="5" s="1"/>
  <c r="P54" i="5"/>
  <c r="P18" i="5" s="1"/>
  <c r="N54" i="5"/>
  <c r="N18" i="5" s="1"/>
  <c r="L54" i="5"/>
  <c r="J54" i="5"/>
  <c r="H54" i="5"/>
  <c r="F54" i="5"/>
  <c r="D54" i="5"/>
  <c r="U52" i="5"/>
  <c r="Q52" i="5"/>
  <c r="M52" i="5"/>
  <c r="I52" i="5"/>
  <c r="E52" i="5"/>
  <c r="U51" i="5"/>
  <c r="Q51" i="5"/>
  <c r="M51" i="5"/>
  <c r="M15" i="5" s="1"/>
  <c r="U40" i="12" s="1"/>
  <c r="I51" i="5"/>
  <c r="E51" i="5"/>
  <c r="U50" i="5"/>
  <c r="Q50" i="5"/>
  <c r="M50" i="5"/>
  <c r="I50" i="5"/>
  <c r="E50" i="5"/>
  <c r="U49" i="5"/>
  <c r="Q49" i="5"/>
  <c r="M49" i="5"/>
  <c r="I49" i="5"/>
  <c r="E49" i="5"/>
  <c r="U48" i="5"/>
  <c r="Q48" i="5"/>
  <c r="M48" i="5"/>
  <c r="I48" i="5"/>
  <c r="E48" i="5"/>
  <c r="U47" i="5"/>
  <c r="Q47" i="5"/>
  <c r="M47" i="5"/>
  <c r="I47" i="5"/>
  <c r="E47" i="5"/>
  <c r="U46" i="5"/>
  <c r="Q46" i="5"/>
  <c r="M46" i="5"/>
  <c r="I46" i="5"/>
  <c r="E46" i="5"/>
  <c r="U45" i="5"/>
  <c r="Q45" i="5"/>
  <c r="M45" i="5"/>
  <c r="I45" i="5"/>
  <c r="E45" i="5"/>
  <c r="S40" i="5"/>
  <c r="O40" i="5"/>
  <c r="K40" i="5"/>
  <c r="G40" i="5"/>
  <c r="C40" i="5"/>
  <c r="V38" i="5"/>
  <c r="T38" i="5"/>
  <c r="R38" i="5"/>
  <c r="P38" i="5"/>
  <c r="N38" i="5"/>
  <c r="L38" i="5"/>
  <c r="J38" i="5"/>
  <c r="H38" i="5"/>
  <c r="F38" i="5"/>
  <c r="D38" i="5"/>
  <c r="U36" i="5"/>
  <c r="Q36" i="5"/>
  <c r="M36" i="5"/>
  <c r="I36" i="5"/>
  <c r="E36" i="5"/>
  <c r="U35" i="5"/>
  <c r="U15" i="5" s="1"/>
  <c r="Q35" i="5"/>
  <c r="M35" i="5"/>
  <c r="I35" i="5"/>
  <c r="E35" i="5"/>
  <c r="U34" i="5"/>
  <c r="Q34" i="5"/>
  <c r="M34" i="5"/>
  <c r="I34" i="5"/>
  <c r="E34" i="5"/>
  <c r="U33" i="5"/>
  <c r="Q33" i="5"/>
  <c r="M33" i="5"/>
  <c r="I33" i="5"/>
  <c r="E33" i="5"/>
  <c r="U32" i="5"/>
  <c r="Q32" i="5"/>
  <c r="M32" i="5"/>
  <c r="I32" i="5"/>
  <c r="E32" i="5"/>
  <c r="U31" i="5"/>
  <c r="Q31" i="5"/>
  <c r="M31" i="5"/>
  <c r="I31" i="5"/>
  <c r="E31" i="5"/>
  <c r="U30" i="5"/>
  <c r="Q30" i="5"/>
  <c r="M30" i="5"/>
  <c r="I30" i="5"/>
  <c r="E30" i="5"/>
  <c r="U29" i="5"/>
  <c r="Q29" i="5"/>
  <c r="M29" i="5"/>
  <c r="I29" i="5"/>
  <c r="E29" i="5"/>
  <c r="V16" i="5"/>
  <c r="T16" i="5"/>
  <c r="S16" i="5"/>
  <c r="R16" i="5"/>
  <c r="AC57" i="12" s="1"/>
  <c r="P16" i="5"/>
  <c r="L16" i="12" s="1"/>
  <c r="O16" i="5"/>
  <c r="N16" i="5"/>
  <c r="L16" i="5"/>
  <c r="K16" i="5"/>
  <c r="J16" i="5"/>
  <c r="M57" i="12" s="1"/>
  <c r="H16" i="5"/>
  <c r="G16" i="5"/>
  <c r="F16" i="5"/>
  <c r="D16" i="5"/>
  <c r="C16" i="5"/>
  <c r="V15" i="5"/>
  <c r="Q15" i="12" s="1"/>
  <c r="T15" i="5"/>
  <c r="S15" i="5"/>
  <c r="R15" i="5"/>
  <c r="AC56" i="12" s="1"/>
  <c r="P15" i="5"/>
  <c r="O15" i="5"/>
  <c r="N15" i="5"/>
  <c r="U56" i="12" s="1"/>
  <c r="L15" i="5"/>
  <c r="K15" i="5"/>
  <c r="J15" i="5"/>
  <c r="M56" i="12" s="1"/>
  <c r="H15" i="5"/>
  <c r="G15" i="5"/>
  <c r="F15" i="5"/>
  <c r="D15" i="5"/>
  <c r="C15" i="5"/>
  <c r="V14" i="5"/>
  <c r="T14" i="5"/>
  <c r="O14" i="12" s="1"/>
  <c r="S14" i="5"/>
  <c r="R14" i="5"/>
  <c r="P14" i="5"/>
  <c r="O14" i="5"/>
  <c r="N14" i="5"/>
  <c r="U55" i="12" s="1"/>
  <c r="L14" i="5"/>
  <c r="K14" i="5"/>
  <c r="J14" i="5"/>
  <c r="M55" i="12" s="1"/>
  <c r="H14" i="5"/>
  <c r="G14" i="5"/>
  <c r="F14" i="5"/>
  <c r="D14" i="5"/>
  <c r="C14" i="5"/>
  <c r="V13" i="5"/>
  <c r="T13" i="5"/>
  <c r="S13" i="5"/>
  <c r="R13" i="5"/>
  <c r="P13" i="5"/>
  <c r="O13" i="5"/>
  <c r="N13" i="5"/>
  <c r="L13" i="5"/>
  <c r="K13" i="5"/>
  <c r="J13" i="5"/>
  <c r="H13" i="5"/>
  <c r="G13" i="5"/>
  <c r="F13" i="5"/>
  <c r="D13" i="5"/>
  <c r="C13" i="5"/>
  <c r="V12" i="5"/>
  <c r="Q12" i="12" s="1"/>
  <c r="T12" i="5"/>
  <c r="S12" i="5"/>
  <c r="R12" i="5"/>
  <c r="P12" i="5"/>
  <c r="O12" i="5"/>
  <c r="N12" i="5"/>
  <c r="U53" i="12" s="1"/>
  <c r="L12" i="5"/>
  <c r="K12" i="5"/>
  <c r="J12" i="5"/>
  <c r="M53" i="12" s="1"/>
  <c r="H12" i="5"/>
  <c r="G12" i="5"/>
  <c r="F12" i="5"/>
  <c r="D12" i="5"/>
  <c r="C12" i="5"/>
  <c r="V11" i="5"/>
  <c r="T11" i="5"/>
  <c r="O11" i="12" s="1"/>
  <c r="S11" i="5"/>
  <c r="R11" i="5"/>
  <c r="AC52" i="12" s="1"/>
  <c r="P11" i="5"/>
  <c r="O11" i="5"/>
  <c r="N11" i="5"/>
  <c r="L11" i="5"/>
  <c r="K11" i="5"/>
  <c r="J11" i="5"/>
  <c r="M52" i="12" s="1"/>
  <c r="H11" i="5"/>
  <c r="G11" i="5"/>
  <c r="F11" i="5"/>
  <c r="D11" i="5"/>
  <c r="C11" i="5"/>
  <c r="V10" i="5"/>
  <c r="AK51" i="12" s="1"/>
  <c r="T10" i="5"/>
  <c r="S10" i="5"/>
  <c r="R10" i="5"/>
  <c r="P10" i="5"/>
  <c r="O10" i="5"/>
  <c r="N10" i="5"/>
  <c r="U51" i="12" s="1"/>
  <c r="L10" i="5"/>
  <c r="K10" i="5"/>
  <c r="J10" i="5"/>
  <c r="M51" i="12" s="1"/>
  <c r="H10" i="5"/>
  <c r="G10" i="5"/>
  <c r="F10" i="5"/>
  <c r="D10" i="5"/>
  <c r="C10" i="5"/>
  <c r="V9" i="5"/>
  <c r="AK50" i="12" s="1"/>
  <c r="T9" i="5"/>
  <c r="S9" i="5"/>
  <c r="R9" i="5"/>
  <c r="P9" i="5"/>
  <c r="O9" i="5"/>
  <c r="N9" i="5"/>
  <c r="U50" i="12" s="1"/>
  <c r="L9" i="5"/>
  <c r="K9" i="5"/>
  <c r="J9" i="5"/>
  <c r="M50" i="12" s="1"/>
  <c r="H9" i="5"/>
  <c r="G9" i="5"/>
  <c r="F9" i="5"/>
  <c r="E50" i="12" s="1"/>
  <c r="D9" i="5"/>
  <c r="C9" i="5"/>
  <c r="S71" i="4"/>
  <c r="O71" i="4"/>
  <c r="K71" i="4"/>
  <c r="G71" i="4"/>
  <c r="C71" i="4"/>
  <c r="V69" i="4"/>
  <c r="T69" i="4"/>
  <c r="R69" i="4"/>
  <c r="P69" i="4"/>
  <c r="N69" i="4"/>
  <c r="L69" i="4"/>
  <c r="J69" i="4"/>
  <c r="H69" i="4"/>
  <c r="F69" i="4"/>
  <c r="D69" i="4"/>
  <c r="U67" i="4"/>
  <c r="Q67" i="4"/>
  <c r="M67" i="4"/>
  <c r="I67" i="4"/>
  <c r="E67" i="4"/>
  <c r="U66" i="4"/>
  <c r="Q66" i="4"/>
  <c r="M66" i="4"/>
  <c r="I66" i="4"/>
  <c r="E66" i="4"/>
  <c r="U65" i="4"/>
  <c r="Q65" i="4"/>
  <c r="M65" i="4"/>
  <c r="I65" i="4"/>
  <c r="E65" i="4"/>
  <c r="U64" i="4"/>
  <c r="Q64" i="4"/>
  <c r="M64" i="4"/>
  <c r="I64" i="4"/>
  <c r="E64" i="4"/>
  <c r="U63" i="4"/>
  <c r="Q63" i="4"/>
  <c r="M63" i="4"/>
  <c r="I63" i="4"/>
  <c r="E63" i="4"/>
  <c r="U62" i="4"/>
  <c r="Q62" i="4"/>
  <c r="M62" i="4"/>
  <c r="I62" i="4"/>
  <c r="E62" i="4"/>
  <c r="U61" i="4"/>
  <c r="Q61" i="4"/>
  <c r="M61" i="4"/>
  <c r="I61" i="4"/>
  <c r="E61" i="4"/>
  <c r="U60" i="4"/>
  <c r="Q60" i="4"/>
  <c r="M60" i="4"/>
  <c r="I60" i="4"/>
  <c r="E60" i="4"/>
  <c r="S55" i="4"/>
  <c r="O55" i="4"/>
  <c r="K55" i="4"/>
  <c r="G55" i="4"/>
  <c r="C55" i="4"/>
  <c r="V53" i="4"/>
  <c r="T53" i="4"/>
  <c r="R53" i="4"/>
  <c r="P53" i="4"/>
  <c r="N53" i="4"/>
  <c r="L53" i="4"/>
  <c r="J53" i="4"/>
  <c r="H53" i="4"/>
  <c r="F53" i="4"/>
  <c r="D53" i="4"/>
  <c r="U51" i="4"/>
  <c r="Q51" i="4"/>
  <c r="M51" i="4"/>
  <c r="I51" i="4"/>
  <c r="E51" i="4"/>
  <c r="U50" i="4"/>
  <c r="Q50" i="4"/>
  <c r="M50" i="4"/>
  <c r="I50" i="4"/>
  <c r="E50" i="4"/>
  <c r="U49" i="4"/>
  <c r="Q49" i="4"/>
  <c r="M49" i="4"/>
  <c r="I49" i="4"/>
  <c r="E49" i="4"/>
  <c r="U48" i="4"/>
  <c r="Q48" i="4"/>
  <c r="M48" i="4"/>
  <c r="I48" i="4"/>
  <c r="E48" i="4"/>
  <c r="U47" i="4"/>
  <c r="Q47" i="4"/>
  <c r="M47" i="4"/>
  <c r="I47" i="4"/>
  <c r="E47" i="4"/>
  <c r="Q46" i="4"/>
  <c r="M46" i="4"/>
  <c r="I46" i="4"/>
  <c r="E46" i="4"/>
  <c r="U45" i="4"/>
  <c r="Q45" i="4"/>
  <c r="M45" i="4"/>
  <c r="I45" i="4"/>
  <c r="E45" i="4"/>
  <c r="U44" i="4"/>
  <c r="Q44" i="4"/>
  <c r="M44" i="4"/>
  <c r="I44" i="4"/>
  <c r="E44" i="4"/>
  <c r="S40" i="4"/>
  <c r="O40" i="4"/>
  <c r="K40" i="4"/>
  <c r="G40" i="4"/>
  <c r="C40" i="4"/>
  <c r="V38" i="4"/>
  <c r="T38" i="4"/>
  <c r="R38" i="4"/>
  <c r="P38" i="4"/>
  <c r="N38" i="4"/>
  <c r="L38" i="4"/>
  <c r="J38" i="4"/>
  <c r="H38" i="4"/>
  <c r="F38" i="4"/>
  <c r="D38" i="4"/>
  <c r="U36" i="4"/>
  <c r="Q36" i="4"/>
  <c r="M36" i="4"/>
  <c r="I36" i="4"/>
  <c r="E36" i="4"/>
  <c r="U35" i="4"/>
  <c r="Q35" i="4"/>
  <c r="M35" i="4"/>
  <c r="I35" i="4"/>
  <c r="E35" i="4"/>
  <c r="U34" i="4"/>
  <c r="Q34" i="4"/>
  <c r="M34" i="4"/>
  <c r="I34" i="4"/>
  <c r="I14" i="4" s="1"/>
  <c r="E34" i="4"/>
  <c r="U33" i="4"/>
  <c r="Q33" i="4"/>
  <c r="M33" i="4"/>
  <c r="I33" i="4"/>
  <c r="E33" i="4"/>
  <c r="U32" i="4"/>
  <c r="Q32" i="4"/>
  <c r="M32" i="4"/>
  <c r="I32" i="4"/>
  <c r="E32" i="4"/>
  <c r="U31" i="4"/>
  <c r="Q31" i="4"/>
  <c r="M31" i="4"/>
  <c r="I31" i="4"/>
  <c r="E31" i="4"/>
  <c r="E11" i="4" s="1"/>
  <c r="D36" i="12" s="1"/>
  <c r="U30" i="4"/>
  <c r="Q30" i="4"/>
  <c r="M30" i="4"/>
  <c r="I30" i="4"/>
  <c r="E30" i="4"/>
  <c r="U29" i="4"/>
  <c r="Q29" i="4"/>
  <c r="M29" i="4"/>
  <c r="I29" i="4"/>
  <c r="I9" i="4" s="1"/>
  <c r="E29" i="4"/>
  <c r="V16" i="4"/>
  <c r="AJ57" i="12" s="1"/>
  <c r="T16" i="4"/>
  <c r="S16" i="4"/>
  <c r="R16" i="4"/>
  <c r="AB57" i="12" s="1"/>
  <c r="P16" i="4"/>
  <c r="O16" i="4"/>
  <c r="N16" i="4"/>
  <c r="L16" i="4"/>
  <c r="K16" i="4"/>
  <c r="J16" i="4"/>
  <c r="H16" i="4"/>
  <c r="G16" i="4"/>
  <c r="F16" i="4"/>
  <c r="D57" i="12" s="1"/>
  <c r="D16" i="4"/>
  <c r="C16" i="4"/>
  <c r="V15" i="4"/>
  <c r="AJ56" i="12" s="1"/>
  <c r="T15" i="4"/>
  <c r="S15" i="4"/>
  <c r="R15" i="4"/>
  <c r="P15" i="4"/>
  <c r="O15" i="4"/>
  <c r="N15" i="4"/>
  <c r="L15" i="4"/>
  <c r="K15" i="4"/>
  <c r="J15" i="4"/>
  <c r="H15" i="4"/>
  <c r="G15" i="4"/>
  <c r="F15" i="4"/>
  <c r="D15" i="4"/>
  <c r="C15" i="4"/>
  <c r="V14" i="4"/>
  <c r="T14" i="4"/>
  <c r="S14" i="4"/>
  <c r="R14" i="4"/>
  <c r="AB55" i="12" s="1"/>
  <c r="P14" i="4"/>
  <c r="O14" i="4"/>
  <c r="N14" i="4"/>
  <c r="L14" i="4"/>
  <c r="K14" i="4"/>
  <c r="J14" i="4"/>
  <c r="L55" i="12" s="1"/>
  <c r="H14" i="4"/>
  <c r="G14" i="4"/>
  <c r="F14" i="4"/>
  <c r="D14" i="4"/>
  <c r="C14" i="4"/>
  <c r="V13" i="4"/>
  <c r="T13" i="4"/>
  <c r="S13" i="4"/>
  <c r="R13" i="4"/>
  <c r="P13" i="4"/>
  <c r="O13" i="4"/>
  <c r="N13" i="4"/>
  <c r="T54" i="12" s="1"/>
  <c r="L13" i="4"/>
  <c r="K13" i="4"/>
  <c r="J13" i="4"/>
  <c r="L54" i="12" s="1"/>
  <c r="H13" i="4"/>
  <c r="G13" i="4"/>
  <c r="F13" i="4"/>
  <c r="D13" i="4"/>
  <c r="C13" i="4"/>
  <c r="V12" i="4"/>
  <c r="T12" i="4"/>
  <c r="S12" i="4"/>
  <c r="R12" i="4"/>
  <c r="AB53" i="12" s="1"/>
  <c r="P12" i="4"/>
  <c r="O12" i="4"/>
  <c r="N12" i="4"/>
  <c r="L12" i="4"/>
  <c r="K12" i="4"/>
  <c r="J12" i="4"/>
  <c r="L53" i="12" s="1"/>
  <c r="H12" i="4"/>
  <c r="G12" i="4"/>
  <c r="F12" i="4"/>
  <c r="D12" i="4"/>
  <c r="C12" i="4"/>
  <c r="V11" i="4"/>
  <c r="T11" i="4"/>
  <c r="S11" i="4"/>
  <c r="R11" i="4"/>
  <c r="AB52" i="12" s="1"/>
  <c r="P11" i="4"/>
  <c r="O11" i="4"/>
  <c r="N11" i="4"/>
  <c r="L11" i="4"/>
  <c r="K11" i="4"/>
  <c r="J11" i="4"/>
  <c r="L52" i="12" s="1"/>
  <c r="H11" i="4"/>
  <c r="G11" i="4"/>
  <c r="F11" i="4"/>
  <c r="D11" i="4"/>
  <c r="C11" i="4"/>
  <c r="V10" i="4"/>
  <c r="T10" i="4"/>
  <c r="S10" i="4"/>
  <c r="R10" i="4"/>
  <c r="AB51" i="12" s="1"/>
  <c r="P10" i="4"/>
  <c r="O10" i="4"/>
  <c r="N10" i="4"/>
  <c r="T51" i="12" s="1"/>
  <c r="L10" i="4"/>
  <c r="K10" i="4"/>
  <c r="J10" i="4"/>
  <c r="H10" i="4"/>
  <c r="G10" i="4"/>
  <c r="F10" i="4"/>
  <c r="D51" i="12" s="1"/>
  <c r="D10" i="4"/>
  <c r="C10" i="4"/>
  <c r="V9" i="4"/>
  <c r="AJ50" i="12" s="1"/>
  <c r="T9" i="4"/>
  <c r="R9" i="4"/>
  <c r="P9" i="4"/>
  <c r="O9" i="4"/>
  <c r="N9" i="4"/>
  <c r="T50" i="12" s="1"/>
  <c r="L9" i="4"/>
  <c r="K9" i="4"/>
  <c r="J9" i="4"/>
  <c r="H9" i="4"/>
  <c r="G9" i="4"/>
  <c r="F9" i="4"/>
  <c r="D50" i="12" s="1"/>
  <c r="D9" i="4"/>
  <c r="C9" i="4"/>
  <c r="S72" i="3"/>
  <c r="O72" i="3"/>
  <c r="K72" i="3"/>
  <c r="G72" i="3"/>
  <c r="C72" i="3"/>
  <c r="V70" i="3"/>
  <c r="T70" i="3"/>
  <c r="R70" i="3"/>
  <c r="P70" i="3"/>
  <c r="N70" i="3"/>
  <c r="L70" i="3"/>
  <c r="J70" i="3"/>
  <c r="H70" i="3"/>
  <c r="F70" i="3"/>
  <c r="D70" i="3"/>
  <c r="U68" i="3"/>
  <c r="Q68" i="3"/>
  <c r="M68" i="3"/>
  <c r="I68" i="3"/>
  <c r="E68" i="3"/>
  <c r="U67" i="3"/>
  <c r="Q67" i="3"/>
  <c r="M67" i="3"/>
  <c r="I67" i="3"/>
  <c r="E67" i="3"/>
  <c r="U66" i="3"/>
  <c r="Q66" i="3"/>
  <c r="M66" i="3"/>
  <c r="I66" i="3"/>
  <c r="E66" i="3"/>
  <c r="U65" i="3"/>
  <c r="Q65" i="3"/>
  <c r="M65" i="3"/>
  <c r="I65" i="3"/>
  <c r="E65" i="3"/>
  <c r="U64" i="3"/>
  <c r="Q64" i="3"/>
  <c r="M64" i="3"/>
  <c r="I64" i="3"/>
  <c r="E64" i="3"/>
  <c r="U63" i="3"/>
  <c r="Q63" i="3"/>
  <c r="M63" i="3"/>
  <c r="I63" i="3"/>
  <c r="E63" i="3"/>
  <c r="U62" i="3"/>
  <c r="Q62" i="3"/>
  <c r="M62" i="3"/>
  <c r="I62" i="3"/>
  <c r="E62" i="3"/>
  <c r="U61" i="3"/>
  <c r="Q61" i="3"/>
  <c r="M61" i="3"/>
  <c r="I61" i="3"/>
  <c r="E61" i="3"/>
  <c r="S56" i="3"/>
  <c r="O56" i="3"/>
  <c r="K56" i="3"/>
  <c r="G56" i="3"/>
  <c r="C56" i="3"/>
  <c r="V54" i="3"/>
  <c r="T54" i="3"/>
  <c r="R54" i="3"/>
  <c r="P54" i="3"/>
  <c r="N54" i="3"/>
  <c r="L54" i="3"/>
  <c r="J54" i="3"/>
  <c r="H54" i="3"/>
  <c r="F54" i="3"/>
  <c r="D54" i="3"/>
  <c r="U52" i="3"/>
  <c r="Q52" i="3"/>
  <c r="M52" i="3"/>
  <c r="I52" i="3"/>
  <c r="E52" i="3"/>
  <c r="U51" i="3"/>
  <c r="Q51" i="3"/>
  <c r="M51" i="3"/>
  <c r="I51" i="3"/>
  <c r="E51" i="3"/>
  <c r="U50" i="3"/>
  <c r="Q50" i="3"/>
  <c r="M50" i="3"/>
  <c r="I50" i="3"/>
  <c r="E50" i="3"/>
  <c r="U49" i="3"/>
  <c r="Q49" i="3"/>
  <c r="M49" i="3"/>
  <c r="I49" i="3"/>
  <c r="E49" i="3"/>
  <c r="U48" i="3"/>
  <c r="Q48" i="3"/>
  <c r="M48" i="3"/>
  <c r="I48" i="3"/>
  <c r="E48" i="3"/>
  <c r="U47" i="3"/>
  <c r="Q47" i="3"/>
  <c r="M47" i="3"/>
  <c r="I47" i="3"/>
  <c r="E47" i="3"/>
  <c r="U46" i="3"/>
  <c r="Q46" i="3"/>
  <c r="M46" i="3"/>
  <c r="I46" i="3"/>
  <c r="E46" i="3"/>
  <c r="U45" i="3"/>
  <c r="Q45" i="3"/>
  <c r="M45" i="3"/>
  <c r="I45" i="3"/>
  <c r="E45" i="3"/>
  <c r="S40" i="3"/>
  <c r="O40" i="3"/>
  <c r="K40" i="3"/>
  <c r="G40" i="3"/>
  <c r="C40" i="3"/>
  <c r="V38" i="3"/>
  <c r="T38" i="3"/>
  <c r="R38" i="3"/>
  <c r="P38" i="3"/>
  <c r="N38" i="3"/>
  <c r="L38" i="3"/>
  <c r="J38" i="3"/>
  <c r="H38" i="3"/>
  <c r="F38" i="3"/>
  <c r="D38" i="3"/>
  <c r="U36" i="3"/>
  <c r="Q36" i="3"/>
  <c r="M36" i="3"/>
  <c r="I36" i="3"/>
  <c r="E36" i="3"/>
  <c r="U35" i="3"/>
  <c r="Q35" i="3"/>
  <c r="M35" i="3"/>
  <c r="I35" i="3"/>
  <c r="E35" i="3"/>
  <c r="U34" i="3"/>
  <c r="Q34" i="3"/>
  <c r="M34" i="3"/>
  <c r="I34" i="3"/>
  <c r="E34" i="3"/>
  <c r="U33" i="3"/>
  <c r="Q33" i="3"/>
  <c r="M33" i="3"/>
  <c r="I33" i="3"/>
  <c r="E33" i="3"/>
  <c r="U32" i="3"/>
  <c r="Q32" i="3"/>
  <c r="M32" i="3"/>
  <c r="I32" i="3"/>
  <c r="E32" i="3"/>
  <c r="U31" i="3"/>
  <c r="Q31" i="3"/>
  <c r="M31" i="3"/>
  <c r="I31" i="3"/>
  <c r="E31" i="3"/>
  <c r="U30" i="3"/>
  <c r="Q30" i="3"/>
  <c r="M30" i="3"/>
  <c r="I30" i="3"/>
  <c r="E30" i="3"/>
  <c r="U29" i="3"/>
  <c r="Q29" i="3"/>
  <c r="M29" i="3"/>
  <c r="I29" i="3"/>
  <c r="E29" i="3"/>
  <c r="V16" i="3"/>
  <c r="T16" i="3"/>
  <c r="S16" i="3"/>
  <c r="R16" i="3"/>
  <c r="P16" i="3"/>
  <c r="O16" i="3"/>
  <c r="N16" i="3"/>
  <c r="S57" i="12" s="1"/>
  <c r="L16" i="3"/>
  <c r="K16" i="3"/>
  <c r="J16" i="3"/>
  <c r="H16" i="3"/>
  <c r="G16" i="3"/>
  <c r="F16" i="3"/>
  <c r="D16" i="3"/>
  <c r="C16" i="3"/>
  <c r="V15" i="3"/>
  <c r="AI56" i="12" s="1"/>
  <c r="T15" i="3"/>
  <c r="S15" i="3"/>
  <c r="R15" i="3"/>
  <c r="P15" i="3"/>
  <c r="O15" i="3"/>
  <c r="N15" i="3"/>
  <c r="S56" i="12" s="1"/>
  <c r="L15" i="3"/>
  <c r="K15" i="3"/>
  <c r="J15" i="3"/>
  <c r="H15" i="3"/>
  <c r="G15" i="3"/>
  <c r="F15" i="3"/>
  <c r="C56" i="12" s="1"/>
  <c r="D15" i="3"/>
  <c r="C15" i="3"/>
  <c r="V14" i="3"/>
  <c r="T14" i="3"/>
  <c r="S14" i="3"/>
  <c r="R14" i="3"/>
  <c r="P14" i="3"/>
  <c r="O14" i="3"/>
  <c r="N14" i="3"/>
  <c r="L14" i="3"/>
  <c r="K14" i="3"/>
  <c r="J14" i="3"/>
  <c r="H14" i="3"/>
  <c r="G14" i="3"/>
  <c r="F14" i="3"/>
  <c r="C55" i="12" s="1"/>
  <c r="D14" i="3"/>
  <c r="C14" i="3"/>
  <c r="V13" i="3"/>
  <c r="T13" i="3"/>
  <c r="S13" i="3"/>
  <c r="R13" i="3"/>
  <c r="P13" i="3"/>
  <c r="O13" i="3"/>
  <c r="N13" i="3"/>
  <c r="L13" i="3"/>
  <c r="K13" i="3"/>
  <c r="J13" i="3"/>
  <c r="H13" i="3"/>
  <c r="G13" i="3"/>
  <c r="F13" i="3"/>
  <c r="D13" i="3"/>
  <c r="C13" i="3"/>
  <c r="V12" i="3"/>
  <c r="T12" i="3"/>
  <c r="S12" i="3"/>
  <c r="R12" i="3"/>
  <c r="P12" i="3"/>
  <c r="O12" i="3"/>
  <c r="N12" i="3"/>
  <c r="L12" i="3"/>
  <c r="K12" i="3"/>
  <c r="J12" i="3"/>
  <c r="H12" i="3"/>
  <c r="G12" i="3"/>
  <c r="F12" i="3"/>
  <c r="D12" i="3"/>
  <c r="C12" i="3"/>
  <c r="V11" i="3"/>
  <c r="AI52" i="12" s="1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V10" i="3"/>
  <c r="T10" i="3"/>
  <c r="S10" i="3"/>
  <c r="R10" i="3"/>
  <c r="P10" i="3"/>
  <c r="O10" i="3"/>
  <c r="N10" i="3"/>
  <c r="L10" i="3"/>
  <c r="K10" i="3"/>
  <c r="J10" i="3"/>
  <c r="H10" i="3"/>
  <c r="G10" i="3"/>
  <c r="F10" i="3"/>
  <c r="D10" i="3"/>
  <c r="C10" i="3"/>
  <c r="V9" i="3"/>
  <c r="T9" i="3"/>
  <c r="S9" i="3"/>
  <c r="R9" i="3"/>
  <c r="P9" i="3"/>
  <c r="O9" i="3"/>
  <c r="N9" i="3"/>
  <c r="S50" i="12" s="1"/>
  <c r="L9" i="3"/>
  <c r="K9" i="3"/>
  <c r="J9" i="3"/>
  <c r="H9" i="3"/>
  <c r="G9" i="3"/>
  <c r="F9" i="3"/>
  <c r="D9" i="3"/>
  <c r="AI13" i="12" l="1"/>
  <c r="E15" i="12"/>
  <c r="AC13" i="12"/>
  <c r="AG13" i="12"/>
  <c r="U13" i="12"/>
  <c r="W15" i="12"/>
  <c r="Z15" i="12"/>
  <c r="AC15" i="12"/>
  <c r="AF15" i="12"/>
  <c r="AI15" i="12"/>
  <c r="E13" i="12"/>
  <c r="H16" i="12"/>
  <c r="W9" i="12"/>
  <c r="Z9" i="12"/>
  <c r="AF9" i="12"/>
  <c r="AI9" i="12"/>
  <c r="AC9" i="12"/>
  <c r="L12" i="12"/>
  <c r="N13" i="12"/>
  <c r="O15" i="12"/>
  <c r="Q16" i="12"/>
  <c r="AF18" i="12"/>
  <c r="Z10" i="12"/>
  <c r="K9" i="12"/>
  <c r="C10" i="12"/>
  <c r="E11" i="12"/>
  <c r="L11" i="12"/>
  <c r="N12" i="12"/>
  <c r="F13" i="12"/>
  <c r="H14" i="12"/>
  <c r="I16" i="12"/>
  <c r="Z11" i="12"/>
  <c r="AC11" i="12"/>
  <c r="AF11" i="12"/>
  <c r="W11" i="12"/>
  <c r="AI11" i="12"/>
  <c r="H9" i="12"/>
  <c r="I11" i="12"/>
  <c r="C13" i="12"/>
  <c r="E14" i="12"/>
  <c r="N15" i="12"/>
  <c r="F16" i="12"/>
  <c r="AF12" i="12"/>
  <c r="H12" i="12"/>
  <c r="W13" i="12"/>
  <c r="I13" i="12"/>
  <c r="I9" i="12"/>
  <c r="C11" i="12"/>
  <c r="E12" i="12"/>
  <c r="F14" i="12"/>
  <c r="H15" i="12"/>
  <c r="W14" i="12"/>
  <c r="Z14" i="12"/>
  <c r="AC14" i="12"/>
  <c r="AF14" i="12"/>
  <c r="AI14" i="12"/>
  <c r="F9" i="12"/>
  <c r="C14" i="12"/>
  <c r="W16" i="12"/>
  <c r="Z16" i="12"/>
  <c r="AC16" i="12"/>
  <c r="AI16" i="12"/>
  <c r="AF16" i="12"/>
  <c r="O10" i="12"/>
  <c r="Q11" i="12"/>
  <c r="K13" i="12"/>
  <c r="I10" i="12"/>
  <c r="C12" i="12"/>
  <c r="F15" i="12"/>
  <c r="U9" i="12"/>
  <c r="AG9" i="12"/>
  <c r="AD10" i="12"/>
  <c r="AA11" i="12"/>
  <c r="X12" i="12"/>
  <c r="W12" i="12"/>
  <c r="Z12" i="12"/>
  <c r="AC12" i="12"/>
  <c r="AI12" i="12"/>
  <c r="AA18" i="12"/>
  <c r="U10" i="12"/>
  <c r="AG10" i="12"/>
  <c r="AD11" i="12"/>
  <c r="AA12" i="12"/>
  <c r="AI18" i="12"/>
  <c r="X18" i="12"/>
  <c r="C9" i="12"/>
  <c r="E10" i="12"/>
  <c r="F12" i="12"/>
  <c r="H13" i="12"/>
  <c r="I15" i="12"/>
  <c r="AD18" i="12"/>
  <c r="AC18" i="12"/>
  <c r="H10" i="12"/>
  <c r="N10" i="12"/>
  <c r="F11" i="12"/>
  <c r="I14" i="12"/>
  <c r="C16" i="12"/>
  <c r="AG18" i="12"/>
  <c r="W18" i="12"/>
  <c r="Z18" i="12"/>
  <c r="E9" i="12"/>
  <c r="N9" i="12"/>
  <c r="F10" i="12"/>
  <c r="H11" i="12"/>
  <c r="K14" i="12"/>
  <c r="C15" i="12"/>
  <c r="E16" i="12"/>
  <c r="AD13" i="12"/>
  <c r="AA14" i="12"/>
  <c r="X15" i="12"/>
  <c r="U16" i="12"/>
  <c r="AG16" i="12"/>
  <c r="U12" i="9"/>
  <c r="I12" i="12"/>
  <c r="L15" i="12"/>
  <c r="AD9" i="12"/>
  <c r="AA10" i="12"/>
  <c r="X11" i="12"/>
  <c r="U12" i="12"/>
  <c r="AG12" i="12"/>
  <c r="W10" i="12"/>
  <c r="AC10" i="12"/>
  <c r="AF10" i="12"/>
  <c r="AI10" i="12"/>
  <c r="V9" i="12"/>
  <c r="L10" i="12"/>
  <c r="O13" i="12"/>
  <c r="Q14" i="12"/>
  <c r="K16" i="12"/>
  <c r="L9" i="12"/>
  <c r="O12" i="12"/>
  <c r="Q13" i="12"/>
  <c r="O9" i="12"/>
  <c r="L14" i="12"/>
  <c r="M13" i="10"/>
  <c r="K11" i="12"/>
  <c r="L13" i="12"/>
  <c r="N14" i="12"/>
  <c r="O16" i="12"/>
  <c r="Y10" i="12"/>
  <c r="AS38" i="4"/>
  <c r="U11" i="4"/>
  <c r="AC12" i="4"/>
  <c r="AK16" i="4"/>
  <c r="AS12" i="4"/>
  <c r="AG69" i="4"/>
  <c r="M15" i="4"/>
  <c r="AC14" i="4"/>
  <c r="AG12" i="4"/>
  <c r="AK10" i="4"/>
  <c r="AO16" i="4"/>
  <c r="AS14" i="4"/>
  <c r="AS10" i="4"/>
  <c r="Q10" i="4"/>
  <c r="U16" i="5"/>
  <c r="N16" i="12"/>
  <c r="Q12" i="5"/>
  <c r="N11" i="12"/>
  <c r="K15" i="12"/>
  <c r="K12" i="12"/>
  <c r="K10" i="12"/>
  <c r="Q10" i="12"/>
  <c r="Q9" i="12"/>
  <c r="U10" i="5"/>
  <c r="AF11" i="7"/>
  <c r="AF12" i="7"/>
  <c r="AN12" i="7"/>
  <c r="AB10" i="7"/>
  <c r="AN13" i="7"/>
  <c r="AB39" i="7"/>
  <c r="AS69" i="6"/>
  <c r="AO69" i="6"/>
  <c r="AK69" i="6"/>
  <c r="AC69" i="6"/>
  <c r="AG69" i="6"/>
  <c r="M15" i="6"/>
  <c r="I15" i="6"/>
  <c r="E9" i="6"/>
  <c r="AS69" i="5"/>
  <c r="AO69" i="5"/>
  <c r="AG69" i="5"/>
  <c r="AC69" i="5"/>
  <c r="Q13" i="5"/>
  <c r="M9" i="5"/>
  <c r="E11" i="5"/>
  <c r="AS69" i="4"/>
  <c r="AO69" i="4"/>
  <c r="AK69" i="4"/>
  <c r="AC69" i="4"/>
  <c r="AS69" i="3"/>
  <c r="AO69" i="3"/>
  <c r="AK69" i="3"/>
  <c r="AC69" i="3"/>
  <c r="AS15" i="10"/>
  <c r="N18" i="9"/>
  <c r="AR15" i="7"/>
  <c r="AF16" i="7"/>
  <c r="O50" i="12"/>
  <c r="AS53" i="6"/>
  <c r="AO53" i="6"/>
  <c r="AK53" i="6"/>
  <c r="AG53" i="6"/>
  <c r="AC53" i="6"/>
  <c r="T18" i="6"/>
  <c r="V18" i="6"/>
  <c r="L18" i="6"/>
  <c r="N18" i="6"/>
  <c r="I9" i="6"/>
  <c r="D18" i="6"/>
  <c r="AS53" i="5"/>
  <c r="AO53" i="5"/>
  <c r="AG53" i="5"/>
  <c r="AC53" i="5"/>
  <c r="M12" i="5"/>
  <c r="U37" i="12" s="1"/>
  <c r="I9" i="5"/>
  <c r="AS53" i="4"/>
  <c r="AO53" i="4"/>
  <c r="AK53" i="4"/>
  <c r="AG53" i="4"/>
  <c r="AC53" i="4"/>
  <c r="T18" i="4"/>
  <c r="P18" i="4"/>
  <c r="R18" i="4"/>
  <c r="D18" i="4"/>
  <c r="F18" i="4"/>
  <c r="D59" i="12" s="1"/>
  <c r="AS53" i="3"/>
  <c r="AO53" i="3"/>
  <c r="AG53" i="3"/>
  <c r="AC53" i="3"/>
  <c r="H18" i="3"/>
  <c r="AS38" i="3"/>
  <c r="AK38" i="3"/>
  <c r="AG38" i="3"/>
  <c r="AC38" i="3"/>
  <c r="C50" i="12"/>
  <c r="U12" i="3"/>
  <c r="AA53" i="12"/>
  <c r="M14" i="3"/>
  <c r="E16" i="3"/>
  <c r="I11" i="3"/>
  <c r="C52" i="12"/>
  <c r="C53" i="12"/>
  <c r="Q9" i="3"/>
  <c r="S55" i="12"/>
  <c r="AA56" i="12"/>
  <c r="AI50" i="12"/>
  <c r="AI51" i="12"/>
  <c r="AI55" i="12"/>
  <c r="AI57" i="12"/>
  <c r="AI53" i="12"/>
  <c r="AI54" i="12"/>
  <c r="AA50" i="12"/>
  <c r="AA57" i="12"/>
  <c r="AA51" i="12"/>
  <c r="AA54" i="12"/>
  <c r="AA52" i="12"/>
  <c r="AA55" i="12"/>
  <c r="S52" i="12"/>
  <c r="R18" i="3"/>
  <c r="S51" i="12"/>
  <c r="S53" i="12"/>
  <c r="S54" i="12"/>
  <c r="K52" i="12"/>
  <c r="K54" i="12"/>
  <c r="K56" i="12"/>
  <c r="K51" i="12"/>
  <c r="K53" i="12"/>
  <c r="K55" i="12"/>
  <c r="K57" i="12"/>
  <c r="K50" i="12"/>
  <c r="C57" i="12"/>
  <c r="C54" i="12"/>
  <c r="C51" i="12"/>
  <c r="AO38" i="4"/>
  <c r="AK38" i="4"/>
  <c r="AG38" i="4"/>
  <c r="AG18" i="4" s="1"/>
  <c r="AC38" i="4"/>
  <c r="E9" i="4"/>
  <c r="I12" i="4"/>
  <c r="M9" i="4"/>
  <c r="L57" i="12"/>
  <c r="L50" i="12"/>
  <c r="U13" i="4"/>
  <c r="AJ38" i="12" s="1"/>
  <c r="AJ52" i="12"/>
  <c r="M13" i="4"/>
  <c r="I10" i="4"/>
  <c r="E15" i="4"/>
  <c r="AJ51" i="12"/>
  <c r="AJ55" i="12"/>
  <c r="AJ54" i="12"/>
  <c r="AJ53" i="12"/>
  <c r="AB50" i="12"/>
  <c r="AB56" i="12"/>
  <c r="AJ36" i="12"/>
  <c r="AB54" i="12"/>
  <c r="T55" i="12"/>
  <c r="T56" i="12"/>
  <c r="T57" i="12"/>
  <c r="AB35" i="12"/>
  <c r="T52" i="12"/>
  <c r="T53" i="12"/>
  <c r="L51" i="12"/>
  <c r="L56" i="12"/>
  <c r="T40" i="12"/>
  <c r="L39" i="12"/>
  <c r="D56" i="12"/>
  <c r="D52" i="12"/>
  <c r="L35" i="12"/>
  <c r="D53" i="12"/>
  <c r="D54" i="12"/>
  <c r="L34" i="12"/>
  <c r="D55" i="12"/>
  <c r="AS38" i="5"/>
  <c r="AO38" i="5"/>
  <c r="AK38" i="5"/>
  <c r="AG38" i="5"/>
  <c r="AC38" i="5"/>
  <c r="Q10" i="5"/>
  <c r="I10" i="5"/>
  <c r="E10" i="5"/>
  <c r="AC54" i="12"/>
  <c r="Q14" i="5"/>
  <c r="I15" i="5"/>
  <c r="I12" i="5"/>
  <c r="E54" i="12"/>
  <c r="E12" i="5"/>
  <c r="E36" i="12"/>
  <c r="E14" i="5"/>
  <c r="E15" i="5"/>
  <c r="E52" i="12"/>
  <c r="M13" i="5"/>
  <c r="Q15" i="5"/>
  <c r="AC37" i="12"/>
  <c r="U54" i="12"/>
  <c r="U9" i="5"/>
  <c r="AC53" i="12"/>
  <c r="AC51" i="12"/>
  <c r="AK56" i="12"/>
  <c r="AK53" i="12"/>
  <c r="AK55" i="12"/>
  <c r="AK57" i="12"/>
  <c r="AK52" i="12"/>
  <c r="AK54" i="12"/>
  <c r="AK40" i="12"/>
  <c r="U11" i="5"/>
  <c r="AC50" i="12"/>
  <c r="AK41" i="12"/>
  <c r="AK59" i="12"/>
  <c r="AC55" i="12"/>
  <c r="U13" i="5"/>
  <c r="Q16" i="5"/>
  <c r="U57" i="12"/>
  <c r="AC35" i="12"/>
  <c r="Q11" i="5"/>
  <c r="U52" i="12"/>
  <c r="U34" i="12"/>
  <c r="M54" i="12"/>
  <c r="M34" i="12"/>
  <c r="E51" i="12"/>
  <c r="E57" i="12"/>
  <c r="E56" i="12"/>
  <c r="E55" i="12"/>
  <c r="E53" i="12"/>
  <c r="E59" i="12"/>
  <c r="E9" i="5"/>
  <c r="AS38" i="6"/>
  <c r="AG38" i="6"/>
  <c r="AC38" i="6"/>
  <c r="AF39" i="7"/>
  <c r="AF9" i="7"/>
  <c r="G55" i="12"/>
  <c r="AD50" i="12"/>
  <c r="Q12" i="6"/>
  <c r="M11" i="6"/>
  <c r="E14" i="6"/>
  <c r="F34" i="12"/>
  <c r="I11" i="6"/>
  <c r="F54" i="12"/>
  <c r="N52" i="12"/>
  <c r="Q16" i="6"/>
  <c r="Q10" i="6"/>
  <c r="AD35" i="12" s="1"/>
  <c r="V51" i="12"/>
  <c r="V54" i="12"/>
  <c r="U13" i="6"/>
  <c r="U12" i="6"/>
  <c r="AL54" i="12"/>
  <c r="AL55" i="12"/>
  <c r="AL56" i="12"/>
  <c r="AL57" i="12"/>
  <c r="AL50" i="12"/>
  <c r="AL51" i="12"/>
  <c r="AL52" i="12"/>
  <c r="AL53" i="12"/>
  <c r="AL41" i="12"/>
  <c r="AD51" i="12"/>
  <c r="AD55" i="12"/>
  <c r="AD56" i="12"/>
  <c r="AD54" i="12"/>
  <c r="AD52" i="12"/>
  <c r="AD57" i="12"/>
  <c r="AD53" i="12"/>
  <c r="V50" i="12"/>
  <c r="V57" i="12"/>
  <c r="V52" i="12"/>
  <c r="V55" i="12"/>
  <c r="V53" i="12"/>
  <c r="V56" i="12"/>
  <c r="V40" i="12"/>
  <c r="N56" i="12"/>
  <c r="N54" i="12"/>
  <c r="N50" i="12"/>
  <c r="N57" i="12"/>
  <c r="N53" i="12"/>
  <c r="N55" i="12"/>
  <c r="F50" i="12"/>
  <c r="N40" i="12"/>
  <c r="F56" i="12"/>
  <c r="F52" i="12"/>
  <c r="F51" i="12"/>
  <c r="F53" i="12"/>
  <c r="F55" i="12"/>
  <c r="F57" i="12"/>
  <c r="AJ12" i="7"/>
  <c r="AJ13" i="7"/>
  <c r="AJ16" i="7"/>
  <c r="AR14" i="7"/>
  <c r="AN15" i="7"/>
  <c r="AR13" i="7"/>
  <c r="AF13" i="7"/>
  <c r="AB13" i="7"/>
  <c r="W50" i="12"/>
  <c r="O55" i="12"/>
  <c r="G51" i="12"/>
  <c r="O57" i="12"/>
  <c r="AE53" i="12"/>
  <c r="AM51" i="12"/>
  <c r="AM55" i="12"/>
  <c r="AM50" i="12"/>
  <c r="AM54" i="12"/>
  <c r="AM53" i="12"/>
  <c r="AM52" i="12"/>
  <c r="AM56" i="12"/>
  <c r="AE55" i="12"/>
  <c r="AE52" i="12"/>
  <c r="AE50" i="12"/>
  <c r="AE51" i="12"/>
  <c r="AE57" i="12"/>
  <c r="AE56" i="12"/>
  <c r="W53" i="12"/>
  <c r="W55" i="12"/>
  <c r="W56" i="12"/>
  <c r="W57" i="12"/>
  <c r="W52" i="12"/>
  <c r="W54" i="12"/>
  <c r="O51" i="12"/>
  <c r="O52" i="12"/>
  <c r="O53" i="12"/>
  <c r="O54" i="12"/>
  <c r="G54" i="12"/>
  <c r="G56" i="12"/>
  <c r="G50" i="12"/>
  <c r="G52" i="12"/>
  <c r="AO56" i="12"/>
  <c r="AO53" i="12"/>
  <c r="AO57" i="12"/>
  <c r="AO50" i="12"/>
  <c r="AG53" i="12"/>
  <c r="M14" i="9"/>
  <c r="E16" i="9"/>
  <c r="AS11" i="9"/>
  <c r="AG56" i="12"/>
  <c r="AG51" i="12"/>
  <c r="AG54" i="12"/>
  <c r="AG52" i="12"/>
  <c r="AG55" i="12"/>
  <c r="Y50" i="12"/>
  <c r="Y52" i="12"/>
  <c r="Y51" i="12"/>
  <c r="Y53" i="12"/>
  <c r="Q56" i="12"/>
  <c r="Q53" i="12"/>
  <c r="Q50" i="12"/>
  <c r="Q55" i="12"/>
  <c r="Q57" i="12"/>
  <c r="I10" i="10"/>
  <c r="AC14" i="10"/>
  <c r="AS10" i="10"/>
  <c r="AG12" i="10"/>
  <c r="AK12" i="10"/>
  <c r="AB12" i="12" s="1"/>
  <c r="AO10" i="10"/>
  <c r="V18" i="8"/>
  <c r="X51" i="12"/>
  <c r="AN52" i="12"/>
  <c r="P51" i="12"/>
  <c r="AF52" i="12"/>
  <c r="H54" i="12"/>
  <c r="AF56" i="12"/>
  <c r="X52" i="12"/>
  <c r="AN53" i="12"/>
  <c r="X56" i="12"/>
  <c r="AN57" i="12"/>
  <c r="H51" i="12"/>
  <c r="AF53" i="12"/>
  <c r="H55" i="12"/>
  <c r="P56" i="12"/>
  <c r="AF57" i="12"/>
  <c r="AN50" i="12"/>
  <c r="X53" i="12"/>
  <c r="X57" i="12"/>
  <c r="U9" i="8"/>
  <c r="M11" i="8"/>
  <c r="L18" i="8"/>
  <c r="AF50" i="12"/>
  <c r="H52" i="12"/>
  <c r="AF54" i="12"/>
  <c r="H56" i="12"/>
  <c r="P57" i="12"/>
  <c r="X50" i="12"/>
  <c r="AN51" i="12"/>
  <c r="X54" i="12"/>
  <c r="P50" i="12"/>
  <c r="AF51" i="12"/>
  <c r="H53" i="12"/>
  <c r="P54" i="12"/>
  <c r="AF55" i="12"/>
  <c r="H57" i="12"/>
  <c r="AO15" i="10"/>
  <c r="AG14" i="10"/>
  <c r="AG9" i="10"/>
  <c r="U11" i="10"/>
  <c r="I16" i="9"/>
  <c r="U9" i="9"/>
  <c r="Q14" i="9"/>
  <c r="M11" i="9"/>
  <c r="L18" i="9"/>
  <c r="I11" i="9"/>
  <c r="H18" i="9"/>
  <c r="E13" i="9"/>
  <c r="AO37" i="12"/>
  <c r="I52" i="12"/>
  <c r="I53" i="12"/>
  <c r="I54" i="12"/>
  <c r="I51" i="12"/>
  <c r="AP56" i="12"/>
  <c r="Z54" i="12"/>
  <c r="Z52" i="12"/>
  <c r="Z51" i="12"/>
  <c r="R51" i="12"/>
  <c r="AP57" i="12"/>
  <c r="AH57" i="12"/>
  <c r="AH55" i="12"/>
  <c r="AH52" i="12"/>
  <c r="Q16" i="10"/>
  <c r="Z57" i="12"/>
  <c r="N18" i="10"/>
  <c r="Z59" i="12" s="1"/>
  <c r="R57" i="12"/>
  <c r="R56" i="12"/>
  <c r="R53" i="12"/>
  <c r="J50" i="12"/>
  <c r="E15" i="10"/>
  <c r="AP55" i="12"/>
  <c r="AP54" i="12"/>
  <c r="AP53" i="12"/>
  <c r="AP52" i="12"/>
  <c r="AP51" i="12"/>
  <c r="AP50" i="12"/>
  <c r="AH56" i="12"/>
  <c r="AH54" i="12"/>
  <c r="AH53" i="12"/>
  <c r="AH51" i="12"/>
  <c r="AH50" i="12"/>
  <c r="Z56" i="12"/>
  <c r="Z55" i="12"/>
  <c r="Z53" i="12"/>
  <c r="Z50" i="12"/>
  <c r="Z38" i="12"/>
  <c r="J57" i="12"/>
  <c r="J56" i="12"/>
  <c r="J55" i="12"/>
  <c r="J54" i="12"/>
  <c r="J53" i="12"/>
  <c r="J52" i="12"/>
  <c r="J51" i="12"/>
  <c r="R55" i="12"/>
  <c r="R54" i="12"/>
  <c r="R52" i="12"/>
  <c r="R50" i="12"/>
  <c r="AR10" i="7"/>
  <c r="AR16" i="7"/>
  <c r="AR71" i="7"/>
  <c r="AN71" i="7"/>
  <c r="AJ71" i="7"/>
  <c r="AJ10" i="7"/>
  <c r="AF71" i="7"/>
  <c r="AB71" i="7"/>
  <c r="AR55" i="7"/>
  <c r="AN14" i="7"/>
  <c r="AE14" i="12" s="1"/>
  <c r="AN55" i="7"/>
  <c r="AJ55" i="7"/>
  <c r="AF55" i="7"/>
  <c r="AB15" i="7"/>
  <c r="AB14" i="7"/>
  <c r="AB12" i="7"/>
  <c r="AB55" i="7"/>
  <c r="AR39" i="7"/>
  <c r="AR18" i="7" s="1"/>
  <c r="AR9" i="7"/>
  <c r="AN39" i="7"/>
  <c r="AN18" i="7" s="1"/>
  <c r="AN11" i="7"/>
  <c r="AJ39" i="7"/>
  <c r="AJ18" i="7" s="1"/>
  <c r="AR11" i="7"/>
  <c r="AJ11" i="7"/>
  <c r="AB11" i="7"/>
  <c r="AN9" i="7"/>
  <c r="AG11" i="10"/>
  <c r="AC16" i="10"/>
  <c r="AS9" i="10"/>
  <c r="AK11" i="10"/>
  <c r="AK14" i="10"/>
  <c r="M9" i="10"/>
  <c r="E11" i="10"/>
  <c r="Q12" i="10"/>
  <c r="I14" i="10"/>
  <c r="U15" i="10"/>
  <c r="H18" i="10"/>
  <c r="AC10" i="10"/>
  <c r="AO11" i="10"/>
  <c r="AG13" i="10"/>
  <c r="AS14" i="10"/>
  <c r="AK16" i="10"/>
  <c r="AG10" i="10"/>
  <c r="AS12" i="10"/>
  <c r="AB18" i="10"/>
  <c r="AO9" i="10"/>
  <c r="I12" i="9"/>
  <c r="AK11" i="9"/>
  <c r="AO13" i="9"/>
  <c r="AG15" i="9"/>
  <c r="AK10" i="9"/>
  <c r="N18" i="8"/>
  <c r="U10" i="6"/>
  <c r="E15" i="6"/>
  <c r="E13" i="6"/>
  <c r="I13" i="5"/>
  <c r="U14" i="5"/>
  <c r="M16" i="5"/>
  <c r="I14" i="5"/>
  <c r="Q70" i="5"/>
  <c r="I70" i="5"/>
  <c r="M11" i="5"/>
  <c r="I16" i="5"/>
  <c r="U9" i="4"/>
  <c r="M11" i="4"/>
  <c r="E13" i="4"/>
  <c r="Q14" i="4"/>
  <c r="I16" i="4"/>
  <c r="M53" i="4"/>
  <c r="E10" i="4"/>
  <c r="N18" i="4"/>
  <c r="AC13" i="10"/>
  <c r="AO14" i="10"/>
  <c r="AG16" i="10"/>
  <c r="I11" i="10"/>
  <c r="U12" i="10"/>
  <c r="M14" i="10"/>
  <c r="E16" i="10"/>
  <c r="J18" i="10"/>
  <c r="AK13" i="10"/>
  <c r="AB13" i="12" s="1"/>
  <c r="AC15" i="10"/>
  <c r="AO16" i="10"/>
  <c r="AK10" i="10"/>
  <c r="AC12" i="10"/>
  <c r="AO13" i="10"/>
  <c r="AG15" i="10"/>
  <c r="Y15" i="12" s="1"/>
  <c r="AS16" i="10"/>
  <c r="AS13" i="10"/>
  <c r="AK15" i="10"/>
  <c r="P18" i="10"/>
  <c r="R18" i="10"/>
  <c r="E9" i="10"/>
  <c r="AK9" i="10"/>
  <c r="AC11" i="10"/>
  <c r="AO12" i="10"/>
  <c r="Q10" i="10"/>
  <c r="I12" i="10"/>
  <c r="D18" i="10"/>
  <c r="C18" i="12" s="1"/>
  <c r="F18" i="10"/>
  <c r="Q13" i="10"/>
  <c r="U9" i="10"/>
  <c r="M11" i="10"/>
  <c r="E13" i="10"/>
  <c r="Q14" i="10"/>
  <c r="I16" i="10"/>
  <c r="L18" i="10"/>
  <c r="I15" i="10"/>
  <c r="Q40" i="10"/>
  <c r="E10" i="10"/>
  <c r="Q11" i="10"/>
  <c r="I13" i="10"/>
  <c r="U14" i="10"/>
  <c r="M16" i="10"/>
  <c r="M71" i="10"/>
  <c r="E71" i="10"/>
  <c r="Q71" i="10"/>
  <c r="M10" i="10"/>
  <c r="U13" i="10"/>
  <c r="I71" i="10"/>
  <c r="T18" i="10"/>
  <c r="I55" i="10"/>
  <c r="U55" i="10"/>
  <c r="E12" i="10"/>
  <c r="E55" i="10"/>
  <c r="I9" i="10"/>
  <c r="U10" i="10"/>
  <c r="M12" i="10"/>
  <c r="E14" i="10"/>
  <c r="Q15" i="10"/>
  <c r="V18" i="10"/>
  <c r="M55" i="10"/>
  <c r="U16" i="10"/>
  <c r="M15" i="10"/>
  <c r="Q55" i="10"/>
  <c r="U71" i="10"/>
  <c r="AC13" i="9"/>
  <c r="AO14" i="9"/>
  <c r="J18" i="9"/>
  <c r="AK16" i="9"/>
  <c r="AC11" i="9"/>
  <c r="V11" i="12" s="1"/>
  <c r="I10" i="9"/>
  <c r="AC14" i="9"/>
  <c r="AS12" i="9"/>
  <c r="AK14" i="9"/>
  <c r="AB14" i="12" s="1"/>
  <c r="M9" i="9"/>
  <c r="E11" i="9"/>
  <c r="Q12" i="9"/>
  <c r="I14" i="9"/>
  <c r="U15" i="9"/>
  <c r="AC10" i="9"/>
  <c r="AK13" i="9"/>
  <c r="AC15" i="9"/>
  <c r="AG12" i="9"/>
  <c r="E10" i="9"/>
  <c r="Q11" i="9"/>
  <c r="I13" i="9"/>
  <c r="U14" i="9"/>
  <c r="M16" i="9"/>
  <c r="R18" i="9"/>
  <c r="AO10" i="9"/>
  <c r="AE10" i="12" s="1"/>
  <c r="AK12" i="9"/>
  <c r="AO15" i="9"/>
  <c r="AK9" i="9"/>
  <c r="AS9" i="9"/>
  <c r="AG16" i="9"/>
  <c r="U11" i="9"/>
  <c r="AK15" i="9"/>
  <c r="M13" i="9"/>
  <c r="E15" i="9"/>
  <c r="Q16" i="9"/>
  <c r="E9" i="9"/>
  <c r="Q10" i="9"/>
  <c r="U13" i="9"/>
  <c r="D18" i="9"/>
  <c r="V18" i="9"/>
  <c r="AG9" i="9"/>
  <c r="Y9" i="12" s="1"/>
  <c r="AG14" i="9"/>
  <c r="AO11" i="9"/>
  <c r="AE11" i="12" s="1"/>
  <c r="AG13" i="9"/>
  <c r="AS14" i="9"/>
  <c r="P18" i="9"/>
  <c r="AB18" i="9"/>
  <c r="AC16" i="9"/>
  <c r="M71" i="9"/>
  <c r="AO9" i="9"/>
  <c r="AG11" i="9"/>
  <c r="AC12" i="9"/>
  <c r="M55" i="9"/>
  <c r="M10" i="9"/>
  <c r="E12" i="9"/>
  <c r="Q13" i="9"/>
  <c r="I15" i="9"/>
  <c r="U16" i="9"/>
  <c r="T18" i="9"/>
  <c r="I55" i="9"/>
  <c r="U55" i="9"/>
  <c r="AO16" i="9"/>
  <c r="M15" i="9"/>
  <c r="Q71" i="9"/>
  <c r="AS16" i="9"/>
  <c r="I9" i="9"/>
  <c r="U10" i="9"/>
  <c r="M12" i="9"/>
  <c r="E14" i="9"/>
  <c r="Q15" i="9"/>
  <c r="F18" i="9"/>
  <c r="Q55" i="9"/>
  <c r="AS13" i="9"/>
  <c r="I71" i="9"/>
  <c r="E71" i="9"/>
  <c r="AS10" i="9"/>
  <c r="U71" i="9"/>
  <c r="Q39" i="9"/>
  <c r="E55" i="9"/>
  <c r="AO12" i="9"/>
  <c r="AS15" i="9"/>
  <c r="R18" i="8"/>
  <c r="E9" i="8"/>
  <c r="Q10" i="8"/>
  <c r="I12" i="8"/>
  <c r="U13" i="8"/>
  <c r="M15" i="8"/>
  <c r="AC11" i="8"/>
  <c r="AC16" i="8"/>
  <c r="AC14" i="8"/>
  <c r="M9" i="8"/>
  <c r="E11" i="8"/>
  <c r="Q12" i="8"/>
  <c r="I14" i="8"/>
  <c r="U15" i="8"/>
  <c r="H18" i="8"/>
  <c r="Q55" i="8"/>
  <c r="U55" i="8"/>
  <c r="AC10" i="8"/>
  <c r="J18" i="8"/>
  <c r="AC15" i="8"/>
  <c r="AC12" i="8"/>
  <c r="AB18" i="8"/>
  <c r="AC13" i="8"/>
  <c r="I11" i="8"/>
  <c r="E16" i="8"/>
  <c r="E13" i="8"/>
  <c r="E55" i="8"/>
  <c r="I13" i="8"/>
  <c r="M16" i="8"/>
  <c r="E15" i="8"/>
  <c r="M71" i="8"/>
  <c r="P18" i="8"/>
  <c r="M55" i="8"/>
  <c r="U12" i="8"/>
  <c r="E10" i="8"/>
  <c r="U14" i="8"/>
  <c r="M13" i="8"/>
  <c r="E71" i="8"/>
  <c r="M10" i="8"/>
  <c r="E12" i="8"/>
  <c r="Q13" i="8"/>
  <c r="I15" i="8"/>
  <c r="U16" i="8"/>
  <c r="I71" i="8"/>
  <c r="U71" i="8"/>
  <c r="M14" i="8"/>
  <c r="I16" i="8"/>
  <c r="Q11" i="8"/>
  <c r="I10" i="8"/>
  <c r="T18" i="8"/>
  <c r="I55" i="8"/>
  <c r="Q39" i="8"/>
  <c r="Q18" i="8" s="1"/>
  <c r="Q14" i="8"/>
  <c r="U11" i="8"/>
  <c r="Q16" i="8"/>
  <c r="I9" i="8"/>
  <c r="U10" i="8"/>
  <c r="M12" i="8"/>
  <c r="E14" i="8"/>
  <c r="Q15" i="8"/>
  <c r="F18" i="8"/>
  <c r="Q71" i="8"/>
  <c r="U10" i="7"/>
  <c r="M12" i="7"/>
  <c r="E14" i="7"/>
  <c r="Q15" i="7"/>
  <c r="F18" i="7"/>
  <c r="V18" i="7"/>
  <c r="H18" i="7"/>
  <c r="Q9" i="7"/>
  <c r="J18" i="7"/>
  <c r="D18" i="7"/>
  <c r="L18" i="7"/>
  <c r="E10" i="7"/>
  <c r="U14" i="6"/>
  <c r="M13" i="6"/>
  <c r="I10" i="6"/>
  <c r="Q15" i="6"/>
  <c r="R18" i="6"/>
  <c r="M10" i="6"/>
  <c r="E12" i="6"/>
  <c r="F18" i="6"/>
  <c r="E54" i="6"/>
  <c r="Q14" i="6"/>
  <c r="E69" i="6"/>
  <c r="Q69" i="6"/>
  <c r="U15" i="6"/>
  <c r="E10" i="6"/>
  <c r="P18" i="6"/>
  <c r="U11" i="6"/>
  <c r="Q13" i="6"/>
  <c r="I16" i="6"/>
  <c r="M14" i="6"/>
  <c r="E16" i="6"/>
  <c r="J18" i="6"/>
  <c r="M38" i="5"/>
  <c r="U70" i="5"/>
  <c r="E70" i="5"/>
  <c r="Q38" i="5"/>
  <c r="I38" i="5"/>
  <c r="U12" i="5"/>
  <c r="M14" i="5"/>
  <c r="E16" i="5"/>
  <c r="U38" i="5"/>
  <c r="E38" i="5"/>
  <c r="E13" i="5"/>
  <c r="M70" i="5"/>
  <c r="M54" i="5"/>
  <c r="Q11" i="4"/>
  <c r="I13" i="4"/>
  <c r="U14" i="4"/>
  <c r="M16" i="4"/>
  <c r="Q38" i="4"/>
  <c r="M10" i="4"/>
  <c r="J10" i="12" s="1"/>
  <c r="E12" i="4"/>
  <c r="Q13" i="4"/>
  <c r="I15" i="4"/>
  <c r="U16" i="4"/>
  <c r="M12" i="4"/>
  <c r="E14" i="4"/>
  <c r="Q15" i="4"/>
  <c r="E53" i="4"/>
  <c r="Q53" i="4"/>
  <c r="Q12" i="4"/>
  <c r="U15" i="4"/>
  <c r="Q9" i="4"/>
  <c r="U69" i="4"/>
  <c r="J18" i="4"/>
  <c r="I13" i="3"/>
  <c r="P18" i="3"/>
  <c r="Q13" i="3"/>
  <c r="Q11" i="3"/>
  <c r="M10" i="3"/>
  <c r="E12" i="3"/>
  <c r="I15" i="3"/>
  <c r="U16" i="3"/>
  <c r="F18" i="3"/>
  <c r="E10" i="3"/>
  <c r="M16" i="3"/>
  <c r="U14" i="3"/>
  <c r="N18" i="3"/>
  <c r="E9" i="3"/>
  <c r="Q10" i="3"/>
  <c r="I12" i="3"/>
  <c r="U13" i="3"/>
  <c r="V18" i="3"/>
  <c r="M70" i="3"/>
  <c r="E70" i="3"/>
  <c r="Q70" i="3"/>
  <c r="I14" i="3"/>
  <c r="U15" i="3"/>
  <c r="I9" i="3"/>
  <c r="U10" i="3"/>
  <c r="M12" i="3"/>
  <c r="E14" i="3"/>
  <c r="Q15" i="3"/>
  <c r="U54" i="3"/>
  <c r="M11" i="3"/>
  <c r="E13" i="3"/>
  <c r="I16" i="3"/>
  <c r="L18" i="3"/>
  <c r="Q54" i="3"/>
  <c r="U70" i="3"/>
  <c r="U38" i="3"/>
  <c r="E54" i="3"/>
  <c r="I70" i="3"/>
  <c r="I54" i="3"/>
  <c r="U11" i="3"/>
  <c r="M13" i="3"/>
  <c r="E15" i="3"/>
  <c r="Q16" i="3"/>
  <c r="Q11" i="7"/>
  <c r="I13" i="7"/>
  <c r="U14" i="7"/>
  <c r="M16" i="7"/>
  <c r="N18" i="7"/>
  <c r="R18" i="7"/>
  <c r="P18" i="7"/>
  <c r="I39" i="7"/>
  <c r="Q71" i="7"/>
  <c r="M9" i="7"/>
  <c r="Q12" i="7"/>
  <c r="I14" i="7"/>
  <c r="Q55" i="7"/>
  <c r="U55" i="7"/>
  <c r="E16" i="7"/>
  <c r="I10" i="7"/>
  <c r="U11" i="7"/>
  <c r="M13" i="7"/>
  <c r="E15" i="7"/>
  <c r="Q16" i="7"/>
  <c r="M71" i="7"/>
  <c r="E71" i="7"/>
  <c r="M55" i="7"/>
  <c r="I9" i="7"/>
  <c r="M39" i="7"/>
  <c r="E12" i="7"/>
  <c r="Q13" i="7"/>
  <c r="I15" i="7"/>
  <c r="U16" i="7"/>
  <c r="E9" i="7"/>
  <c r="Q10" i="7"/>
  <c r="I12" i="7"/>
  <c r="U13" i="7"/>
  <c r="M15" i="7"/>
  <c r="I71" i="7"/>
  <c r="U71" i="7"/>
  <c r="T18" i="7"/>
  <c r="I55" i="7"/>
  <c r="E11" i="7"/>
  <c r="U15" i="7"/>
  <c r="Q39" i="7"/>
  <c r="I11" i="7"/>
  <c r="U12" i="7"/>
  <c r="M14" i="7"/>
  <c r="M10" i="7"/>
  <c r="U9" i="7"/>
  <c r="M11" i="7"/>
  <c r="E13" i="7"/>
  <c r="Q14" i="7"/>
  <c r="I16" i="7"/>
  <c r="E55" i="7"/>
  <c r="AS71" i="8"/>
  <c r="AK39" i="8"/>
  <c r="AG39" i="8"/>
  <c r="AC71" i="8"/>
  <c r="AG71" i="8"/>
  <c r="AK71" i="8"/>
  <c r="AO71" i="8"/>
  <c r="AS55" i="8"/>
  <c r="AO55" i="8"/>
  <c r="AK55" i="8"/>
  <c r="AG55" i="8"/>
  <c r="AC55" i="8"/>
  <c r="AS39" i="8"/>
  <c r="AO39" i="8"/>
  <c r="AC39" i="8"/>
  <c r="AG55" i="10"/>
  <c r="AK40" i="10"/>
  <c r="AC40" i="10"/>
  <c r="AC71" i="10"/>
  <c r="AG71" i="10"/>
  <c r="AK71" i="10"/>
  <c r="AO71" i="10"/>
  <c r="AS71" i="10"/>
  <c r="AS55" i="10"/>
  <c r="AO55" i="10"/>
  <c r="AK55" i="10"/>
  <c r="AC55" i="10"/>
  <c r="AS40" i="10"/>
  <c r="AS18" i="10" s="1"/>
  <c r="AO40" i="10"/>
  <c r="AG40" i="10"/>
  <c r="AO71" i="9"/>
  <c r="AC55" i="9"/>
  <c r="AK71" i="9"/>
  <c r="AS71" i="9"/>
  <c r="AS55" i="9"/>
  <c r="AO55" i="9"/>
  <c r="AK55" i="9"/>
  <c r="AG71" i="9"/>
  <c r="AG55" i="9"/>
  <c r="AC71" i="9"/>
  <c r="AG39" i="9"/>
  <c r="AG18" i="9" s="1"/>
  <c r="AS39" i="9"/>
  <c r="AS18" i="9" s="1"/>
  <c r="AO39" i="9"/>
  <c r="AO18" i="9" s="1"/>
  <c r="AK39" i="9"/>
  <c r="AC39" i="9"/>
  <c r="E54" i="5"/>
  <c r="U54" i="5"/>
  <c r="U18" i="5" s="1"/>
  <c r="Q11" i="6"/>
  <c r="I14" i="6"/>
  <c r="E38" i="3"/>
  <c r="I10" i="3"/>
  <c r="Q16" i="4"/>
  <c r="I38" i="4"/>
  <c r="I54" i="5"/>
  <c r="Q38" i="3"/>
  <c r="U9" i="3"/>
  <c r="E11" i="3"/>
  <c r="Q12" i="3"/>
  <c r="M38" i="3"/>
  <c r="I38" i="3"/>
  <c r="M38" i="4"/>
  <c r="H18" i="4"/>
  <c r="U38" i="4"/>
  <c r="I53" i="4"/>
  <c r="U53" i="4"/>
  <c r="U10" i="4"/>
  <c r="Q69" i="4"/>
  <c r="Q9" i="5"/>
  <c r="M10" i="5"/>
  <c r="I11" i="5"/>
  <c r="I13" i="6"/>
  <c r="E69" i="4"/>
  <c r="J18" i="3"/>
  <c r="M54" i="3"/>
  <c r="I11" i="4"/>
  <c r="G11" i="12" s="1"/>
  <c r="U12" i="4"/>
  <c r="M14" i="4"/>
  <c r="J14" i="12" s="1"/>
  <c r="E16" i="4"/>
  <c r="V18" i="4"/>
  <c r="Q54" i="5"/>
  <c r="Q18" i="5" s="1"/>
  <c r="I54" i="6"/>
  <c r="U54" i="6"/>
  <c r="I69" i="6"/>
  <c r="U69" i="6"/>
  <c r="M9" i="3"/>
  <c r="L18" i="4"/>
  <c r="I69" i="4"/>
  <c r="Q38" i="6"/>
  <c r="Q9" i="6"/>
  <c r="I38" i="6"/>
  <c r="M69" i="6"/>
  <c r="M9" i="6"/>
  <c r="E38" i="4"/>
  <c r="M69" i="4"/>
  <c r="U9" i="6"/>
  <c r="U38" i="6"/>
  <c r="E38" i="6"/>
  <c r="E11" i="6"/>
  <c r="M12" i="6"/>
  <c r="M38" i="6"/>
  <c r="M16" i="6"/>
  <c r="Q54" i="6"/>
  <c r="M54" i="6"/>
  <c r="I39" i="8"/>
  <c r="I39" i="9"/>
  <c r="I40" i="10"/>
  <c r="U39" i="7"/>
  <c r="U39" i="8"/>
  <c r="U39" i="9"/>
  <c r="U40" i="10"/>
  <c r="M39" i="8"/>
  <c r="M18" i="8" s="1"/>
  <c r="M39" i="9"/>
  <c r="M40" i="10"/>
  <c r="E39" i="7"/>
  <c r="E39" i="8"/>
  <c r="E39" i="9"/>
  <c r="E40" i="10"/>
  <c r="Q9" i="8"/>
  <c r="Q9" i="9"/>
  <c r="Q9" i="10"/>
  <c r="Y13" i="12" l="1"/>
  <c r="AB18" i="7"/>
  <c r="AF18" i="7"/>
  <c r="P15" i="12"/>
  <c r="AH16" i="12"/>
  <c r="AE15" i="12"/>
  <c r="E18" i="12"/>
  <c r="AH11" i="12"/>
  <c r="P13" i="12"/>
  <c r="G10" i="12"/>
  <c r="AO18" i="8"/>
  <c r="U18" i="8"/>
  <c r="O18" i="12"/>
  <c r="AS18" i="8"/>
  <c r="D11" i="12"/>
  <c r="AG18" i="8"/>
  <c r="H18" i="12"/>
  <c r="AK18" i="8"/>
  <c r="V10" i="12"/>
  <c r="P11" i="12"/>
  <c r="J11" i="12"/>
  <c r="P12" i="12"/>
  <c r="U18" i="12"/>
  <c r="F18" i="12"/>
  <c r="AE12" i="12"/>
  <c r="AK18" i="9"/>
  <c r="Q18" i="12"/>
  <c r="I18" i="12"/>
  <c r="L18" i="12"/>
  <c r="Y16" i="12"/>
  <c r="G14" i="12"/>
  <c r="Y11" i="12"/>
  <c r="J9" i="12"/>
  <c r="AB10" i="12"/>
  <c r="G15" i="12"/>
  <c r="M11" i="12"/>
  <c r="AB15" i="12"/>
  <c r="V15" i="12"/>
  <c r="D15" i="12"/>
  <c r="G12" i="12"/>
  <c r="AH13" i="12"/>
  <c r="J13" i="12"/>
  <c r="V13" i="12"/>
  <c r="G9" i="12"/>
  <c r="AB9" i="12"/>
  <c r="AE13" i="12"/>
  <c r="AE9" i="12"/>
  <c r="AB11" i="12"/>
  <c r="AH9" i="12"/>
  <c r="Y14" i="12"/>
  <c r="AH15" i="12"/>
  <c r="N18" i="12"/>
  <c r="V16" i="12"/>
  <c r="AE16" i="12"/>
  <c r="V12" i="12"/>
  <c r="D13" i="12"/>
  <c r="AH10" i="12"/>
  <c r="AH12" i="12"/>
  <c r="AK18" i="10"/>
  <c r="AH14" i="12"/>
  <c r="AB16" i="12"/>
  <c r="J16" i="12"/>
  <c r="Y12" i="12"/>
  <c r="J12" i="12"/>
  <c r="V14" i="12"/>
  <c r="K18" i="12"/>
  <c r="AG18" i="10"/>
  <c r="Y18" i="12" s="1"/>
  <c r="G13" i="12"/>
  <c r="G16" i="12"/>
  <c r="J15" i="12"/>
  <c r="M10" i="12"/>
  <c r="AO18" i="10"/>
  <c r="AK18" i="4"/>
  <c r="AO18" i="4"/>
  <c r="T38" i="12"/>
  <c r="P10" i="12"/>
  <c r="U18" i="4"/>
  <c r="AC18" i="4"/>
  <c r="V18" i="12" s="1"/>
  <c r="AS18" i="4"/>
  <c r="AH18" i="12" s="1"/>
  <c r="D35" i="12"/>
  <c r="D10" i="12"/>
  <c r="M15" i="12"/>
  <c r="D34" i="12"/>
  <c r="D9" i="12"/>
  <c r="M12" i="12"/>
  <c r="P18" i="12"/>
  <c r="M9" i="12"/>
  <c r="D37" i="12"/>
  <c r="D12" i="12"/>
  <c r="M14" i="12"/>
  <c r="P16" i="12"/>
  <c r="D41" i="12"/>
  <c r="D16" i="12"/>
  <c r="P14" i="12"/>
  <c r="D39" i="12"/>
  <c r="D14" i="12"/>
  <c r="M16" i="12"/>
  <c r="P9" i="12"/>
  <c r="AC39" i="12"/>
  <c r="AC38" i="12"/>
  <c r="M13" i="12"/>
  <c r="AK35" i="12"/>
  <c r="Y39" i="12"/>
  <c r="AD37" i="12"/>
  <c r="N36" i="12"/>
  <c r="M35" i="12"/>
  <c r="T34" i="12"/>
  <c r="L37" i="12"/>
  <c r="S39" i="12"/>
  <c r="Y59" i="12"/>
  <c r="AL59" i="12"/>
  <c r="V59" i="12"/>
  <c r="N34" i="12"/>
  <c r="F39" i="12"/>
  <c r="AC59" i="12"/>
  <c r="U43" i="12"/>
  <c r="AB59" i="12"/>
  <c r="D40" i="12"/>
  <c r="AI37" i="12"/>
  <c r="U18" i="3"/>
  <c r="C41" i="12"/>
  <c r="K36" i="12"/>
  <c r="AA34" i="12"/>
  <c r="AI59" i="12"/>
  <c r="AI39" i="12"/>
  <c r="AI34" i="12"/>
  <c r="AI40" i="12"/>
  <c r="AI41" i="12"/>
  <c r="AI36" i="12"/>
  <c r="AI38" i="12"/>
  <c r="AI35" i="12"/>
  <c r="AA37" i="12"/>
  <c r="AA38" i="12"/>
  <c r="AA35" i="12"/>
  <c r="AA39" i="12"/>
  <c r="AA41" i="12"/>
  <c r="AA40" i="12"/>
  <c r="AA59" i="12"/>
  <c r="AA36" i="12"/>
  <c r="S35" i="12"/>
  <c r="S34" i="12"/>
  <c r="S40" i="12"/>
  <c r="S36" i="12"/>
  <c r="S59" i="12"/>
  <c r="S38" i="12"/>
  <c r="S37" i="12"/>
  <c r="S41" i="12"/>
  <c r="K35" i="12"/>
  <c r="K41" i="12"/>
  <c r="K38" i="12"/>
  <c r="K59" i="12"/>
  <c r="K34" i="12"/>
  <c r="K37" i="12"/>
  <c r="K39" i="12"/>
  <c r="K40" i="12"/>
  <c r="C59" i="12"/>
  <c r="C37" i="12"/>
  <c r="C36" i="12"/>
  <c r="C40" i="12"/>
  <c r="C39" i="12"/>
  <c r="C35" i="12"/>
  <c r="C38" i="12"/>
  <c r="AJ37" i="12"/>
  <c r="AJ41" i="12"/>
  <c r="AJ40" i="12"/>
  <c r="AJ59" i="12"/>
  <c r="AJ39" i="12"/>
  <c r="AJ35" i="12"/>
  <c r="AJ34" i="12"/>
  <c r="AB36" i="12"/>
  <c r="AB41" i="12"/>
  <c r="AB34" i="12"/>
  <c r="AB38" i="12"/>
  <c r="AB39" i="12"/>
  <c r="AB37" i="12"/>
  <c r="AB40" i="12"/>
  <c r="T39" i="12"/>
  <c r="T59" i="12"/>
  <c r="T36" i="12"/>
  <c r="T35" i="12"/>
  <c r="T41" i="12"/>
  <c r="T37" i="12"/>
  <c r="L59" i="12"/>
  <c r="L38" i="12"/>
  <c r="L41" i="12"/>
  <c r="L36" i="12"/>
  <c r="L40" i="12"/>
  <c r="D38" i="12"/>
  <c r="E35" i="12"/>
  <c r="U38" i="12"/>
  <c r="M40" i="12"/>
  <c r="M37" i="12"/>
  <c r="E39" i="12"/>
  <c r="E40" i="12"/>
  <c r="E37" i="12"/>
  <c r="AC40" i="12"/>
  <c r="AK34" i="12"/>
  <c r="AK37" i="12"/>
  <c r="AK36" i="12"/>
  <c r="AK39" i="12"/>
  <c r="AK38" i="12"/>
  <c r="AK43" i="12"/>
  <c r="AC41" i="12"/>
  <c r="AC36" i="12"/>
  <c r="AC34" i="12"/>
  <c r="U36" i="12"/>
  <c r="U35" i="12"/>
  <c r="U39" i="12"/>
  <c r="U59" i="12"/>
  <c r="U41" i="12"/>
  <c r="M39" i="12"/>
  <c r="M41" i="12"/>
  <c r="M36" i="12"/>
  <c r="M38" i="12"/>
  <c r="M59" i="12"/>
  <c r="E41" i="12"/>
  <c r="E38" i="12"/>
  <c r="E34" i="12"/>
  <c r="V36" i="12"/>
  <c r="AL37" i="12"/>
  <c r="AL38" i="12"/>
  <c r="AD41" i="12"/>
  <c r="AL34" i="12"/>
  <c r="AL35" i="12"/>
  <c r="AL40" i="12"/>
  <c r="AL39" i="12"/>
  <c r="AL36" i="12"/>
  <c r="AD38" i="12"/>
  <c r="AD34" i="12"/>
  <c r="AD36" i="12"/>
  <c r="AD59" i="12"/>
  <c r="AD40" i="12"/>
  <c r="AD39" i="12"/>
  <c r="V38" i="12"/>
  <c r="V37" i="12"/>
  <c r="V35" i="12"/>
  <c r="V41" i="12"/>
  <c r="V34" i="12"/>
  <c r="V39" i="12"/>
  <c r="N39" i="12"/>
  <c r="N38" i="12"/>
  <c r="N59" i="12"/>
  <c r="N35" i="12"/>
  <c r="N41" i="12"/>
  <c r="F41" i="12"/>
  <c r="F36" i="12"/>
  <c r="F38" i="12"/>
  <c r="F59" i="12"/>
  <c r="F40" i="12"/>
  <c r="F37" i="12"/>
  <c r="F35" i="12"/>
  <c r="AM40" i="12"/>
  <c r="AM59" i="12"/>
  <c r="AM34" i="12"/>
  <c r="AM38" i="12"/>
  <c r="AM39" i="12"/>
  <c r="AM41" i="12"/>
  <c r="AM36" i="12"/>
  <c r="AM37" i="12"/>
  <c r="AM35" i="12"/>
  <c r="AE39" i="12"/>
  <c r="AE38" i="12"/>
  <c r="AE41" i="12"/>
  <c r="AE37" i="12"/>
  <c r="AE36" i="12"/>
  <c r="AE40" i="12"/>
  <c r="AE35" i="12"/>
  <c r="AE59" i="12"/>
  <c r="AE34" i="12"/>
  <c r="W38" i="12"/>
  <c r="W34" i="12"/>
  <c r="W35" i="12"/>
  <c r="W39" i="12"/>
  <c r="W37" i="12"/>
  <c r="W59" i="12"/>
  <c r="W36" i="12"/>
  <c r="W40" i="12"/>
  <c r="W41" i="12"/>
  <c r="O59" i="12"/>
  <c r="O40" i="12"/>
  <c r="O36" i="12"/>
  <c r="O39" i="12"/>
  <c r="O41" i="12"/>
  <c r="O37" i="12"/>
  <c r="O34" i="12"/>
  <c r="O35" i="12"/>
  <c r="O38" i="12"/>
  <c r="G40" i="12"/>
  <c r="G59" i="12"/>
  <c r="G36" i="12"/>
  <c r="G37" i="12"/>
  <c r="G35" i="12"/>
  <c r="G39" i="12"/>
  <c r="G41" i="12"/>
  <c r="G34" i="12"/>
  <c r="G38" i="12"/>
  <c r="AN59" i="12"/>
  <c r="AP36" i="12"/>
  <c r="R35" i="12"/>
  <c r="Q41" i="12"/>
  <c r="I41" i="12"/>
  <c r="I38" i="12"/>
  <c r="AO59" i="12"/>
  <c r="AG59" i="12"/>
  <c r="Q59" i="12"/>
  <c r="P39" i="12"/>
  <c r="P34" i="12"/>
  <c r="AF36" i="12"/>
  <c r="AF38" i="12"/>
  <c r="H41" i="12"/>
  <c r="AF37" i="12"/>
  <c r="P40" i="12"/>
  <c r="AF41" i="12"/>
  <c r="AN36" i="12"/>
  <c r="X39" i="12"/>
  <c r="X35" i="12"/>
  <c r="P59" i="12"/>
  <c r="X34" i="12"/>
  <c r="AN38" i="12"/>
  <c r="AN37" i="12"/>
  <c r="AF34" i="12"/>
  <c r="H37" i="12"/>
  <c r="H36" i="12"/>
  <c r="H40" i="12"/>
  <c r="P37" i="12"/>
  <c r="X59" i="12"/>
  <c r="X36" i="12"/>
  <c r="AN35" i="12"/>
  <c r="AF39" i="12"/>
  <c r="X38" i="12"/>
  <c r="H39" i="12"/>
  <c r="AN39" i="12"/>
  <c r="P38" i="12"/>
  <c r="H34" i="12"/>
  <c r="AN34" i="12"/>
  <c r="P35" i="12"/>
  <c r="H38" i="12"/>
  <c r="P41" i="12"/>
  <c r="P36" i="12"/>
  <c r="X40" i="12"/>
  <c r="H59" i="12"/>
  <c r="AF40" i="12"/>
  <c r="X41" i="12"/>
  <c r="AF35" i="12"/>
  <c r="X37" i="12"/>
  <c r="AN41" i="12"/>
  <c r="H35" i="12"/>
  <c r="AN40" i="12"/>
  <c r="AF59" i="12"/>
  <c r="J40" i="12"/>
  <c r="Q36" i="12"/>
  <c r="AO34" i="12"/>
  <c r="AG39" i="12"/>
  <c r="Q18" i="9"/>
  <c r="Y36" i="12"/>
  <c r="AO41" i="12"/>
  <c r="AO40" i="12"/>
  <c r="AO39" i="12"/>
  <c r="AO38" i="12"/>
  <c r="AO36" i="12"/>
  <c r="AO35" i="12"/>
  <c r="AG41" i="12"/>
  <c r="AG40" i="12"/>
  <c r="AG38" i="12"/>
  <c r="AG37" i="12"/>
  <c r="AG36" i="12"/>
  <c r="AG35" i="12"/>
  <c r="AG34" i="12"/>
  <c r="Y41" i="12"/>
  <c r="Y40" i="12"/>
  <c r="Y38" i="12"/>
  <c r="Y37" i="12"/>
  <c r="Y35" i="12"/>
  <c r="Y34" i="12"/>
  <c r="Q40" i="12"/>
  <c r="Q39" i="12"/>
  <c r="Q38" i="12"/>
  <c r="Q37" i="12"/>
  <c r="Q35" i="12"/>
  <c r="Q34" i="12"/>
  <c r="I59" i="12"/>
  <c r="I40" i="12"/>
  <c r="I39" i="12"/>
  <c r="I37" i="12"/>
  <c r="I36" i="12"/>
  <c r="I35" i="12"/>
  <c r="I34" i="12"/>
  <c r="AH41" i="12"/>
  <c r="Q18" i="10"/>
  <c r="Z41" i="12"/>
  <c r="M18" i="10"/>
  <c r="AP41" i="12"/>
  <c r="AP40" i="12"/>
  <c r="AP39" i="12"/>
  <c r="AP38" i="12"/>
  <c r="AP37" i="12"/>
  <c r="AP35" i="12"/>
  <c r="AP59" i="12"/>
  <c r="AP34" i="12"/>
  <c r="AH59" i="12"/>
  <c r="AH40" i="12"/>
  <c r="AH39" i="12"/>
  <c r="AH38" i="12"/>
  <c r="AH37" i="12"/>
  <c r="AH36" i="12"/>
  <c r="AH35" i="12"/>
  <c r="AH34" i="12"/>
  <c r="Z40" i="12"/>
  <c r="Z39" i="12"/>
  <c r="Z37" i="12"/>
  <c r="Z36" i="12"/>
  <c r="Z35" i="12"/>
  <c r="Z34" i="12"/>
  <c r="J59" i="12"/>
  <c r="R59" i="12"/>
  <c r="R41" i="12"/>
  <c r="R40" i="12"/>
  <c r="R39" i="12"/>
  <c r="R38" i="12"/>
  <c r="R37" i="12"/>
  <c r="R36" i="12"/>
  <c r="R34" i="12"/>
  <c r="J41" i="12"/>
  <c r="J39" i="12"/>
  <c r="J38" i="12"/>
  <c r="J37" i="12"/>
  <c r="J36" i="12"/>
  <c r="J35" i="12"/>
  <c r="J34" i="12"/>
  <c r="E18" i="10"/>
  <c r="I18" i="6"/>
  <c r="E18" i="6"/>
  <c r="Q18" i="4"/>
  <c r="U18" i="10"/>
  <c r="AC18" i="10"/>
  <c r="I18" i="10"/>
  <c r="M18" i="9"/>
  <c r="I18" i="9"/>
  <c r="AC18" i="9"/>
  <c r="U18" i="9"/>
  <c r="E18" i="9"/>
  <c r="AC18" i="8"/>
  <c r="E18" i="8"/>
  <c r="I18" i="8"/>
  <c r="U18" i="7"/>
  <c r="M18" i="4"/>
  <c r="J18" i="12" s="1"/>
  <c r="I18" i="3"/>
  <c r="E18" i="3"/>
  <c r="Q18" i="3"/>
  <c r="M18" i="7"/>
  <c r="I18" i="7"/>
  <c r="E18" i="7"/>
  <c r="Q18" i="7"/>
  <c r="U18" i="6"/>
  <c r="M18" i="3"/>
  <c r="I18" i="4"/>
  <c r="E18" i="4"/>
  <c r="M18" i="6"/>
  <c r="AE18" i="12" l="1"/>
  <c r="G18" i="12"/>
  <c r="AB18" i="12"/>
  <c r="M18" i="12"/>
  <c r="D18" i="12"/>
  <c r="AI43" i="12"/>
  <c r="AA43" i="12"/>
  <c r="S43" i="12"/>
  <c r="K43" i="12"/>
  <c r="C43" i="12"/>
  <c r="AJ43" i="12"/>
  <c r="AB43" i="12"/>
  <c r="T43" i="12"/>
  <c r="L43" i="12"/>
  <c r="D43" i="12"/>
  <c r="AC43" i="12"/>
  <c r="M43" i="12"/>
  <c r="E43" i="12"/>
  <c r="AL43" i="12"/>
  <c r="AD43" i="12"/>
  <c r="V43" i="12"/>
  <c r="N43" i="12"/>
  <c r="F43" i="12"/>
  <c r="AM43" i="12"/>
  <c r="AE43" i="12"/>
  <c r="W43" i="12"/>
  <c r="O43" i="12"/>
  <c r="G43" i="12"/>
  <c r="AN43" i="12"/>
  <c r="H43" i="12"/>
  <c r="P43" i="12"/>
  <c r="AF43" i="12"/>
  <c r="X43" i="12"/>
  <c r="Z43" i="12"/>
  <c r="AG43" i="12"/>
  <c r="AO43" i="12"/>
  <c r="Y43" i="12"/>
  <c r="Q43" i="12"/>
  <c r="I43" i="12"/>
  <c r="AH43" i="12"/>
  <c r="AP43" i="12"/>
  <c r="R43" i="12"/>
  <c r="J43" i="12"/>
</calcChain>
</file>

<file path=xl/sharedStrings.xml><?xml version="1.0" encoding="utf-8"?>
<sst xmlns="http://schemas.openxmlformats.org/spreadsheetml/2006/main" count="1609" uniqueCount="31">
  <si>
    <t>Seed 42</t>
  </si>
  <si>
    <t>Seed 63</t>
  </si>
  <si>
    <t>Seed 84</t>
  </si>
  <si>
    <t>Cluster</t>
  </si>
  <si>
    <t>Test Samples</t>
  </si>
  <si>
    <t>GP</t>
  </si>
  <si>
    <t>RF</t>
  </si>
  <si>
    <t>MAE</t>
  </si>
  <si>
    <t>Clusters</t>
  </si>
  <si>
    <t>As Capacity</t>
  </si>
  <si>
    <t>R-Squared</t>
  </si>
  <si>
    <t>Average</t>
  </si>
  <si>
    <t>Horns</t>
  </si>
  <si>
    <t>Seagreen</t>
  </si>
  <si>
    <t>Gemini</t>
  </si>
  <si>
    <t>Hollandse</t>
  </si>
  <si>
    <t>Dieppe</t>
  </si>
  <si>
    <t>Moray</t>
  </si>
  <si>
    <t>Kriegers</t>
  </si>
  <si>
    <t>East.Anglia</t>
  </si>
  <si>
    <t>Overall</t>
  </si>
  <si>
    <t>Horns Rev</t>
  </si>
  <si>
    <t>Test Points</t>
  </si>
  <si>
    <t>Seed - 42</t>
  </si>
  <si>
    <t>Seed - 63</t>
  </si>
  <si>
    <t>Seed - 84</t>
  </si>
  <si>
    <t>Hollandse Noord</t>
  </si>
  <si>
    <t>Moray Firth</t>
  </si>
  <si>
    <t>East Anglia One</t>
  </si>
  <si>
    <t>Baseline</t>
  </si>
  <si>
    <t>Transer Learning 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</si>
</sst>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" fontId="3" fillId="0" borderId="0" xfId="0" applyNumberFormat="1" applyFont="1"/>
    <xf numFmtId="2" fontId="2" fillId="0" borderId="0" xfId="0" applyNumberFormat="1" applyFont="1"/>
    <xf numFmtId="0" fontId="3" fillId="0" borderId="0" xfId="0" applyFont="1"/>
    <xf numFmtId="164" fontId="2" fillId="0" borderId="0" xfId="0" applyNumberFormat="1" applyFont="1"/>
    <xf numFmtId="2" fontId="3" fillId="0" borderId="0" xfId="0" applyNumberFormat="1" applyFont="1"/>
    <xf numFmtId="165" fontId="3" fillId="0" borderId="0" xfId="0" applyNumberFormat="1" applyFont="1"/>
    <xf numFmtId="9" fontId="2" fillId="0" borderId="0" xfId="0" applyNumberFormat="1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66" fontId="2" fillId="0" borderId="0" xfId="0" applyNumberFormat="1" applyFont="1"/>
    <xf numFmtId="0" fontId="2" fillId="0" borderId="7" xfId="0" applyFont="1" applyBorder="1"/>
    <xf numFmtId="166" fontId="2" fillId="0" borderId="3" xfId="0" applyNumberFormat="1" applyFont="1" applyBorder="1"/>
    <xf numFmtId="10" fontId="2" fillId="0" borderId="7" xfId="0" applyNumberFormat="1" applyFont="1" applyBorder="1"/>
    <xf numFmtId="10" fontId="2" fillId="0" borderId="0" xfId="0" applyNumberFormat="1" applyFont="1"/>
    <xf numFmtId="10" fontId="2" fillId="0" borderId="3" xfId="0" applyNumberFormat="1" applyFont="1" applyBorder="1"/>
    <xf numFmtId="0" fontId="2" fillId="0" borderId="8" xfId="0" applyFont="1" applyBorder="1"/>
    <xf numFmtId="0" fontId="2" fillId="0" borderId="9" xfId="0" applyFont="1" applyBorder="1"/>
    <xf numFmtId="1" fontId="2" fillId="0" borderId="0" xfId="0" applyNumberFormat="1" applyFont="1"/>
    <xf numFmtId="0" fontId="2" fillId="0" borderId="12" xfId="0" applyFont="1" applyBorder="1"/>
    <xf numFmtId="2" fontId="2" fillId="0" borderId="13" xfId="0" applyNumberFormat="1" applyFont="1" applyBorder="1"/>
    <xf numFmtId="0" fontId="0" fillId="0" borderId="11" xfId="0" applyBorder="1"/>
    <xf numFmtId="0" fontId="2" fillId="0" borderId="11" xfId="0" applyFont="1" applyBorder="1"/>
    <xf numFmtId="0" fontId="2" fillId="0" borderId="10" xfId="0" applyFont="1" applyBorder="1"/>
    <xf numFmtId="166" fontId="0" fillId="0" borderId="0" xfId="1" applyNumberFormat="1" applyFont="1"/>
    <xf numFmtId="10" fontId="0" fillId="0" borderId="0" xfId="1" applyNumberFormat="1" applyFont="1" applyFill="1"/>
    <xf numFmtId="0" fontId="0" fillId="0" borderId="15" xfId="0" applyBorder="1"/>
    <xf numFmtId="0" fontId="0" fillId="0" borderId="16" xfId="0" applyBorder="1"/>
    <xf numFmtId="0" fontId="2" fillId="0" borderId="15" xfId="0" applyFont="1" applyBorder="1"/>
    <xf numFmtId="1" fontId="2" fillId="0" borderId="15" xfId="0" applyNumberFormat="1" applyFont="1" applyBorder="1"/>
    <xf numFmtId="0" fontId="2" fillId="0" borderId="16" xfId="0" applyFont="1" applyBorder="1"/>
    <xf numFmtId="1" fontId="2" fillId="0" borderId="11" xfId="0" applyNumberFormat="1" applyFont="1" applyBorder="1"/>
    <xf numFmtId="10" fontId="0" fillId="0" borderId="15" xfId="1" applyNumberFormat="1" applyFont="1" applyFill="1" applyBorder="1"/>
    <xf numFmtId="1" fontId="2" fillId="0" borderId="16" xfId="0" applyNumberFormat="1" applyFont="1" applyBorder="1"/>
    <xf numFmtId="10" fontId="0" fillId="0" borderId="16" xfId="1" applyNumberFormat="1" applyFont="1" applyFill="1" applyBorder="1"/>
    <xf numFmtId="164" fontId="2" fillId="0" borderId="11" xfId="0" applyNumberFormat="1" applyFont="1" applyBorder="1"/>
    <xf numFmtId="166" fontId="2" fillId="0" borderId="11" xfId="0" applyNumberFormat="1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1" fontId="2" fillId="0" borderId="20" xfId="0" applyNumberFormat="1" applyFont="1" applyBorder="1"/>
    <xf numFmtId="165" fontId="2" fillId="0" borderId="21" xfId="0" applyNumberFormat="1" applyFont="1" applyBorder="1"/>
    <xf numFmtId="1" fontId="2" fillId="0" borderId="22" xfId="0" applyNumberFormat="1" applyFont="1" applyBorder="1"/>
    <xf numFmtId="164" fontId="2" fillId="0" borderId="15" xfId="0" applyNumberFormat="1" applyFont="1" applyBorder="1"/>
    <xf numFmtId="166" fontId="2" fillId="0" borderId="15" xfId="0" applyNumberFormat="1" applyFont="1" applyBorder="1"/>
    <xf numFmtId="165" fontId="2" fillId="0" borderId="23" xfId="0" applyNumberFormat="1" applyFont="1" applyBorder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/>
    <xf numFmtId="0" fontId="2" fillId="0" borderId="26" xfId="0" applyFont="1" applyBorder="1" applyAlignment="1">
      <alignment horizontal="center"/>
    </xf>
    <xf numFmtId="2" fontId="2" fillId="0" borderId="27" xfId="0" applyNumberFormat="1" applyFont="1" applyBorder="1"/>
    <xf numFmtId="10" fontId="2" fillId="0" borderId="19" xfId="0" applyNumberFormat="1" applyFont="1" applyBorder="1"/>
    <xf numFmtId="0" fontId="2" fillId="0" borderId="14" xfId="0" applyFont="1" applyBorder="1" applyAlignment="1">
      <alignment horizontal="center"/>
    </xf>
    <xf numFmtId="10" fontId="2" fillId="0" borderId="16" xfId="0" applyNumberFormat="1" applyFont="1" applyBorder="1"/>
    <xf numFmtId="0" fontId="2" fillId="0" borderId="28" xfId="0" applyFont="1" applyBorder="1" applyAlignment="1">
      <alignment horizontal="center"/>
    </xf>
    <xf numFmtId="164" fontId="2" fillId="2" borderId="11" xfId="0" applyNumberFormat="1" applyFont="1" applyFill="1" applyBorder="1"/>
    <xf numFmtId="0" fontId="2" fillId="0" borderId="27" xfId="0" applyFont="1" applyBorder="1"/>
    <xf numFmtId="164" fontId="2" fillId="2" borderId="15" xfId="0" applyNumberFormat="1" applyFont="1" applyFill="1" applyBorder="1"/>
    <xf numFmtId="166" fontId="2" fillId="0" borderId="21" xfId="0" applyNumberFormat="1" applyFont="1" applyBorder="1"/>
    <xf numFmtId="166" fontId="2" fillId="0" borderId="11" xfId="1" applyNumberFormat="1" applyFont="1" applyBorder="1"/>
    <xf numFmtId="164" fontId="2" fillId="0" borderId="20" xfId="0" applyNumberFormat="1" applyFont="1" applyBorder="1"/>
    <xf numFmtId="164" fontId="2" fillId="0" borderId="22" xfId="0" applyNumberFormat="1" applyFont="1" applyBorder="1"/>
    <xf numFmtId="166" fontId="2" fillId="0" borderId="15" xfId="1" applyNumberFormat="1" applyFont="1" applyBorder="1"/>
    <xf numFmtId="0" fontId="2" fillId="0" borderId="29" xfId="0" applyFont="1" applyBorder="1"/>
    <xf numFmtId="164" fontId="0" fillId="0" borderId="20" xfId="0" applyNumberFormat="1" applyBorder="1"/>
    <xf numFmtId="0" fontId="2" fillId="0" borderId="30" xfId="0" applyFont="1" applyBorder="1"/>
    <xf numFmtId="0" fontId="2" fillId="0" borderId="31" xfId="0" applyFont="1" applyBorder="1"/>
    <xf numFmtId="166" fontId="0" fillId="0" borderId="11" xfId="1" applyNumberFormat="1" applyFont="1" applyBorder="1"/>
    <xf numFmtId="164" fontId="0" fillId="0" borderId="30" xfId="0" applyNumberFormat="1" applyBorder="1"/>
    <xf numFmtId="166" fontId="0" fillId="0" borderId="29" xfId="1" applyNumberFormat="1" applyFont="1" applyBorder="1"/>
    <xf numFmtId="164" fontId="0" fillId="0" borderId="22" xfId="0" applyNumberFormat="1" applyBorder="1"/>
    <xf numFmtId="166" fontId="0" fillId="0" borderId="15" xfId="1" applyNumberFormat="1" applyFont="1" applyBorder="1"/>
    <xf numFmtId="10" fontId="0" fillId="0" borderId="11" xfId="1" applyNumberFormat="1" applyFont="1" applyBorder="1"/>
    <xf numFmtId="164" fontId="2" fillId="0" borderId="27" xfId="0" applyNumberFormat="1" applyFont="1" applyBorder="1"/>
    <xf numFmtId="166" fontId="2" fillId="0" borderId="19" xfId="1" applyNumberFormat="1" applyFont="1" applyBorder="1"/>
    <xf numFmtId="10" fontId="2" fillId="0" borderId="16" xfId="1" applyNumberFormat="1" applyFont="1" applyBorder="1"/>
    <xf numFmtId="164" fontId="0" fillId="0" borderId="27" xfId="0" applyNumberFormat="1" applyBorder="1"/>
    <xf numFmtId="166" fontId="0" fillId="0" borderId="19" xfId="1" applyNumberFormat="1" applyFont="1" applyBorder="1"/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" fontId="2" fillId="0" borderId="30" xfId="0" applyNumberFormat="1" applyFont="1" applyBorder="1"/>
    <xf numFmtId="166" fontId="2" fillId="0" borderId="29" xfId="1" applyNumberFormat="1" applyFont="1" applyBorder="1"/>
    <xf numFmtId="1" fontId="2" fillId="0" borderId="27" xfId="0" applyNumberFormat="1" applyFont="1" applyBorder="1"/>
    <xf numFmtId="0" fontId="1" fillId="0" borderId="11" xfId="0" applyFont="1" applyBorder="1"/>
    <xf numFmtId="0" fontId="1" fillId="0" borderId="0" xfId="0" applyFont="1"/>
    <xf numFmtId="0" fontId="0" fillId="0" borderId="33" xfId="0" applyBorder="1"/>
    <xf numFmtId="0" fontId="2" fillId="0" borderId="33" xfId="0" applyFont="1" applyBorder="1"/>
    <xf numFmtId="0" fontId="0" fillId="0" borderId="34" xfId="0" applyBorder="1"/>
    <xf numFmtId="0" fontId="0" fillId="0" borderId="35" xfId="0" applyBorder="1"/>
    <xf numFmtId="10" fontId="2" fillId="0" borderId="27" xfId="1" applyNumberFormat="1" applyFont="1" applyFill="1" applyBorder="1"/>
    <xf numFmtId="164" fontId="2" fillId="2" borderId="29" xfId="0" applyNumberFormat="1" applyFont="1" applyFill="1" applyBorder="1"/>
    <xf numFmtId="166" fontId="2" fillId="0" borderId="29" xfId="0" applyNumberFormat="1" applyFont="1" applyBorder="1"/>
    <xf numFmtId="165" fontId="2" fillId="0" borderId="31" xfId="0" applyNumberFormat="1" applyFont="1" applyBorder="1"/>
    <xf numFmtId="166" fontId="0" fillId="0" borderId="0" xfId="1" applyNumberFormat="1" applyFont="1" applyFill="1"/>
    <xf numFmtId="0" fontId="2" fillId="0" borderId="14" xfId="0" applyFont="1" applyBorder="1"/>
    <xf numFmtId="164" fontId="2" fillId="0" borderId="29" xfId="0" applyNumberFormat="1" applyFont="1" applyBorder="1"/>
    <xf numFmtId="10" fontId="2" fillId="0" borderId="11" xfId="0" applyNumberFormat="1" applyFont="1" applyBorder="1"/>
    <xf numFmtId="1" fontId="2" fillId="0" borderId="29" xfId="0" applyNumberFormat="1" applyFont="1" applyBorder="1"/>
    <xf numFmtId="166" fontId="2" fillId="0" borderId="29" xfId="1" applyNumberFormat="1" applyFont="1" applyFill="1" applyBorder="1"/>
    <xf numFmtId="165" fontId="2" fillId="0" borderId="31" xfId="1" applyNumberFormat="1" applyFont="1" applyFill="1" applyBorder="1"/>
    <xf numFmtId="166" fontId="2" fillId="0" borderId="11" xfId="1" applyNumberFormat="1" applyFont="1" applyFill="1" applyBorder="1"/>
    <xf numFmtId="165" fontId="2" fillId="0" borderId="21" xfId="1" applyNumberFormat="1" applyFont="1" applyFill="1" applyBorder="1"/>
    <xf numFmtId="166" fontId="2" fillId="0" borderId="15" xfId="1" applyNumberFormat="1" applyFont="1" applyFill="1" applyBorder="1"/>
    <xf numFmtId="165" fontId="2" fillId="0" borderId="23" xfId="1" applyNumberFormat="1" applyFont="1" applyFill="1" applyBorder="1"/>
    <xf numFmtId="0" fontId="3" fillId="0" borderId="11" xfId="0" applyFont="1" applyBorder="1"/>
    <xf numFmtId="0" fontId="3" fillId="0" borderId="15" xfId="0" applyFont="1" applyBorder="1"/>
    <xf numFmtId="10" fontId="2" fillId="0" borderId="16" xfId="1" applyNumberFormat="1" applyFont="1" applyFill="1" applyBorder="1"/>
    <xf numFmtId="10" fontId="2" fillId="0" borderId="19" xfId="1" applyNumberFormat="1" applyFont="1" applyFill="1" applyBorder="1"/>
    <xf numFmtId="166" fontId="0" fillId="0" borderId="11" xfId="1" applyNumberFormat="1" applyFont="1" applyFill="1" applyBorder="1"/>
    <xf numFmtId="0" fontId="2" fillId="0" borderId="36" xfId="0" applyFont="1" applyBorder="1"/>
    <xf numFmtId="0" fontId="2" fillId="0" borderId="32" xfId="0" applyFont="1" applyBorder="1"/>
    <xf numFmtId="166" fontId="2" fillId="0" borderId="31" xfId="0" applyNumberFormat="1" applyFont="1" applyBorder="1"/>
    <xf numFmtId="166" fontId="2" fillId="0" borderId="23" xfId="0" applyNumberFormat="1" applyFont="1" applyBorder="1"/>
    <xf numFmtId="164" fontId="2" fillId="0" borderId="30" xfId="0" applyNumberFormat="1" applyFont="1" applyBorder="1"/>
    <xf numFmtId="0" fontId="2" fillId="0" borderId="37" xfId="0" applyFont="1" applyBorder="1"/>
    <xf numFmtId="0" fontId="2" fillId="0" borderId="38" xfId="0" applyFont="1" applyBorder="1"/>
    <xf numFmtId="10" fontId="0" fillId="0" borderId="16" xfId="1" applyNumberFormat="1" applyFont="1" applyBorder="1"/>
    <xf numFmtId="2" fontId="2" fillId="0" borderId="31" xfId="1" applyNumberFormat="1" applyFont="1" applyBorder="1"/>
    <xf numFmtId="2" fontId="2" fillId="0" borderId="21" xfId="1" applyNumberFormat="1" applyFont="1" applyBorder="1"/>
    <xf numFmtId="2" fontId="2" fillId="0" borderId="23" xfId="1" applyNumberFormat="1" applyFont="1" applyBorder="1"/>
    <xf numFmtId="2" fontId="0" fillId="0" borderId="31" xfId="1" applyNumberFormat="1" applyFont="1" applyBorder="1"/>
    <xf numFmtId="2" fontId="0" fillId="0" borderId="21" xfId="1" applyNumberFormat="1" applyFont="1" applyBorder="1"/>
    <xf numFmtId="2" fontId="0" fillId="0" borderId="23" xfId="1" applyNumberFormat="1" applyFont="1" applyBorder="1"/>
    <xf numFmtId="2" fontId="2" fillId="0" borderId="21" xfId="1" applyNumberFormat="1" applyFont="1" applyFill="1" applyBorder="1"/>
    <xf numFmtId="2" fontId="0" fillId="0" borderId="21" xfId="1" applyNumberFormat="1" applyFont="1" applyFill="1" applyBorder="1"/>
    <xf numFmtId="0" fontId="2" fillId="0" borderId="3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9" fontId="2" fillId="0" borderId="0" xfId="0" applyNumberFormat="1" applyFont="1" applyAlignment="1">
      <alignment horizontal="center"/>
    </xf>
    <xf numFmtId="0" fontId="4" fillId="0" borderId="3" xfId="0" applyFont="1" applyBorder="1"/>
    <xf numFmtId="9" fontId="2" fillId="0" borderId="7" xfId="0" applyNumberFormat="1" applyFont="1" applyBorder="1" applyAlignment="1">
      <alignment horizontal="center"/>
    </xf>
    <xf numFmtId="9" fontId="2" fillId="0" borderId="15" xfId="0" applyNumberFormat="1" applyFon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976"/>
  <sheetViews>
    <sheetView zoomScale="60" zoomScaleNormal="60" workbookViewId="0">
      <selection activeCell="H27" sqref="H27"/>
    </sheetView>
  </sheetViews>
  <sheetFormatPr baseColWidth="10" defaultColWidth="14.5" defaultRowHeight="15" customHeight="1" x14ac:dyDescent="0.2"/>
  <cols>
    <col min="1" max="2" width="10.6640625" customWidth="1"/>
    <col min="3" max="3" width="12.33203125" customWidth="1"/>
    <col min="4" max="5" width="10.6640625" customWidth="1"/>
    <col min="6" max="6" width="13.83203125" customWidth="1"/>
    <col min="7" max="9" width="10.6640625" customWidth="1"/>
    <col min="10" max="10" width="14.1640625" customWidth="1"/>
    <col min="11" max="13" width="10.6640625" customWidth="1"/>
    <col min="14" max="14" width="14" customWidth="1"/>
    <col min="15" max="29" width="10.6640625" customWidth="1"/>
  </cols>
  <sheetData>
    <row r="1" spans="2:17" ht="15.75" customHeight="1" x14ac:dyDescent="0.2"/>
    <row r="2" spans="2:17" ht="15.75" customHeight="1" x14ac:dyDescent="0.2"/>
    <row r="3" spans="2:17" ht="15.75" customHeight="1" x14ac:dyDescent="0.2"/>
    <row r="4" spans="2:17" ht="15.75" customHeight="1" x14ac:dyDescent="0.2"/>
    <row r="5" spans="2:17" ht="15.75" customHeight="1" x14ac:dyDescent="0.2">
      <c r="C5" s="1"/>
      <c r="D5" s="1"/>
      <c r="E5" s="1"/>
      <c r="F5" s="132" t="s">
        <v>0</v>
      </c>
      <c r="G5" s="133"/>
      <c r="H5" s="133"/>
      <c r="I5" s="133"/>
      <c r="J5" s="132" t="s">
        <v>1</v>
      </c>
      <c r="K5" s="133"/>
      <c r="L5" s="133"/>
      <c r="M5" s="133"/>
      <c r="N5" s="132" t="s">
        <v>2</v>
      </c>
      <c r="O5" s="133"/>
      <c r="P5" s="133"/>
      <c r="Q5" s="133"/>
    </row>
    <row r="6" spans="2:17" ht="15.75" customHeight="1" x14ac:dyDescent="0.2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ht="15.75" customHeight="1" x14ac:dyDescent="0.2">
      <c r="B7" s="4" t="s">
        <v>3</v>
      </c>
      <c r="C7" s="3" t="s">
        <v>4</v>
      </c>
      <c r="D7" s="3" t="s">
        <v>5</v>
      </c>
      <c r="E7" s="25" t="s">
        <v>6</v>
      </c>
      <c r="F7" s="3" t="s">
        <v>4</v>
      </c>
      <c r="G7" s="3" t="s">
        <v>7</v>
      </c>
      <c r="H7" s="3" t="s">
        <v>5</v>
      </c>
      <c r="I7" s="4" t="s">
        <v>6</v>
      </c>
      <c r="J7" s="3" t="s">
        <v>4</v>
      </c>
      <c r="K7" s="3" t="s">
        <v>7</v>
      </c>
      <c r="L7" s="3" t="s">
        <v>5</v>
      </c>
      <c r="M7" s="4" t="s">
        <v>6</v>
      </c>
      <c r="N7" s="3" t="s">
        <v>4</v>
      </c>
      <c r="O7" s="3" t="s">
        <v>7</v>
      </c>
      <c r="P7" s="3" t="s">
        <v>5</v>
      </c>
      <c r="Q7" s="4" t="s">
        <v>6</v>
      </c>
    </row>
    <row r="8" spans="2:17" ht="15.75" customHeight="1" x14ac:dyDescent="0.2">
      <c r="B8" s="5">
        <v>0</v>
      </c>
      <c r="C8" s="6">
        <f>AVERAGE(F8,J8,N8)</f>
        <v>2681.6666666666665</v>
      </c>
      <c r="D8" s="7">
        <f t="shared" ref="D8:D15" si="0">AVERAGE(H8,L8,P8)</f>
        <v>3.93</v>
      </c>
      <c r="E8" s="26">
        <f t="shared" ref="E8:E15" si="1">AVERAGE(I8,M8,Q8)</f>
        <v>4.2566666666666668</v>
      </c>
      <c r="F8" s="8">
        <v>2680</v>
      </c>
      <c r="G8" s="8">
        <v>24.8</v>
      </c>
      <c r="H8" s="8">
        <v>3.83</v>
      </c>
      <c r="I8" s="5">
        <v>3.78</v>
      </c>
      <c r="J8" s="28">
        <v>3305</v>
      </c>
      <c r="K8" s="28">
        <v>28.1</v>
      </c>
      <c r="L8" s="28">
        <v>4.1500000000000004</v>
      </c>
      <c r="M8" s="5">
        <v>4.6500000000000004</v>
      </c>
      <c r="N8" s="28">
        <v>2060</v>
      </c>
      <c r="O8" s="28">
        <v>25.9</v>
      </c>
      <c r="P8" s="28">
        <v>3.81</v>
      </c>
      <c r="Q8" s="5">
        <v>4.34</v>
      </c>
    </row>
    <row r="9" spans="2:17" ht="15.75" customHeight="1" x14ac:dyDescent="0.2">
      <c r="B9" s="5">
        <v>1</v>
      </c>
      <c r="C9" s="6">
        <f t="shared" ref="C9:C15" si="2">AVERAGE(F9,J9,N9)</f>
        <v>2845</v>
      </c>
      <c r="D9" s="7">
        <f t="shared" si="0"/>
        <v>3.3833333333333333</v>
      </c>
      <c r="E9" s="26">
        <f t="shared" si="1"/>
        <v>3.73</v>
      </c>
      <c r="F9" s="8">
        <v>3155</v>
      </c>
      <c r="G9" s="8">
        <v>24.7</v>
      </c>
      <c r="H9" s="8">
        <v>3.68</v>
      </c>
      <c r="I9" s="5">
        <v>3.89</v>
      </c>
      <c r="J9" s="28">
        <v>2985</v>
      </c>
      <c r="K9" s="28">
        <v>22.1</v>
      </c>
      <c r="L9" s="28">
        <v>3.47</v>
      </c>
      <c r="M9" s="5">
        <v>3.79</v>
      </c>
      <c r="N9" s="28">
        <v>2395</v>
      </c>
      <c r="O9" s="28">
        <v>19.8</v>
      </c>
      <c r="P9" s="28">
        <v>3</v>
      </c>
      <c r="Q9" s="5">
        <v>3.51</v>
      </c>
    </row>
    <row r="10" spans="2:17" ht="15.75" customHeight="1" x14ac:dyDescent="0.2">
      <c r="B10" s="5">
        <v>2</v>
      </c>
      <c r="C10" s="6">
        <f t="shared" si="2"/>
        <v>2110</v>
      </c>
      <c r="D10" s="7">
        <f t="shared" si="0"/>
        <v>3.3200000000000003</v>
      </c>
      <c r="E10" s="26">
        <f t="shared" si="1"/>
        <v>3.4666666666666668</v>
      </c>
      <c r="F10" s="8">
        <v>2140</v>
      </c>
      <c r="G10" s="8">
        <v>26.7</v>
      </c>
      <c r="H10" s="8">
        <v>3.85</v>
      </c>
      <c r="I10" s="5">
        <v>4.24</v>
      </c>
      <c r="J10" s="28">
        <v>1895</v>
      </c>
      <c r="K10" s="28">
        <v>20.5</v>
      </c>
      <c r="L10" s="28">
        <v>3.03</v>
      </c>
      <c r="M10" s="5">
        <v>3.12</v>
      </c>
      <c r="N10" s="28">
        <v>2295</v>
      </c>
      <c r="O10" s="28">
        <v>18.899999999999999</v>
      </c>
      <c r="P10" s="28">
        <v>3.08</v>
      </c>
      <c r="Q10" s="5">
        <v>3.04</v>
      </c>
    </row>
    <row r="11" spans="2:17" ht="15.75" customHeight="1" x14ac:dyDescent="0.2">
      <c r="B11" s="5">
        <v>3</v>
      </c>
      <c r="C11" s="6">
        <f t="shared" si="2"/>
        <v>2228.3333333333335</v>
      </c>
      <c r="D11" s="7">
        <f t="shared" si="0"/>
        <v>3.7633333333333332</v>
      </c>
      <c r="E11" s="26">
        <f t="shared" si="1"/>
        <v>4.1366666666666658</v>
      </c>
      <c r="F11" s="89">
        <v>1420</v>
      </c>
      <c r="G11" s="90">
        <v>26.3</v>
      </c>
      <c r="H11" s="90">
        <v>3.86</v>
      </c>
      <c r="I11" s="5">
        <v>4.5999999999999996</v>
      </c>
      <c r="J11" s="28">
        <v>2430</v>
      </c>
      <c r="K11" s="28">
        <v>24.8</v>
      </c>
      <c r="L11" s="28">
        <v>3.68</v>
      </c>
      <c r="M11" s="5">
        <v>3.8</v>
      </c>
      <c r="N11" s="28">
        <v>2835</v>
      </c>
      <c r="O11" s="28">
        <v>25.1</v>
      </c>
      <c r="P11" s="28">
        <v>3.75</v>
      </c>
      <c r="Q11" s="5">
        <v>4.01</v>
      </c>
    </row>
    <row r="12" spans="2:17" ht="15.75" customHeight="1" x14ac:dyDescent="0.2">
      <c r="B12" s="5">
        <v>4</v>
      </c>
      <c r="C12" s="6">
        <f t="shared" si="2"/>
        <v>2186.6666666666665</v>
      </c>
      <c r="D12" s="7">
        <f t="shared" si="0"/>
        <v>3.97</v>
      </c>
      <c r="E12" s="26">
        <f t="shared" si="1"/>
        <v>4.2566666666666668</v>
      </c>
      <c r="F12" s="89">
        <v>2805</v>
      </c>
      <c r="G12" s="90">
        <v>24.4</v>
      </c>
      <c r="H12" s="90">
        <v>3.74</v>
      </c>
      <c r="I12" s="5">
        <v>4.2699999999999996</v>
      </c>
      <c r="J12" s="28">
        <v>1405</v>
      </c>
      <c r="K12" s="28">
        <v>25.7</v>
      </c>
      <c r="L12" s="28">
        <v>3.99</v>
      </c>
      <c r="M12" s="5">
        <v>3.97</v>
      </c>
      <c r="N12" s="28">
        <v>2350</v>
      </c>
      <c r="O12" s="28">
        <v>27.8</v>
      </c>
      <c r="P12" s="28">
        <v>4.18</v>
      </c>
      <c r="Q12" s="5">
        <v>4.53</v>
      </c>
    </row>
    <row r="13" spans="2:17" ht="15.75" customHeight="1" x14ac:dyDescent="0.2">
      <c r="B13" s="5">
        <v>5</v>
      </c>
      <c r="C13" s="6">
        <f t="shared" si="2"/>
        <v>2170</v>
      </c>
      <c r="D13" s="7">
        <f t="shared" si="0"/>
        <v>3.4433333333333334</v>
      </c>
      <c r="E13" s="26">
        <f t="shared" si="1"/>
        <v>3.7833333333333332</v>
      </c>
      <c r="F13" s="89">
        <v>2015</v>
      </c>
      <c r="G13" s="90">
        <v>18.3</v>
      </c>
      <c r="H13" s="90">
        <v>2.77</v>
      </c>
      <c r="I13" s="5">
        <v>3.05</v>
      </c>
      <c r="J13" s="28">
        <v>2775</v>
      </c>
      <c r="K13" s="28">
        <v>24.2</v>
      </c>
      <c r="L13" s="28">
        <v>3.72</v>
      </c>
      <c r="M13" s="5">
        <v>4.16</v>
      </c>
      <c r="N13" s="28">
        <v>1720</v>
      </c>
      <c r="O13" s="28">
        <v>25</v>
      </c>
      <c r="P13" s="28">
        <v>3.84</v>
      </c>
      <c r="Q13" s="5">
        <v>4.1399999999999997</v>
      </c>
    </row>
    <row r="14" spans="2:17" ht="15.75" customHeight="1" x14ac:dyDescent="0.2">
      <c r="B14" s="5">
        <v>6</v>
      </c>
      <c r="C14" s="6">
        <f t="shared" si="2"/>
        <v>1956.6666666666667</v>
      </c>
      <c r="D14" s="7">
        <f t="shared" si="0"/>
        <v>3.8966666666666669</v>
      </c>
      <c r="E14" s="26">
        <f t="shared" si="1"/>
        <v>4.3133333333333326</v>
      </c>
      <c r="F14" s="89">
        <v>2220</v>
      </c>
      <c r="G14" s="90">
        <v>25.5</v>
      </c>
      <c r="H14" s="90">
        <v>3.68</v>
      </c>
      <c r="I14" s="5">
        <v>4.3899999999999997</v>
      </c>
      <c r="J14" s="28">
        <v>1170</v>
      </c>
      <c r="K14" s="28">
        <v>26.2</v>
      </c>
      <c r="L14" s="28">
        <v>4.12</v>
      </c>
      <c r="M14" s="5">
        <v>4.42</v>
      </c>
      <c r="N14" s="28">
        <v>2480</v>
      </c>
      <c r="O14" s="28">
        <v>26.9</v>
      </c>
      <c r="P14" s="28">
        <v>3.89</v>
      </c>
      <c r="Q14" s="5">
        <v>4.13</v>
      </c>
    </row>
    <row r="15" spans="2:17" ht="15.75" customHeight="1" x14ac:dyDescent="0.2">
      <c r="B15" s="5">
        <v>7</v>
      </c>
      <c r="C15" s="6">
        <f t="shared" si="2"/>
        <v>1311.6666666666667</v>
      </c>
      <c r="D15" s="7">
        <f t="shared" si="0"/>
        <v>3.7766666666666668</v>
      </c>
      <c r="E15" s="26">
        <f t="shared" si="1"/>
        <v>4.07</v>
      </c>
      <c r="F15" s="89">
        <v>1055</v>
      </c>
      <c r="G15" s="90">
        <v>25.5</v>
      </c>
      <c r="H15" s="90">
        <v>3.64</v>
      </c>
      <c r="I15" s="5">
        <v>3.86</v>
      </c>
      <c r="J15" s="28">
        <v>1525</v>
      </c>
      <c r="K15" s="28">
        <v>23.4</v>
      </c>
      <c r="L15" s="28">
        <v>3.61</v>
      </c>
      <c r="M15" s="5">
        <v>4.12</v>
      </c>
      <c r="N15" s="28">
        <v>1355</v>
      </c>
      <c r="O15" s="28">
        <v>27.5</v>
      </c>
      <c r="P15" s="28">
        <v>4.08</v>
      </c>
      <c r="Q15" s="5">
        <v>4.2300000000000004</v>
      </c>
    </row>
    <row r="16" spans="2:17" ht="15.75" customHeight="1" x14ac:dyDescent="0.2">
      <c r="D16" s="9"/>
      <c r="E16" s="9"/>
    </row>
    <row r="17" spans="3:17" ht="15.75" customHeight="1" x14ac:dyDescent="0.2">
      <c r="D17" s="7">
        <f>AVERAGE(H17,L17,P17)</f>
        <v>3.6787964551172099</v>
      </c>
      <c r="E17" s="7">
        <f>AVERAGE(I17,M17,Q17)</f>
        <v>3.9982189822755863</v>
      </c>
      <c r="G17" s="11">
        <f>SUMPRODUCT(F8:F15,G8:G15)/SUM(F8:F15)</f>
        <v>24.454288164665524</v>
      </c>
      <c r="H17" s="10">
        <f>SUMPRODUCT(F8:F15,H8:H15)/SUM(F8:F15)</f>
        <v>3.6407690108633504</v>
      </c>
      <c r="I17" s="10">
        <f>SUMPRODUCT(F8:F15,I8:I15)/SUM(F8:F15)</f>
        <v>3.9994368210405944</v>
      </c>
      <c r="K17" s="11">
        <f>SUMPRODUCT(J8:J15,K8:K15)/SUM(J8:J15)</f>
        <v>24.445568896512292</v>
      </c>
      <c r="L17" s="10">
        <f>SUMPRODUCT(J8:J15,L8:L15)/SUM(J8:J15)</f>
        <v>3.7171269296740999</v>
      </c>
      <c r="M17" s="10">
        <f>SUMPRODUCT(J8:J15,M8:M15)/SUM(J8:J15)</f>
        <v>4.0253887935963411</v>
      </c>
      <c r="O17" s="11">
        <f>SUMPRODUCT(N8:N15,O8:O15)/SUM(N8:N15)</f>
        <v>24.449028016009148</v>
      </c>
      <c r="P17" s="10">
        <f>SUMPRODUCT(N8:N15,P8:P15)/SUM(N8:N15)</f>
        <v>3.6784934248141794</v>
      </c>
      <c r="Q17" s="10">
        <f>SUMPRODUCT(N8:N15,Q8:Q15)/SUM(N8:N15)</f>
        <v>3.9698313321898229</v>
      </c>
    </row>
    <row r="18" spans="3:17" ht="15.75" customHeight="1" x14ac:dyDescent="0.2">
      <c r="I18" s="89"/>
    </row>
    <row r="19" spans="3:17" ht="15.75" customHeight="1" x14ac:dyDescent="0.2">
      <c r="G19" s="8"/>
      <c r="H19" s="8"/>
      <c r="K19" s="8"/>
      <c r="L19" s="8"/>
      <c r="O19" s="8"/>
      <c r="P19" s="8"/>
    </row>
    <row r="20" spans="3:17" ht="15.75" customHeight="1" x14ac:dyDescent="0.2">
      <c r="C20" s="8"/>
      <c r="D20" s="11"/>
      <c r="G20" s="8"/>
      <c r="H20" s="8"/>
      <c r="K20" s="8"/>
      <c r="L20" s="8"/>
      <c r="O20" s="8"/>
      <c r="P20" s="8"/>
    </row>
    <row r="21" spans="3:17" ht="15.75" customHeight="1" x14ac:dyDescent="0.2">
      <c r="C21" s="8"/>
      <c r="D21" s="10"/>
    </row>
    <row r="22" spans="3:17" ht="15.75" customHeight="1" x14ac:dyDescent="0.2">
      <c r="C22" s="8"/>
      <c r="D22" s="10"/>
    </row>
    <row r="23" spans="3:17" ht="15.75" customHeight="1" x14ac:dyDescent="0.2">
      <c r="C23" s="8"/>
      <c r="D23" s="10"/>
    </row>
    <row r="24" spans="3:17" ht="15.75" customHeight="1" x14ac:dyDescent="0.2"/>
    <row r="25" spans="3:17" ht="15.75" customHeight="1" x14ac:dyDescent="0.2"/>
    <row r="26" spans="3:17" ht="15.75" customHeight="1" x14ac:dyDescent="0.2"/>
    <row r="27" spans="3:17" ht="15.75" customHeight="1" x14ac:dyDescent="0.2"/>
    <row r="28" spans="3:17" ht="15.75" customHeight="1" x14ac:dyDescent="0.2"/>
    <row r="29" spans="3:17" ht="15.75" customHeight="1" x14ac:dyDescent="0.2"/>
    <row r="30" spans="3:17" ht="15.75" customHeight="1" x14ac:dyDescent="0.2"/>
    <row r="31" spans="3:17" ht="15.75" customHeight="1" x14ac:dyDescent="0.2"/>
    <row r="32" spans="3:1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mergeCells count="3">
    <mergeCell ref="N5:Q5"/>
    <mergeCell ref="J5:M5"/>
    <mergeCell ref="F5:I5"/>
  </mergeCells>
  <pageMargins left="0.7" right="0.7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979C-6132-4215-B476-57C159E7ED1F}">
  <dimension ref="B7:AP1011"/>
  <sheetViews>
    <sheetView tabSelected="1" zoomScale="60" zoomScaleNormal="60" workbookViewId="0">
      <selection activeCell="C32" sqref="C32:J32"/>
    </sheetView>
  </sheetViews>
  <sheetFormatPr baseColWidth="10" defaultColWidth="14.5" defaultRowHeight="15" customHeight="1" x14ac:dyDescent="0.2"/>
  <cols>
    <col min="1" max="1" width="10.6640625" customWidth="1"/>
    <col min="2" max="2" width="12.5" customWidth="1"/>
    <col min="3" max="3" width="10.6640625" customWidth="1"/>
    <col min="4" max="4" width="12" bestFit="1" customWidth="1"/>
    <col min="5" max="5" width="11.5" bestFit="1" customWidth="1"/>
    <col min="6" max="6" width="10.6640625" customWidth="1"/>
    <col min="7" max="7" width="12" bestFit="1" customWidth="1"/>
    <col min="8" max="8" width="11.5" bestFit="1" customWidth="1"/>
    <col min="9" max="9" width="10.6640625" customWidth="1"/>
    <col min="10" max="10" width="12" bestFit="1" customWidth="1"/>
    <col min="11" max="11" width="11.5" bestFit="1" customWidth="1"/>
    <col min="12" max="12" width="10.6640625" customWidth="1"/>
    <col min="13" max="13" width="12" bestFit="1" customWidth="1"/>
    <col min="14" max="14" width="11.5" bestFit="1" customWidth="1"/>
    <col min="15" max="15" width="10.6640625" customWidth="1"/>
    <col min="16" max="16" width="12" bestFit="1" customWidth="1"/>
    <col min="17" max="17" width="11.5" bestFit="1" customWidth="1"/>
    <col min="18" max="21" width="10.6640625" customWidth="1"/>
    <col min="22" max="22" width="12" bestFit="1" customWidth="1"/>
    <col min="23" max="23" width="11.5" bestFit="1" customWidth="1"/>
    <col min="24" max="24" width="10.6640625" customWidth="1"/>
    <col min="25" max="25" width="12" bestFit="1" customWidth="1"/>
    <col min="26" max="26" width="11.5" bestFit="1" customWidth="1"/>
    <col min="27" max="27" width="10.6640625" customWidth="1"/>
    <col min="28" max="28" width="12" bestFit="1" customWidth="1"/>
    <col min="29" max="29" width="11.5" bestFit="1" customWidth="1"/>
    <col min="30" max="30" width="10.6640625" customWidth="1"/>
    <col min="31" max="31" width="12" bestFit="1" customWidth="1"/>
    <col min="32" max="32" width="11.5" bestFit="1" customWidth="1"/>
    <col min="33" max="33" width="10.6640625" customWidth="1"/>
    <col min="34" max="34" width="12" customWidth="1"/>
    <col min="35" max="35" width="11.5" bestFit="1" customWidth="1"/>
    <col min="36" max="36" width="10.6640625" customWidth="1"/>
    <col min="37" max="37" width="12" bestFit="1" customWidth="1"/>
    <col min="38" max="38" width="11.5" bestFit="1" customWidth="1"/>
    <col min="39" max="42" width="10.6640625" customWidth="1"/>
  </cols>
  <sheetData>
    <row r="7" spans="2:35" ht="16" thickBot="1" x14ac:dyDescent="0.25">
      <c r="C7" s="134">
        <v>0.1</v>
      </c>
      <c r="D7" s="133"/>
      <c r="E7" s="133"/>
      <c r="F7" s="134">
        <v>0.2</v>
      </c>
      <c r="G7" s="133"/>
      <c r="H7" s="133"/>
      <c r="I7" s="134">
        <v>0.3</v>
      </c>
      <c r="J7" s="133"/>
      <c r="K7" s="133"/>
      <c r="L7" s="134">
        <v>0.4</v>
      </c>
      <c r="M7" s="133"/>
      <c r="N7" s="133"/>
      <c r="O7" s="134">
        <v>0.5</v>
      </c>
      <c r="P7" s="133"/>
      <c r="Q7" s="133"/>
      <c r="R7" s="12"/>
      <c r="S7" s="1"/>
      <c r="U7" s="137">
        <v>0.1</v>
      </c>
      <c r="V7" s="137"/>
      <c r="W7" s="137"/>
      <c r="X7" s="137">
        <v>0.2</v>
      </c>
      <c r="Y7" s="137"/>
      <c r="Z7" s="137"/>
      <c r="AA7" s="137">
        <v>0.3</v>
      </c>
      <c r="AB7" s="137"/>
      <c r="AC7" s="137"/>
      <c r="AD7" s="137">
        <v>0.4</v>
      </c>
      <c r="AE7" s="137"/>
      <c r="AF7" s="137"/>
      <c r="AG7" s="134">
        <v>0.5</v>
      </c>
      <c r="AH7" s="133"/>
      <c r="AI7" s="133"/>
    </row>
    <row r="8" spans="2:35" ht="16" thickBot="1" x14ac:dyDescent="0.25">
      <c r="B8" s="58" t="s">
        <v>8</v>
      </c>
      <c r="C8" s="71" t="s">
        <v>7</v>
      </c>
      <c r="D8" s="69" t="s">
        <v>9</v>
      </c>
      <c r="E8" s="72" t="s">
        <v>10</v>
      </c>
      <c r="F8" s="71" t="s">
        <v>7</v>
      </c>
      <c r="G8" s="69" t="s">
        <v>9</v>
      </c>
      <c r="H8" s="72" t="s">
        <v>10</v>
      </c>
      <c r="I8" s="71" t="s">
        <v>7</v>
      </c>
      <c r="J8" s="69" t="s">
        <v>9</v>
      </c>
      <c r="K8" s="72" t="s">
        <v>10</v>
      </c>
      <c r="L8" s="71" t="s">
        <v>7</v>
      </c>
      <c r="M8" s="69" t="s">
        <v>9</v>
      </c>
      <c r="N8" s="72" t="s">
        <v>10</v>
      </c>
      <c r="O8" s="71" t="s">
        <v>7</v>
      </c>
      <c r="P8" s="69" t="s">
        <v>9</v>
      </c>
      <c r="Q8" s="72" t="s">
        <v>10</v>
      </c>
      <c r="T8" s="58" t="s">
        <v>8</v>
      </c>
      <c r="U8" s="71" t="s">
        <v>7</v>
      </c>
      <c r="V8" s="69" t="s">
        <v>9</v>
      </c>
      <c r="W8" s="72" t="s">
        <v>10</v>
      </c>
      <c r="X8" s="71" t="s">
        <v>7</v>
      </c>
      <c r="Y8" s="69" t="s">
        <v>9</v>
      </c>
      <c r="Z8" s="72" t="s">
        <v>10</v>
      </c>
      <c r="AA8" s="120" t="s">
        <v>7</v>
      </c>
      <c r="AB8" s="121" t="s">
        <v>9</v>
      </c>
      <c r="AC8" s="72" t="s">
        <v>10</v>
      </c>
      <c r="AD8" s="71" t="s">
        <v>7</v>
      </c>
      <c r="AE8" s="69" t="s">
        <v>9</v>
      </c>
      <c r="AF8" s="72" t="s">
        <v>10</v>
      </c>
      <c r="AG8" s="71" t="s">
        <v>7</v>
      </c>
      <c r="AH8" s="69" t="s">
        <v>9</v>
      </c>
      <c r="AI8" s="72" t="s">
        <v>10</v>
      </c>
    </row>
    <row r="9" spans="2:35" x14ac:dyDescent="0.2">
      <c r="B9" s="84">
        <v>0</v>
      </c>
      <c r="C9" s="119">
        <f>AVERAGE('Horns Rev'!D9,Seagreen!D9,Gemini!D9,Hollandse_Noord!D9,Dieppe!D9,'Moray Firth'!D9,Kriegers!D9,'East Anglia One'!D9)</f>
        <v>33.6875</v>
      </c>
      <c r="D9" s="87">
        <f>AVERAGE('Horns Rev'!E9,Seagreen!E9,Gemini!E9,Hollandse_Noord!E9,Dieppe!E9,'Moray Firth'!E9,Kriegers!E9,'East Anglia One'!E9)</f>
        <v>4.3872995233599318E-2</v>
      </c>
      <c r="E9" s="123">
        <f>AVERAGE('Horns Rev'!F9,Seagreen!F9,Gemini!F9,Hollandse_Noord!F9,Dieppe!F9,'Moray Firth'!F9,Kriegers!F9,'East Anglia One'!F9)</f>
        <v>0.95912500000000001</v>
      </c>
      <c r="F9" s="119">
        <f>AVERAGE('Horns Rev'!H9,Seagreen!H9,Gemini!H9,Hollandse_Noord!H9,Dieppe!H9,'Moray Firth'!H9,Kriegers!H9,'East Anglia One'!H9)</f>
        <v>28.854166666666664</v>
      </c>
      <c r="G9" s="87">
        <f>AVERAGE('Horns Rev'!I9,Seagreen!I9,Gemini!I9,Hollandse_Noord!I9,Dieppe!I9,'Moray Firth'!I9,Kriegers!I9,'East Anglia One'!I9)</f>
        <v>3.7477947377323143E-2</v>
      </c>
      <c r="H9" s="123">
        <f>AVERAGE('Horns Rev'!J9,Seagreen!J9,Gemini!J9,Hollandse_Noord!J9,Dieppe!J9,'Moray Firth'!J9,Kriegers!J9,'East Anglia One'!J9)</f>
        <v>0.96970833333333328</v>
      </c>
      <c r="I9" s="119">
        <f>AVERAGE('Horns Rev'!L9,Seagreen!L9,Gemini!L9,Hollandse_Noord!L9,Dieppe!L9,'Moray Firth'!L9,Kriegers!L9,'East Anglia One'!L9)</f>
        <v>26.924999999999997</v>
      </c>
      <c r="J9" s="87">
        <f>AVERAGE('Horns Rev'!M9,Seagreen!M9,Gemini!M9,Hollandse_Noord!M9,Dieppe!M9,'Moray Firth'!M9,Kriegers!M9,'East Anglia One'!M9)</f>
        <v>3.5064994967444307E-2</v>
      </c>
      <c r="K9" s="123">
        <f>AVERAGE('Horns Rev'!N9,Seagreen!N9,Gemini!N9,Hollandse_Noord!N9,Dieppe!N9,'Moray Firth'!N9,Kriegers!N9,'East Anglia One'!N9)</f>
        <v>0.97237499999999999</v>
      </c>
      <c r="L9" s="74">
        <f>AVERAGE('Horns Rev'!P9,Seagreen!P9,Gemini!P9,Hollandse_Noord!P9,Dieppe!P9,'Moray Firth'!P9,Kriegers!P9,'East Anglia One'!P9)</f>
        <v>27</v>
      </c>
      <c r="M9" s="75">
        <f>AVERAGE('Horns Rev'!Q9,Seagreen!Q9,Gemini!Q9,Hollandse_Noord!Q9,Dieppe!Q9,'Moray Firth'!Q9,Kriegers!Q9,'East Anglia One'!Q9)</f>
        <v>3.5155276698909228E-2</v>
      </c>
      <c r="N9" s="126">
        <f>AVERAGE('Horns Rev'!R9,Seagreen!R9,Gemini!R9,Hollandse_Noord!R9,Dieppe!R9,'Moray Firth'!R9,Kriegers!R9,'East Anglia One'!R9)</f>
        <v>0.97187499999999993</v>
      </c>
      <c r="O9" s="74">
        <f>AVERAGE('Horns Rev'!T9,Seagreen!T9,Gemini!T9,Hollandse_Noord!T9,Dieppe!T9,'Moray Firth'!T9,Kriegers!T9,'East Anglia One'!T9)</f>
        <v>26.945833333333333</v>
      </c>
      <c r="P9" s="75">
        <f>AVERAGE('Horns Rev'!U9,Seagreen!U9,Gemini!U9,Hollandse_Noord!U9,Dieppe!U9,'Moray Firth'!U9,Kriegers!U9,'East Anglia One'!U9)</f>
        <v>3.523650311535733E-2</v>
      </c>
      <c r="Q9" s="126">
        <f>AVERAGE('Horns Rev'!V9,Seagreen!V9,Gemini!V9,Hollandse_Noord!V9,Dieppe!V9,'Moray Firth'!V9,Kriegers!V9,'East Anglia One'!V9)</f>
        <v>0.97133333333333338</v>
      </c>
      <c r="T9" s="52">
        <v>0</v>
      </c>
      <c r="U9" s="86">
        <f>AVERAGE('Horns Rev'!AB9,Seagreen!AB9,Gemini!AB9,Hollandse_Noord!AB9,Dieppe!AA9,'Moray Firth'!AB9,Kriegers!AB9,'East Anglia One'!AB9)</f>
        <v>40.5</v>
      </c>
      <c r="V9" s="87">
        <f>AVERAGE('Horns Rev'!AC9,Seagreen!AC9,Gemini!AC9,Hollandse_Noord!AC9,Dieppe!AB9,'Moray Firth'!AC9,Kriegers!AC9,'East Anglia One'!AC9)</f>
        <v>5.2536291327471861E-2</v>
      </c>
      <c r="W9" s="123">
        <f>AVERAGE('Horns Rev'!AD9,Seagreen!AD9,Gemini!AD9,Hollandse_Noord!AD9,Dieppe!AC9,'Moray Firth'!AD9,Kriegers!AD9,'East Anglia One'!AD9)</f>
        <v>0.94454166666666661</v>
      </c>
      <c r="X9" s="119">
        <f>AVERAGE('Horns Rev'!AF9,Seagreen!AF9,Gemini!AF9,Hollandse_Noord!AF9,Dieppe!AE9,'Moray Firth'!AF9,Kriegers!AF9,'East Anglia One'!AF9)</f>
        <v>33.716666666666669</v>
      </c>
      <c r="Y9" s="87">
        <f>AVERAGE('Horns Rev'!AG9,Seagreen!AG9,Gemini!AG9,Hollandse_Noord!AG9,Dieppe!AF9,'Moray Firth'!AG9,Kriegers!AG9,'East Anglia One'!AG9)</f>
        <v>4.3818205468313741E-2</v>
      </c>
      <c r="Z9" s="123">
        <f>AVERAGE('Horns Rev'!AH9,Seagreen!AH9,Gemini!AH9,Hollandse_Noord!AH9,Dieppe!AG9,'Moray Firth'!AH9,Kriegers!AH9,'East Anglia One'!AH9)</f>
        <v>0.96158333333333335</v>
      </c>
      <c r="AA9" s="119">
        <f>AVERAGE('Horns Rev'!AJ9,Seagreen!AJ9,Gemini!AJ9,Hollandse_Noord!AJ9,Dieppe!AI9,'Moray Firth'!AJ9,Kriegers!AJ9,'East Anglia One'!AJ9)</f>
        <v>30.795833333333334</v>
      </c>
      <c r="AB9" s="87">
        <f>AVERAGE('Horns Rev'!AK9,Seagreen!AK9,Gemini!AK9,Hollandse_Noord!AK9,Dieppe!AJ9,'Moray Firth'!AK9,Kriegers!AK9,'East Anglia One'!AK9)</f>
        <v>4.0092775202596E-2</v>
      </c>
      <c r="AC9" s="123">
        <f>AVERAGE('Horns Rev'!AL9,Seagreen!AL9,Gemini!AL9,Hollandse_Noord!AL9,Dieppe!AK9,'Moray Firth'!AL9,Kriegers!AL9,'East Anglia One'!AL9)</f>
        <v>0.96637499999999998</v>
      </c>
      <c r="AD9" s="74">
        <f>AVERAGE('Horns Rev'!AN9,Seagreen!AN9,Gemini!AN9,Hollandse_Noord!AN9,Dieppe!AM9,'Moray Firth'!AN9,Kriegers!AN9,'East Anglia One'!AN9)</f>
        <v>30.116666666666671</v>
      </c>
      <c r="AE9" s="75">
        <f>AVERAGE('Horns Rev'!AO9,Seagreen!AO9,Gemini!AO9,Hollandse_Noord!AO9,Dieppe!AN9,'Moray Firth'!AO9,Kriegers!AO9,'East Anglia One'!AO9)</f>
        <v>3.9181265009687015E-2</v>
      </c>
      <c r="AF9" s="126">
        <f>AVERAGE('Horns Rev'!AP9,Seagreen!AP9,Gemini!AP9,Hollandse_Noord!AP9,Dieppe!AO9,'Moray Firth'!AP9,Kriegers!AP9,'East Anglia One'!AP9)</f>
        <v>0.96754166666666652</v>
      </c>
      <c r="AG9" s="74">
        <f>AVERAGE('Horns Rev'!AR9,Seagreen!AR9,Gemini!AR9,Hollandse_Noord!AR9,Dieppe!AQ9,'Moray Firth'!AR9,Kriegers!AR9,'East Anglia One'!AR9)</f>
        <v>29.620833333333334</v>
      </c>
      <c r="AH9" s="75">
        <f>AVERAGE('Horns Rev'!AS9,Seagreen!AS9,Gemini!AS9,Hollandse_Noord!AS9,Dieppe!AR9,'Moray Firth'!AS9,Kriegers!AS9,'East Anglia One'!AS9)</f>
        <v>3.8725106713905645E-2</v>
      </c>
      <c r="AI9" s="126">
        <f>AVERAGE('Horns Rev'!AT9,Seagreen!AT9,Gemini!AT9,Hollandse_Noord!AT9,Dieppe!AS9,'Moray Firth'!AT9,Kriegers!AT9,'East Anglia One'!AT9)</f>
        <v>0.96754166666666652</v>
      </c>
    </row>
    <row r="10" spans="2:35" x14ac:dyDescent="0.2">
      <c r="B10" s="84">
        <v>1</v>
      </c>
      <c r="C10" s="66">
        <f>AVERAGE('Horns Rev'!D10,Seagreen!D10,Gemini!D10,Hollandse_Noord!D10,Dieppe!D10,'Moray Firth'!D10,Kriegers!D10,'East Anglia One'!D10)</f>
        <v>28.125</v>
      </c>
      <c r="D10" s="65">
        <f>AVERAGE('Horns Rev'!E10,Seagreen!E10,Gemini!E10,Hollandse_Noord!E10,Dieppe!E10,'Moray Firth'!E10,Kriegers!E10,'East Anglia One'!E10)</f>
        <v>3.7419010877569894E-2</v>
      </c>
      <c r="E10" s="124">
        <f>AVERAGE('Horns Rev'!F10,Seagreen!F10,Gemini!F10,Hollandse_Noord!F10,Dieppe!F10,'Moray Firth'!F10,Kriegers!F10,'East Anglia One'!F10)</f>
        <v>0.95291666666666675</v>
      </c>
      <c r="F10" s="66">
        <f>AVERAGE('Horns Rev'!H10,Seagreen!H10,Gemini!H10,Hollandse_Noord!H10,Dieppe!H10,'Moray Firth'!H10,Kriegers!H10,'East Anglia One'!H10)</f>
        <v>24.900000000000002</v>
      </c>
      <c r="G10" s="65">
        <f>AVERAGE('Horns Rev'!I10,Seagreen!I10,Gemini!I10,Hollandse_Noord!I10,Dieppe!I10,'Moray Firth'!I10,Kriegers!I10,'East Anglia One'!I10)</f>
        <v>3.3018889617587685E-2</v>
      </c>
      <c r="H10" s="124">
        <f>AVERAGE('Horns Rev'!J10,Seagreen!J10,Gemini!J10,Hollandse_Noord!J10,Dieppe!J10,'Moray Firth'!J10,Kriegers!J10,'East Anglia One'!J10)</f>
        <v>0.96008333333333318</v>
      </c>
      <c r="I10" s="66">
        <f>AVERAGE('Horns Rev'!L10,Seagreen!L10,Gemini!L10,Hollandse_Noord!L10,Dieppe!L10,'Moray Firth'!L10,Kriegers!L10,'East Anglia One'!L10)</f>
        <v>23.916666666666668</v>
      </c>
      <c r="J10" s="65">
        <f>AVERAGE('Horns Rev'!M10,Seagreen!M10,Gemini!M10,Hollandse_Noord!M10,Dieppe!M10,'Moray Firth'!M10,Kriegers!M10,'East Anglia One'!M10)</f>
        <v>3.1866803140745623E-2</v>
      </c>
      <c r="K10" s="124">
        <f>AVERAGE('Horns Rev'!N10,Seagreen!N10,Gemini!N10,Hollandse_Noord!N10,Dieppe!N10,'Moray Firth'!N10,Kriegers!N10,'East Anglia One'!N10)</f>
        <v>0.96204166666666668</v>
      </c>
      <c r="L10" s="70">
        <f>AVERAGE('Horns Rev'!P10,Seagreen!P10,Gemini!P10,Hollandse_Noord!P10,Dieppe!P10,'Moray Firth'!P10,Kriegers!P10,'East Anglia One'!P10)</f>
        <v>23.879166666666663</v>
      </c>
      <c r="M10" s="73">
        <f>AVERAGE('Horns Rev'!Q10,Seagreen!Q10,Gemini!Q10,Hollandse_Noord!Q10,Dieppe!Q10,'Moray Firth'!Q10,Kriegers!Q10,'East Anglia One'!Q10)</f>
        <v>3.1700330398906476E-2</v>
      </c>
      <c r="N10" s="127">
        <f>AVERAGE('Horns Rev'!R10,Seagreen!R10,Gemini!R10,Hollandse_Noord!R10,Dieppe!R10,'Moray Firth'!R10,Kriegers!R10,'East Anglia One'!R10)</f>
        <v>0.96299999999999997</v>
      </c>
      <c r="O10" s="70">
        <f>AVERAGE('Horns Rev'!T10,Seagreen!T10,Gemini!T10,Hollandse_Noord!T10,Dieppe!T10,'Moray Firth'!T10,Kriegers!T10,'East Anglia One'!T10)</f>
        <v>23.570833333333329</v>
      </c>
      <c r="P10" s="73">
        <f>AVERAGE('Horns Rev'!U10,Seagreen!U10,Gemini!U10,Hollandse_Noord!U10,Dieppe!U10,'Moray Firth'!U10,Kriegers!U10,'East Anglia One'!U10)</f>
        <v>3.1376433621961533E-2</v>
      </c>
      <c r="Q10" s="127">
        <f>AVERAGE('Horns Rev'!V10,Seagreen!V10,Gemini!V10,Hollandse_Noord!V10,Dieppe!V10,'Moray Firth'!V10,Kriegers!V10,'East Anglia One'!V10)</f>
        <v>0.9644166666666667</v>
      </c>
      <c r="T10" s="52">
        <v>1</v>
      </c>
      <c r="U10" s="46">
        <f>AVERAGE('Horns Rev'!AB10,Seagreen!AB10,Gemini!AB10,Hollandse_Noord!AB10,Dieppe!AA10,'Moray Firth'!AB10,Kriegers!AB10,'East Anglia One'!AB10)</f>
        <v>33.833333333333329</v>
      </c>
      <c r="V10" s="65">
        <f>AVERAGE('Horns Rev'!AC10,Seagreen!AC10,Gemini!AC10,Hollandse_Noord!AC10,Dieppe!AB10,'Moray Firth'!AC10,Kriegers!AC10,'East Anglia One'!AC10)</f>
        <v>4.4931153551205111E-2</v>
      </c>
      <c r="W10" s="124">
        <f>AVERAGE('Horns Rev'!AD10,Seagreen!AD10,Gemini!AD10,Hollandse_Noord!AD10,Dieppe!AC10,'Moray Firth'!AD10,Kriegers!AD10,'East Anglia One'!AD10)</f>
        <v>0.93441666666666667</v>
      </c>
      <c r="X10" s="66">
        <f>AVERAGE('Horns Rev'!AF10,Seagreen!AF10,Gemini!AF10,Hollandse_Noord!AF10,Dieppe!AE10,'Moray Firth'!AF10,Kriegers!AF10,'East Anglia One'!AF10)</f>
        <v>28.683333333333334</v>
      </c>
      <c r="Y10" s="65">
        <f>AVERAGE('Horns Rev'!AG10,Seagreen!AG10,Gemini!AG10,Hollandse_Noord!AG10,Dieppe!AF10,'Moray Firth'!AG10,Kriegers!AG10,'East Anglia One'!AG10)</f>
        <v>3.7942489946559362E-2</v>
      </c>
      <c r="Z10" s="124">
        <f>AVERAGE('Horns Rev'!AH10,Seagreen!AH10,Gemini!AH10,Hollandse_Noord!AH10,Dieppe!AG10,'Moray Firth'!AH10,Kriegers!AH10,'East Anglia One'!AH10)</f>
        <v>0.95125000000000015</v>
      </c>
      <c r="AA10" s="66">
        <f>AVERAGE('Horns Rev'!AJ10,Seagreen!AJ10,Gemini!AJ10,Hollandse_Noord!AJ10,Dieppe!AI10,'Moray Firth'!AJ10,Kriegers!AJ10,'East Anglia One'!AJ10)</f>
        <v>26.541666666666668</v>
      </c>
      <c r="AB10" s="65">
        <f>AVERAGE('Horns Rev'!AK10,Seagreen!AK10,Gemini!AK10,Hollandse_Noord!AK10,Dieppe!AJ10,'Moray Firth'!AK10,Kriegers!AK10,'East Anglia One'!AK10)</f>
        <v>3.5249958246753026E-2</v>
      </c>
      <c r="AC10" s="124">
        <f>AVERAGE('Horns Rev'!AL10,Seagreen!AL10,Gemini!AL10,Hollandse_Noord!AL10,Dieppe!AK10,'Moray Firth'!AL10,Kriegers!AL10,'East Anglia One'!AL10)</f>
        <v>0.95625000000000004</v>
      </c>
      <c r="AD10" s="70">
        <f>AVERAGE('Horns Rev'!AN10,Seagreen!AN10,Gemini!AN10,Hollandse_Noord!AN10,Dieppe!AM10,'Moray Firth'!AN10,Kriegers!AN10,'East Anglia One'!AN10)</f>
        <v>26.166666666666664</v>
      </c>
      <c r="AE10" s="73">
        <f>AVERAGE('Horns Rev'!AO10,Seagreen!AO10,Gemini!AO10,Hollandse_Noord!AO10,Dieppe!AN10,'Moray Firth'!AO10,Kriegers!AO10,'East Anglia One'!AO10)</f>
        <v>3.463774123518798E-2</v>
      </c>
      <c r="AF10" s="127">
        <f>AVERAGE('Horns Rev'!AP10,Seagreen!AP10,Gemini!AP10,Hollandse_Noord!AP10,Dieppe!AO10,'Moray Firth'!AP10,Kriegers!AP10,'East Anglia One'!AP10)</f>
        <v>0.95895833333333325</v>
      </c>
      <c r="AG10" s="70">
        <f>AVERAGE('Horns Rev'!AR10,Seagreen!AR10,Gemini!AR10,Hollandse_Noord!AR10,Dieppe!AQ10,'Moray Firth'!AR10,Kriegers!AR10,'East Anglia One'!AR10)</f>
        <v>25.470833333333331</v>
      </c>
      <c r="AH10" s="73">
        <f>AVERAGE('Horns Rev'!AS10,Seagreen!AS10,Gemini!AS10,Hollandse_Noord!AS10,Dieppe!AR10,'Moray Firth'!AS10,Kriegers!AS10,'East Anglia One'!AS10)</f>
        <v>3.3813523509426222E-2</v>
      </c>
      <c r="AI10" s="127">
        <f>AVERAGE('Horns Rev'!AT10,Seagreen!AT10,Gemini!AT10,Hollandse_Noord!AT10,Dieppe!AS10,'Moray Firth'!AT10,Kriegers!AT10,'East Anglia One'!AT10)</f>
        <v>0.96125000000000005</v>
      </c>
    </row>
    <row r="11" spans="2:35" x14ac:dyDescent="0.2">
      <c r="B11" s="84">
        <v>2</v>
      </c>
      <c r="C11" s="66">
        <f>AVERAGE('Horns Rev'!D11,Seagreen!D11,Gemini!D11,Hollandse_Noord!D11,Dieppe!D11,'Moray Firth'!D11,Kriegers!D11,'East Anglia One'!D11)</f>
        <v>29.85</v>
      </c>
      <c r="D11" s="65">
        <f>AVERAGE('Horns Rev'!E11,Seagreen!E11,Gemini!E11,Hollandse_Noord!E11,Dieppe!E11,'Moray Firth'!E11,Kriegers!E11,'East Anglia One'!E11)</f>
        <v>3.9216646889494083E-2</v>
      </c>
      <c r="E11" s="124">
        <f>AVERAGE('Horns Rev'!F11,Seagreen!F11,Gemini!F11,Hollandse_Noord!F11,Dieppe!F11,'Moray Firth'!F11,Kriegers!F11,'East Anglia One'!F11)</f>
        <v>0.84604166666666658</v>
      </c>
      <c r="F11" s="66">
        <f>AVERAGE('Horns Rev'!H11,Seagreen!H11,Gemini!H11,Hollandse_Noord!H11,Dieppe!H11,'Moray Firth'!H11,Kriegers!H11,'East Anglia One'!H11)</f>
        <v>24.983333333333331</v>
      </c>
      <c r="G11" s="65">
        <f>AVERAGE('Horns Rev'!I11,Seagreen!I11,Gemini!I11,Hollandse_Noord!I11,Dieppe!I11,'Moray Firth'!I11,Kriegers!I11,'East Anglia One'!I11)</f>
        <v>3.245832571378434E-2</v>
      </c>
      <c r="H11" s="124">
        <f>AVERAGE('Horns Rev'!J11,Seagreen!J11,Gemini!J11,Hollandse_Noord!J11,Dieppe!J11,'Moray Firth'!J11,Kriegers!J11,'East Anglia One'!J11)</f>
        <v>0.8939583333333333</v>
      </c>
      <c r="I11" s="66">
        <f>AVERAGE('Horns Rev'!L11,Seagreen!L11,Gemini!L11,Hollandse_Noord!L11,Dieppe!L11,'Moray Firth'!L11,Kriegers!L11,'East Anglia One'!L11)</f>
        <v>23.2</v>
      </c>
      <c r="J11" s="65">
        <f>AVERAGE('Horns Rev'!M11,Seagreen!M11,Gemini!M11,Hollandse_Noord!M11,Dieppe!M11,'Moray Firth'!M11,Kriegers!M11,'East Anglia One'!M11)</f>
        <v>3.0087303839730573E-2</v>
      </c>
      <c r="K11" s="124">
        <f>AVERAGE('Horns Rev'!N11,Seagreen!N11,Gemini!N11,Hollandse_Noord!N11,Dieppe!N11,'Moray Firth'!N11,Kriegers!N11,'East Anglia One'!N11)</f>
        <v>0.90508333333333335</v>
      </c>
      <c r="L11" s="70">
        <f>AVERAGE('Horns Rev'!P11,Seagreen!P11,Gemini!P11,Hollandse_Noord!P11,Dieppe!P11,'Moray Firth'!P11,Kriegers!P11,'East Anglia One'!P11)</f>
        <v>22.679166666666667</v>
      </c>
      <c r="M11" s="73">
        <f>AVERAGE('Horns Rev'!Q11,Seagreen!Q11,Gemini!Q11,Hollandse_Noord!Q11,Dieppe!Q11,'Moray Firth'!Q11,Kriegers!Q11,'East Anglia One'!Q11)</f>
        <v>2.9163041081301851E-2</v>
      </c>
      <c r="N11" s="127">
        <f>AVERAGE('Horns Rev'!R11,Seagreen!R11,Gemini!R11,Hollandse_Noord!R11,Dieppe!R11,'Moray Firth'!R11,Kriegers!R11,'East Anglia One'!R11)</f>
        <v>0.91366666666666674</v>
      </c>
      <c r="O11" s="70">
        <f>AVERAGE('Horns Rev'!T11,Seagreen!T11,Gemini!T11,Hollandse_Noord!T11,Dieppe!T11,'Moray Firth'!T11,Kriegers!T11,'East Anglia One'!T11)</f>
        <v>22.895833333333339</v>
      </c>
      <c r="P11" s="73">
        <f>AVERAGE('Horns Rev'!U11,Seagreen!U11,Gemini!U11,Hollandse_Noord!U11,Dieppe!U11,'Moray Firth'!U11,Kriegers!U11,'East Anglia One'!U11)</f>
        <v>2.9343994104398242E-2</v>
      </c>
      <c r="Q11" s="127">
        <f>AVERAGE('Horns Rev'!V11,Seagreen!V11,Gemini!V11,Hollandse_Noord!V11,Dieppe!V11,'Moray Firth'!V11,Kriegers!V11,'East Anglia One'!V11)</f>
        <v>0.91329166666666661</v>
      </c>
      <c r="T11" s="52">
        <v>2</v>
      </c>
      <c r="U11" s="46">
        <f>AVERAGE('Horns Rev'!AB11,Seagreen!AB11,Gemini!AB11,Hollandse_Noord!AB11,Dieppe!AA11,'Moray Firth'!AB11,Kriegers!AB11,'East Anglia One'!AB11)</f>
        <v>35.716666666666669</v>
      </c>
      <c r="V11" s="65">
        <f>AVERAGE('Horns Rev'!AC11,Seagreen!AC11,Gemini!AC11,Hollandse_Noord!AC11,Dieppe!AB11,'Moray Firth'!AC11,Kriegers!AC11,'East Anglia One'!AC11)</f>
        <v>4.6450282530330143E-2</v>
      </c>
      <c r="W11" s="124">
        <f>AVERAGE('Horns Rev'!AD11,Seagreen!AD11,Gemini!AD11,Hollandse_Noord!AD11,Dieppe!AC11,'Moray Firth'!AD11,Kriegers!AD11,'East Anglia One'!AD11)</f>
        <v>0.80687500000000001</v>
      </c>
      <c r="X11" s="66">
        <f>AVERAGE('Horns Rev'!AF11,Seagreen!AF11,Gemini!AF11,Hollandse_Noord!AF11,Dieppe!AE11,'Moray Firth'!AF11,Kriegers!AF11,'East Anglia One'!AF11)</f>
        <v>28.487500000000004</v>
      </c>
      <c r="Y11" s="65">
        <f>AVERAGE('Horns Rev'!AG11,Seagreen!AG11,Gemini!AG11,Hollandse_Noord!AG11,Dieppe!AF11,'Moray Firth'!AG11,Kriegers!AG11,'East Anglia One'!AG11)</f>
        <v>3.697359290984998E-2</v>
      </c>
      <c r="Z11" s="124">
        <f>AVERAGE('Horns Rev'!AH11,Seagreen!AH11,Gemini!AH11,Hollandse_Noord!AH11,Dieppe!AG11,'Moray Firth'!AH11,Kriegers!AH11,'East Anglia One'!AH11)</f>
        <v>0.87945833333333334</v>
      </c>
      <c r="AA11" s="66">
        <f>AVERAGE('Horns Rev'!AJ11,Seagreen!AJ11,Gemini!AJ11,Hollandse_Noord!AJ11,Dieppe!AI11,'Moray Firth'!AJ11,Kriegers!AJ11,'East Anglia One'!AJ11)</f>
        <v>26.195833333333333</v>
      </c>
      <c r="AB11" s="65">
        <f>AVERAGE('Horns Rev'!AK11,Seagreen!AK11,Gemini!AK11,Hollandse_Noord!AK11,Dieppe!AJ11,'Moray Firth'!AK11,Kriegers!AK11,'East Anglia One'!AK11)</f>
        <v>3.3987945487940839E-2</v>
      </c>
      <c r="AC11" s="124">
        <f>AVERAGE('Horns Rev'!AL11,Seagreen!AL11,Gemini!AL11,Hollandse_Noord!AL11,Dieppe!AK11,'Moray Firth'!AL11,Kriegers!AL11,'East Anglia One'!AL11)</f>
        <v>0.88945833333333346</v>
      </c>
      <c r="AD11" s="70">
        <f>AVERAGE('Horns Rev'!AN11,Seagreen!AN11,Gemini!AN11,Hollandse_Noord!AN11,Dieppe!AM11,'Moray Firth'!AN11,Kriegers!AN11,'East Anglia One'!AN11)</f>
        <v>24.904166666666665</v>
      </c>
      <c r="AE11" s="73">
        <f>AVERAGE('Horns Rev'!AO11,Seagreen!AO11,Gemini!AO11,Hollandse_Noord!AO11,Dieppe!AN11,'Moray Firth'!AO11,Kriegers!AO11,'East Anglia One'!AO11)</f>
        <v>3.1994586318195004E-2</v>
      </c>
      <c r="AF11" s="127">
        <f>AVERAGE('Horns Rev'!AP11,Seagreen!AP11,Gemini!AP11,Hollandse_Noord!AP11,Dieppe!AO11,'Moray Firth'!AP11,Kriegers!AP11,'East Anglia One'!AP11)</f>
        <v>0.90379166666666666</v>
      </c>
      <c r="AG11" s="70">
        <f>AVERAGE('Horns Rev'!AR11,Seagreen!AR11,Gemini!AR11,Hollandse_Noord!AR11,Dieppe!AQ11,'Moray Firth'!AR11,Kriegers!AR11,'East Anglia One'!AR11)</f>
        <v>24.483333333333331</v>
      </c>
      <c r="AH11" s="73">
        <f>AVERAGE('Horns Rev'!AS11,Seagreen!AS11,Gemini!AS11,Hollandse_Noord!AS11,Dieppe!AR11,'Moray Firth'!AS11,Kriegers!AS11,'East Anglia One'!AS11)</f>
        <v>3.1531179253227598E-2</v>
      </c>
      <c r="AI11" s="127">
        <f>AVERAGE('Horns Rev'!AT11,Seagreen!AT11,Gemini!AT11,Hollandse_Noord!AT11,Dieppe!AS11,'Moray Firth'!AT11,Kriegers!AT11,'East Anglia One'!AT11)</f>
        <v>0.90687499999999999</v>
      </c>
    </row>
    <row r="12" spans="2:35" x14ac:dyDescent="0.2">
      <c r="B12" s="84">
        <v>3</v>
      </c>
      <c r="C12" s="66">
        <f>AVERAGE('Horns Rev'!D12,Seagreen!D12,Gemini!D12,Hollandse_Noord!D12,Dieppe!D12,'Moray Firth'!D12,Kriegers!D12,'East Anglia One'!D12)</f>
        <v>34.008333333333333</v>
      </c>
      <c r="D12" s="106">
        <f>AVERAGE('Horns Rev'!E12,Seagreen!E12,Gemini!E12,Hollandse_Noord!E12,Dieppe!E12,'Moray Firth'!E12,Kriegers!E12,'East Anglia One'!E12)</f>
        <v>4.5351030580372251E-2</v>
      </c>
      <c r="E12" s="129">
        <f>AVERAGE('Horns Rev'!F12,Seagreen!F12,Gemini!F12,Hollandse_Noord!F12,Dieppe!F12,'Moray Firth'!F12,Kriegers!F12,'East Anglia One'!F12)</f>
        <v>0.96325000000000016</v>
      </c>
      <c r="F12" s="66">
        <f>AVERAGE('Horns Rev'!H12,Seagreen!H12,Gemini!H12,Hollandse_Noord!H12,Dieppe!H12,'Moray Firth'!H12,Kriegers!H12,'East Anglia One'!H12)</f>
        <v>27.091666666666665</v>
      </c>
      <c r="G12" s="106">
        <f>AVERAGE('Horns Rev'!I12,Seagreen!I12,Gemini!I12,Hollandse_Noord!I12,Dieppe!I12,'Moray Firth'!I12,Kriegers!I12,'East Anglia One'!I12)</f>
        <v>3.6529607826237272E-2</v>
      </c>
      <c r="H12" s="129">
        <f>AVERAGE('Horns Rev'!J12,Seagreen!J12,Gemini!J12,Hollandse_Noord!J12,Dieppe!J12,'Moray Firth'!J12,Kriegers!J12,'East Anglia One'!J12)</f>
        <v>0.97350000000000003</v>
      </c>
      <c r="I12" s="66">
        <f>AVERAGE('Horns Rev'!L12,Seagreen!L12,Gemini!L12,Hollandse_Noord!L12,Dieppe!L12,'Moray Firth'!L12,Kriegers!L12,'East Anglia One'!L12)</f>
        <v>24.716666666666669</v>
      </c>
      <c r="J12" s="106">
        <f>AVERAGE('Horns Rev'!M12,Seagreen!M12,Gemini!M12,Hollandse_Noord!M12,Dieppe!M12,'Moray Firth'!M12,Kriegers!M12,'East Anglia One'!M12)</f>
        <v>3.2899687030180008E-2</v>
      </c>
      <c r="K12" s="129">
        <f>AVERAGE('Horns Rev'!N12,Seagreen!N12,Gemini!N12,Hollandse_Noord!N12,Dieppe!N12,'Moray Firth'!N12,Kriegers!N12,'East Anglia One'!N12)</f>
        <v>0.97729166666666667</v>
      </c>
      <c r="L12" s="70">
        <f>AVERAGE('Horns Rev'!P12,Seagreen!P12,Gemini!P12,Hollandse_Noord!P12,Dieppe!P12,'Moray Firth'!P12,Kriegers!P12,'East Anglia One'!P12)</f>
        <v>24.208333333333336</v>
      </c>
      <c r="M12" s="114">
        <f>AVERAGE('Horns Rev'!Q12,Seagreen!Q12,Gemini!Q12,Hollandse_Noord!Q12,Dieppe!Q12,'Moray Firth'!Q12,Kriegers!Q12,'East Anglia One'!Q12)</f>
        <v>3.2325947248964405E-2</v>
      </c>
      <c r="N12" s="130">
        <f>AVERAGE('Horns Rev'!R12,Seagreen!R12,Gemini!R12,Hollandse_Noord!R12,Dieppe!R12,'Moray Firth'!R12,Kriegers!R12,'East Anglia One'!R12)</f>
        <v>0.97791666666666666</v>
      </c>
      <c r="O12" s="70">
        <f>AVERAGE('Horns Rev'!T12,Seagreen!T12,Gemini!T12,Hollandse_Noord!T12,Dieppe!T12,'Moray Firth'!T12,Kriegers!T12,'East Anglia One'!T12)</f>
        <v>24.383333333333333</v>
      </c>
      <c r="P12" s="114">
        <f>AVERAGE('Horns Rev'!U12,Seagreen!U12,Gemini!U12,Hollandse_Noord!U12,Dieppe!U12,'Moray Firth'!U12,Kriegers!U12,'East Anglia One'!U12)</f>
        <v>3.2291746008736057E-2</v>
      </c>
      <c r="Q12" s="130">
        <f>AVERAGE('Horns Rev'!V12,Seagreen!V12,Gemini!V12,Hollandse_Noord!V12,Dieppe!V12,'Moray Firth'!V12,Kriegers!V12,'East Anglia One'!V12)</f>
        <v>0.97745833333333321</v>
      </c>
      <c r="T12" s="52">
        <v>3</v>
      </c>
      <c r="U12" s="46">
        <f>AVERAGE('Horns Rev'!AB12,Seagreen!AB12,Gemini!AB12,Hollandse_Noord!AB12,Dieppe!AA12,'Moray Firth'!AB12,Kriegers!AB12,'East Anglia One'!AB12)</f>
        <v>41.095833333333331</v>
      </c>
      <c r="V12" s="106">
        <f>AVERAGE('Horns Rev'!AC12,Seagreen!AC12,Gemini!AC12,Hollandse_Noord!AC12,Dieppe!AB12,'Moray Firth'!AC12,Kriegers!AC12,'East Anglia One'!AC12)</f>
        <v>5.5360523943457196E-2</v>
      </c>
      <c r="W12" s="129">
        <f>AVERAGE('Horns Rev'!AD12,Seagreen!AD12,Gemini!AD12,Hollandse_Noord!AD12,Dieppe!AC12,'Moray Firth'!AD12,Kriegers!AD12,'East Anglia One'!AD12)</f>
        <v>0.94841666666666657</v>
      </c>
      <c r="X12" s="66">
        <f>AVERAGE('Horns Rev'!AF12,Seagreen!AF12,Gemini!AF12,Hollandse_Noord!AF12,Dieppe!AE12,'Moray Firth'!AF12,Kriegers!AF12,'East Anglia One'!AF12)</f>
        <v>32.516666666666673</v>
      </c>
      <c r="Y12" s="106">
        <f>AVERAGE('Horns Rev'!AG12,Seagreen!AG12,Gemini!AG12,Hollandse_Noord!AG12,Dieppe!AF12,'Moray Firth'!AG12,Kriegers!AG12,'East Anglia One'!AG12)</f>
        <v>4.4001333481955701E-2</v>
      </c>
      <c r="Z12" s="129">
        <f>AVERAGE('Horns Rev'!AH12,Seagreen!AH12,Gemini!AH12,Hollandse_Noord!AH12,Dieppe!AG12,'Moray Firth'!AH12,Kriegers!AH12,'East Anglia One'!AH12)</f>
        <v>0.96491666666666676</v>
      </c>
      <c r="AA12" s="66">
        <f>AVERAGE('Horns Rev'!AJ12,Seagreen!AJ12,Gemini!AJ12,Hollandse_Noord!AJ12,Dieppe!AI12,'Moray Firth'!AJ12,Kriegers!AJ12,'East Anglia One'!AJ12)</f>
        <v>28.175000000000001</v>
      </c>
      <c r="AB12" s="106">
        <f>AVERAGE('Horns Rev'!AK12,Seagreen!AK12,Gemini!AK12,Hollandse_Noord!AK12,Dieppe!AJ12,'Moray Firth'!AK12,Kriegers!AK12,'East Anglia One'!AK12)</f>
        <v>3.763455801198682E-2</v>
      </c>
      <c r="AC12" s="129">
        <f>AVERAGE('Horns Rev'!AL12,Seagreen!AL12,Gemini!AL12,Hollandse_Noord!AL12,Dieppe!AK12,'Moray Firth'!AL12,Kriegers!AL12,'East Anglia One'!AL12)</f>
        <v>0.97300000000000009</v>
      </c>
      <c r="AD12" s="70">
        <f>AVERAGE('Horns Rev'!AN12,Seagreen!AN12,Gemini!AN12,Hollandse_Noord!AN12,Dieppe!AM12,'Moray Firth'!AN12,Kriegers!AN12,'East Anglia One'!AN12)</f>
        <v>27.250000000000004</v>
      </c>
      <c r="AE12" s="114">
        <f>AVERAGE('Horns Rev'!AO12,Seagreen!AO12,Gemini!AO12,Hollandse_Noord!AO12,Dieppe!AN12,'Moray Firth'!AO12,Kriegers!AO12,'East Anglia One'!AO12)</f>
        <v>3.6350869720141975E-2</v>
      </c>
      <c r="AF12" s="130">
        <f>AVERAGE('Horns Rev'!AP12,Seagreen!AP12,Gemini!AP12,Hollandse_Noord!AP12,Dieppe!AO12,'Moray Firth'!AP12,Kriegers!AP12,'East Anglia One'!AP12)</f>
        <v>0.97449999999999992</v>
      </c>
      <c r="AG12" s="70">
        <f>AVERAGE('Horns Rev'!AR12,Seagreen!AR12,Gemini!AR12,Hollandse_Noord!AR12,Dieppe!AQ12,'Moray Firth'!AR12,Kriegers!AR12,'East Anglia One'!AR12)</f>
        <v>27.891666666666669</v>
      </c>
      <c r="AH12" s="114">
        <f>AVERAGE('Horns Rev'!AS12,Seagreen!AS12,Gemini!AS12,Hollandse_Noord!AS12,Dieppe!AR12,'Moray Firth'!AS12,Kriegers!AS12,'East Anglia One'!AS12)</f>
        <v>3.7208840503890506E-2</v>
      </c>
      <c r="AI12" s="130">
        <f>AVERAGE('Horns Rev'!AT12,Seagreen!AT12,Gemini!AT12,Hollandse_Noord!AT12,Dieppe!AS12,'Moray Firth'!AT12,Kriegers!AT12,'East Anglia One'!AT12)</f>
        <v>0.97399999999999975</v>
      </c>
    </row>
    <row r="13" spans="2:35" x14ac:dyDescent="0.2">
      <c r="B13" s="84">
        <v>4</v>
      </c>
      <c r="C13" s="66">
        <f>AVERAGE('Horns Rev'!D13,Seagreen!D13,Gemini!D13,Hollandse_Noord!D13,Dieppe!D13,'Moray Firth'!D13,Kriegers!D13,'East Anglia One'!D13)</f>
        <v>37.058333333333337</v>
      </c>
      <c r="D13" s="106">
        <f>AVERAGE('Horns Rev'!E13,Seagreen!E13,Gemini!E13,Hollandse_Noord!E13,Dieppe!E13,'Moray Firth'!E13,Kriegers!E13,'East Anglia One'!E13)</f>
        <v>5.0667609334742153E-2</v>
      </c>
      <c r="E13" s="129">
        <f>AVERAGE('Horns Rev'!F13,Seagreen!F13,Gemini!F13,Hollandse_Noord!F13,Dieppe!F13,'Moray Firth'!F13,Kriegers!F13,'East Anglia One'!F13)</f>
        <v>0.94441666666666668</v>
      </c>
      <c r="F13" s="66">
        <f>AVERAGE('Horns Rev'!H13,Seagreen!H13,Gemini!H13,Hollandse_Noord!H13,Dieppe!H13,'Moray Firth'!H13,Kriegers!H13,'East Anglia One'!H13)</f>
        <v>28.85</v>
      </c>
      <c r="G13" s="106">
        <f>AVERAGE('Horns Rev'!I13,Seagreen!I13,Gemini!I13,Hollandse_Noord!I13,Dieppe!I13,'Moray Firth'!I13,Kriegers!I13,'East Anglia One'!I13)</f>
        <v>3.8682259164267561E-2</v>
      </c>
      <c r="H13" s="129">
        <f>AVERAGE('Horns Rev'!J13,Seagreen!J13,Gemini!J13,Hollandse_Noord!J13,Dieppe!J13,'Moray Firth'!J13,Kriegers!J13,'East Anglia One'!J13)</f>
        <v>0.96758333333333346</v>
      </c>
      <c r="I13" s="66">
        <f>AVERAGE('Horns Rev'!L13,Seagreen!L13,Gemini!L13,Hollandse_Noord!L13,Dieppe!L13,'Moray Firth'!L13,Kriegers!L13,'East Anglia One'!L13)</f>
        <v>26.24583333333333</v>
      </c>
      <c r="J13" s="106">
        <f>AVERAGE('Horns Rev'!M13,Seagreen!M13,Gemini!M13,Hollandse_Noord!M13,Dieppe!M13,'Moray Firth'!M13,Kriegers!M13,'East Anglia One'!M13)</f>
        <v>3.5165692499076362E-2</v>
      </c>
      <c r="K13" s="129">
        <f>AVERAGE('Horns Rev'!N13,Seagreen!N13,Gemini!N13,Hollandse_Noord!N13,Dieppe!N13,'Moray Firth'!N13,Kriegers!N13,'East Anglia One'!N13)</f>
        <v>0.97279166666666661</v>
      </c>
      <c r="L13" s="70">
        <f>AVERAGE('Horns Rev'!P13,Seagreen!P13,Gemini!P13,Hollandse_Noord!P13,Dieppe!P13,'Moray Firth'!P13,Kriegers!P13,'East Anglia One'!P13)</f>
        <v>25.525000000000002</v>
      </c>
      <c r="M13" s="114">
        <f>AVERAGE('Horns Rev'!Q13,Seagreen!Q13,Gemini!Q13,Hollandse_Noord!Q13,Dieppe!Q13,'Moray Firth'!Q13,Kriegers!Q13,'East Anglia One'!Q13)</f>
        <v>3.410961527266626E-2</v>
      </c>
      <c r="N13" s="130">
        <f>AVERAGE('Horns Rev'!R13,Seagreen!R13,Gemini!R13,Hollandse_Noord!R13,Dieppe!R13,'Moray Firth'!R13,Kriegers!R13,'East Anglia One'!R13)</f>
        <v>0.9740833333333333</v>
      </c>
      <c r="O13" s="70">
        <f>AVERAGE('Horns Rev'!T13,Seagreen!T13,Gemini!T13,Hollandse_Noord!T13,Dieppe!T13,'Moray Firth'!T13,Kriegers!T13,'East Anglia One'!T13)</f>
        <v>25.658333333333331</v>
      </c>
      <c r="P13" s="114">
        <f>AVERAGE('Horns Rev'!U13,Seagreen!U13,Gemini!U13,Hollandse_Noord!U13,Dieppe!U13,'Moray Firth'!U13,Kriegers!U13,'East Anglia One'!U13)</f>
        <v>3.4236430208504316E-2</v>
      </c>
      <c r="Q13" s="130">
        <f>AVERAGE('Horns Rev'!V13,Seagreen!V13,Gemini!V13,Hollandse_Noord!V13,Dieppe!V13,'Moray Firth'!V13,Kriegers!V13,'East Anglia One'!V13)</f>
        <v>0.97358333333333336</v>
      </c>
      <c r="T13" s="52">
        <v>4</v>
      </c>
      <c r="U13" s="46">
        <f>AVERAGE('Horns Rev'!AB13,Seagreen!AB13,Gemini!AB13,Hollandse_Noord!AB13,Dieppe!AA13,'Moray Firth'!AB13,Kriegers!AB13,'East Anglia One'!AB13)</f>
        <v>44.424999999999997</v>
      </c>
      <c r="V13" s="106">
        <f>AVERAGE('Horns Rev'!AC13,Seagreen!AC13,Gemini!AC13,Hollandse_Noord!AC13,Dieppe!AB13,'Moray Firth'!AC13,Kriegers!AC13,'East Anglia One'!AC13)</f>
        <v>6.0349408183779207E-2</v>
      </c>
      <c r="W13" s="129">
        <f>AVERAGE('Horns Rev'!AD13,Seagreen!AD13,Gemini!AD13,Hollandse_Noord!AD13,Dieppe!AC13,'Moray Firth'!AD13,Kriegers!AD13,'East Anglia One'!AD13)</f>
        <v>0.93049999999999999</v>
      </c>
      <c r="X13" s="66">
        <f>AVERAGE('Horns Rev'!AF13,Seagreen!AF13,Gemini!AF13,Hollandse_Noord!AF13,Dieppe!AE13,'Moray Firth'!AF13,Kriegers!AF13,'East Anglia One'!AF13)</f>
        <v>34.462499999999999</v>
      </c>
      <c r="Y13" s="106">
        <f>AVERAGE('Horns Rev'!AG13,Seagreen!AG13,Gemini!AG13,Hollandse_Noord!AG13,Dieppe!AF13,'Moray Firth'!AG13,Kriegers!AG13,'East Anglia One'!AG13)</f>
        <v>4.626012315912837E-2</v>
      </c>
      <c r="Z13" s="129">
        <f>AVERAGE('Horns Rev'!AH13,Seagreen!AH13,Gemini!AH13,Hollandse_Noord!AH13,Dieppe!AG13,'Moray Firth'!AH13,Kriegers!AH13,'East Anglia One'!AH13)</f>
        <v>0.95608333333333329</v>
      </c>
      <c r="AA13" s="66">
        <f>AVERAGE('Horns Rev'!AJ13,Seagreen!AJ13,Gemini!AJ13,Hollandse_Noord!AJ13,Dieppe!AI13,'Moray Firth'!AJ13,Kriegers!AJ13,'East Anglia One'!AJ13)</f>
        <v>30.258333333333333</v>
      </c>
      <c r="AB13" s="106">
        <f>AVERAGE('Horns Rev'!AK13,Seagreen!AK13,Gemini!AK13,Hollandse_Noord!AK13,Dieppe!AJ13,'Moray Firth'!AK13,Kriegers!AK13,'East Anglia One'!AK13)</f>
        <v>4.0603795615462387E-2</v>
      </c>
      <c r="AC13" s="129">
        <f>AVERAGE('Horns Rev'!AL13,Seagreen!AL13,Gemini!AL13,Hollandse_Noord!AL13,Dieppe!AK13,'Moray Firth'!AL13,Kriegers!AL13,'East Anglia One'!AL13)</f>
        <v>0.96587500000000004</v>
      </c>
      <c r="AD13" s="70">
        <f>AVERAGE('Horns Rev'!AN13,Seagreen!AN13,Gemini!AN13,Hollandse_Noord!AN13,Dieppe!AM13,'Moray Firth'!AN13,Kriegers!AN13,'East Anglia One'!AN13)</f>
        <v>28.816666666666663</v>
      </c>
      <c r="AE13" s="114">
        <f>AVERAGE('Horns Rev'!AO13,Seagreen!AO13,Gemini!AO13,Hollandse_Noord!AO13,Dieppe!AN13,'Moray Firth'!AO13,Kriegers!AO13,'East Anglia One'!AO13)</f>
        <v>3.8508927141221484E-2</v>
      </c>
      <c r="AF13" s="130">
        <f>AVERAGE('Horns Rev'!AP13,Seagreen!AP13,Gemini!AP13,Hollandse_Noord!AP13,Dieppe!AO13,'Moray Firth'!AP13,Kriegers!AP13,'East Anglia One'!AP13)</f>
        <v>0.96870833333333328</v>
      </c>
      <c r="AG13" s="70">
        <f>AVERAGE('Horns Rev'!AR13,Seagreen!AR13,Gemini!AR13,Hollandse_Noord!AR13,Dieppe!AQ13,'Moray Firth'!AR13,Kriegers!AR13,'East Anglia One'!AR13)</f>
        <v>29.075000000000003</v>
      </c>
      <c r="AH13" s="114">
        <f>AVERAGE('Horns Rev'!AS13,Seagreen!AS13,Gemini!AS13,Hollandse_Noord!AS13,Dieppe!AR13,'Moray Firth'!AS13,Kriegers!AS13,'East Anglia One'!AS13)</f>
        <v>3.8827358377630475E-2</v>
      </c>
      <c r="AI13" s="130">
        <f>AVERAGE('Horns Rev'!AT13,Seagreen!AT13,Gemini!AT13,Hollandse_Noord!AT13,Dieppe!AS13,'Moray Firth'!AT13,Kriegers!AT13,'East Anglia One'!AT13)</f>
        <v>0.96787499999999993</v>
      </c>
    </row>
    <row r="14" spans="2:35" x14ac:dyDescent="0.2">
      <c r="B14" s="84">
        <v>5</v>
      </c>
      <c r="C14" s="66">
        <f>AVERAGE('Horns Rev'!D14,Seagreen!D14,Gemini!D14,Hollandse_Noord!D14,Dieppe!D14,'Moray Firth'!D14,Kriegers!D14,'East Anglia One'!D14)</f>
        <v>33.154166666666669</v>
      </c>
      <c r="D14" s="106">
        <f>AVERAGE('Horns Rev'!E14,Seagreen!E14,Gemini!E14,Hollandse_Noord!E14,Dieppe!E14,'Moray Firth'!E14,Kriegers!E14,'East Anglia One'!E14)</f>
        <v>4.4557996014077159E-2</v>
      </c>
      <c r="E14" s="129">
        <f>AVERAGE('Horns Rev'!F14,Seagreen!F14,Gemini!F14,Hollandse_Noord!F14,Dieppe!F14,'Moray Firth'!F14,Kriegers!F14,'East Anglia One'!F14)</f>
        <v>0.93558333333333332</v>
      </c>
      <c r="F14" s="66">
        <f>AVERAGE('Horns Rev'!H14,Seagreen!H14,Gemini!H14,Hollandse_Noord!H14,Dieppe!H14,'Moray Firth'!H14,Kriegers!H14,'East Anglia One'!H14)</f>
        <v>26.525000000000002</v>
      </c>
      <c r="G14" s="106">
        <f>AVERAGE('Horns Rev'!I14,Seagreen!I14,Gemini!I14,Hollandse_Noord!I14,Dieppe!I14,'Moray Firth'!I14,Kriegers!I14,'East Anglia One'!I14)</f>
        <v>3.5608217278784729E-2</v>
      </c>
      <c r="H14" s="129">
        <f>AVERAGE('Horns Rev'!J14,Seagreen!J14,Gemini!J14,Hollandse_Noord!J14,Dieppe!J14,'Moray Firth'!J14,Kriegers!J14,'East Anglia One'!J14)</f>
        <v>0.95466666666666666</v>
      </c>
      <c r="I14" s="66">
        <f>AVERAGE('Horns Rev'!L14,Seagreen!L14,Gemini!L14,Hollandse_Noord!L14,Dieppe!L14,'Moray Firth'!L14,Kriegers!L14,'East Anglia One'!L14)</f>
        <v>24.15</v>
      </c>
      <c r="J14" s="106">
        <f>AVERAGE('Horns Rev'!M14,Seagreen!M14,Gemini!M14,Hollandse_Noord!M14,Dieppe!M14,'Moray Firth'!M14,Kriegers!M14,'East Anglia One'!M14)</f>
        <v>3.2495905015364181E-2</v>
      </c>
      <c r="K14" s="129">
        <f>AVERAGE('Horns Rev'!N14,Seagreen!N14,Gemini!N14,Hollandse_Noord!N14,Dieppe!N14,'Moray Firth'!N14,Kriegers!N14,'East Anglia One'!N14)</f>
        <v>0.96133333333333315</v>
      </c>
      <c r="L14" s="70">
        <f>AVERAGE('Horns Rev'!P14,Seagreen!P14,Gemini!P14,Hollandse_Noord!P14,Dieppe!P14,'Moray Firth'!P14,Kriegers!P14,'East Anglia One'!P14)</f>
        <v>22.983333333333334</v>
      </c>
      <c r="M14" s="114">
        <f>AVERAGE('Horns Rev'!Q14,Seagreen!Q14,Gemini!Q14,Hollandse_Noord!Q14,Dieppe!Q14,'Moray Firth'!Q14,Kriegers!Q14,'East Anglia One'!Q14)</f>
        <v>3.1066451828287166E-2</v>
      </c>
      <c r="N14" s="130">
        <f>AVERAGE('Horns Rev'!R14,Seagreen!R14,Gemini!R14,Hollandse_Noord!R14,Dieppe!R14,'Moray Firth'!R14,Kriegers!R14,'East Anglia One'!R14)</f>
        <v>0.9650416666666668</v>
      </c>
      <c r="O14" s="70">
        <f>AVERAGE('Horns Rev'!T14,Seagreen!T14,Gemini!T14,Hollandse_Noord!T14,Dieppe!T14,'Moray Firth'!T14,Kriegers!T14,'East Anglia One'!T14)</f>
        <v>22.912500000000001</v>
      </c>
      <c r="P14" s="114">
        <f>AVERAGE('Horns Rev'!U14,Seagreen!U14,Gemini!U14,Hollandse_Noord!U14,Dieppe!U14,'Moray Firth'!U14,Kriegers!U14,'East Anglia One'!U14)</f>
        <v>3.0844717246975607E-2</v>
      </c>
      <c r="Q14" s="130">
        <f>AVERAGE('Horns Rev'!V14,Seagreen!V14,Gemini!V14,Hollandse_Noord!V14,Dieppe!V14,'Moray Firth'!V14,Kriegers!V14,'East Anglia One'!V14)</f>
        <v>0.96516666666666662</v>
      </c>
      <c r="T14" s="52">
        <v>5</v>
      </c>
      <c r="U14" s="46">
        <f>AVERAGE('Horns Rev'!AB14,Seagreen!AB14,Gemini!AB14,Hollandse_Noord!AB14,Dieppe!AA14,'Moray Firth'!AB14,Kriegers!AB14,'East Anglia One'!AB14)</f>
        <v>42.454166666666673</v>
      </c>
      <c r="V14" s="106">
        <f>AVERAGE('Horns Rev'!AC14,Seagreen!AC14,Gemini!AC14,Hollandse_Noord!AC14,Dieppe!AB14,'Moray Firth'!AC14,Kriegers!AC14,'East Anglia One'!AC14)</f>
        <v>5.6168599692694485E-2</v>
      </c>
      <c r="W14" s="129">
        <f>AVERAGE('Horns Rev'!AD14,Seagreen!AD14,Gemini!AD14,Hollandse_Noord!AD14,Dieppe!AC14,'Moray Firth'!AD14,Kriegers!AD14,'East Anglia One'!AD14)</f>
        <v>0.90295833333333331</v>
      </c>
      <c r="X14" s="66">
        <f>AVERAGE('Horns Rev'!AF14,Seagreen!AF14,Gemini!AF14,Hollandse_Noord!AF14,Dieppe!AE14,'Moray Firth'!AF14,Kriegers!AF14,'East Anglia One'!AF14)</f>
        <v>31.970833333333335</v>
      </c>
      <c r="Y14" s="106">
        <f>AVERAGE('Horns Rev'!AG14,Seagreen!AG14,Gemini!AG14,Hollandse_Noord!AG14,Dieppe!AF14,'Moray Firth'!AG14,Kriegers!AG14,'East Anglia One'!AG14)</f>
        <v>4.233566066263638E-2</v>
      </c>
      <c r="Z14" s="129">
        <f>AVERAGE('Horns Rev'!AH14,Seagreen!AH14,Gemini!AH14,Hollandse_Noord!AH14,Dieppe!AG14,'Moray Firth'!AH14,Kriegers!AH14,'East Anglia One'!AH14)</f>
        <v>0.94312499999999999</v>
      </c>
      <c r="AA14" s="66">
        <f>AVERAGE('Horns Rev'!AJ14,Seagreen!AJ14,Gemini!AJ14,Hollandse_Noord!AJ14,Dieppe!AI14,'Moray Firth'!AJ14,Kriegers!AJ14,'East Anglia One'!AJ14)</f>
        <v>27.791666666666664</v>
      </c>
      <c r="AB14" s="106">
        <f>AVERAGE('Horns Rev'!AK14,Seagreen!AK14,Gemini!AK14,Hollandse_Noord!AK14,Dieppe!AJ14,'Moray Firth'!AK14,Kriegers!AK14,'East Anglia One'!AK14)</f>
        <v>3.7079622710906389E-2</v>
      </c>
      <c r="AC14" s="129">
        <f>AVERAGE('Horns Rev'!AL14,Seagreen!AL14,Gemini!AL14,Hollandse_Noord!AL14,Dieppe!AK14,'Moray Firth'!AL14,Kriegers!AL14,'East Anglia One'!AL14)</f>
        <v>0.95462499999999995</v>
      </c>
      <c r="AD14" s="70">
        <f>AVERAGE('Horns Rev'!AN14,Seagreen!AN14,Gemini!AN14,Hollandse_Noord!AN14,Dieppe!AM14,'Moray Firth'!AN14,Kriegers!AN14,'East Anglia One'!AN14)</f>
        <v>26.1875</v>
      </c>
      <c r="AE14" s="114">
        <f>AVERAGE('Horns Rev'!AO14,Seagreen!AO14,Gemini!AO14,Hollandse_Noord!AO14,Dieppe!AN14,'Moray Firth'!AO14,Kriegers!AO14,'East Anglia One'!AO14)</f>
        <v>3.5280423161041588E-2</v>
      </c>
      <c r="AF14" s="130">
        <f>AVERAGE('Horns Rev'!AP14,Seagreen!AP14,Gemini!AP14,Hollandse_Noord!AP14,Dieppe!AO14,'Moray Firth'!AP14,Kriegers!AP14,'East Anglia One'!AP14)</f>
        <v>0.95804166666666668</v>
      </c>
      <c r="AG14" s="70">
        <f>AVERAGE('Horns Rev'!AR14,Seagreen!AR14,Gemini!AR14,Hollandse_Noord!AR14,Dieppe!AQ14,'Moray Firth'!AR14,Kriegers!AR14,'East Anglia One'!AR14)</f>
        <v>25.725000000000001</v>
      </c>
      <c r="AH14" s="114">
        <f>AVERAGE('Horns Rev'!AS14,Seagreen!AS14,Gemini!AS14,Hollandse_Noord!AS14,Dieppe!AR14,'Moray Firth'!AS14,Kriegers!AS14,'East Anglia One'!AS14)</f>
        <v>3.4514967736687885E-2</v>
      </c>
      <c r="AI14" s="130">
        <f>AVERAGE('Horns Rev'!AT14,Seagreen!AT14,Gemini!AT14,Hollandse_Noord!AT14,Dieppe!AS14,'Moray Firth'!AT14,Kriegers!AT14,'East Anglia One'!AT14)</f>
        <v>0.95933333333333337</v>
      </c>
    </row>
    <row r="15" spans="2:35" x14ac:dyDescent="0.2">
      <c r="B15" s="84">
        <v>6</v>
      </c>
      <c r="C15" s="66">
        <f>AVERAGE('Horns Rev'!D15,Seagreen!D15,Gemini!D15,Hollandse_Noord!D15,Dieppe!D15,'Moray Firth'!D15,Kriegers!D15,'East Anglia One'!D15)</f>
        <v>35.574999999999996</v>
      </c>
      <c r="D15" s="106">
        <f>AVERAGE('Horns Rev'!E15,Seagreen!E15,Gemini!E15,Hollandse_Noord!E15,Dieppe!E15,'Moray Firth'!E15,Kriegers!E15,'East Anglia One'!E15)</f>
        <v>4.7987218301601575E-2</v>
      </c>
      <c r="E15" s="129">
        <f>AVERAGE('Horns Rev'!F15,Seagreen!F15,Gemini!F15,Hollandse_Noord!F15,Dieppe!F15,'Moray Firth'!F15,Kriegers!F15,'East Anglia One'!F15)</f>
        <v>0.92287500000000011</v>
      </c>
      <c r="F15" s="66">
        <f>AVERAGE('Horns Rev'!H15,Seagreen!H15,Gemini!H15,Hollandse_Noord!H15,Dieppe!H15,'Moray Firth'!H15,Kriegers!H15,'East Anglia One'!H15)</f>
        <v>27.583333333333336</v>
      </c>
      <c r="G15" s="106">
        <f>AVERAGE('Horns Rev'!I15,Seagreen!I15,Gemini!I15,Hollandse_Noord!I15,Dieppe!I15,'Moray Firth'!I15,Kriegers!I15,'East Anglia One'!I15)</f>
        <v>3.6765249191073421E-2</v>
      </c>
      <c r="H15" s="129">
        <f>AVERAGE('Horns Rev'!J15,Seagreen!J15,Gemini!J15,Hollandse_Noord!J15,Dieppe!J15,'Moray Firth'!J15,Kriegers!J15,'East Anglia One'!J15)</f>
        <v>0.95650000000000002</v>
      </c>
      <c r="I15" s="66">
        <f>AVERAGE('Horns Rev'!L15,Seagreen!L15,Gemini!L15,Hollandse_Noord!L15,Dieppe!L15,'Moray Firth'!L15,Kriegers!L15,'East Anglia One'!L15)</f>
        <v>25.862500000000001</v>
      </c>
      <c r="J15" s="106">
        <f>AVERAGE('Horns Rev'!M15,Seagreen!M15,Gemini!M15,Hollandse_Noord!M15,Dieppe!M15,'Moray Firth'!M15,Kriegers!M15,'East Anglia One'!M15)</f>
        <v>3.4334925132737185E-2</v>
      </c>
      <c r="K15" s="129">
        <f>AVERAGE('Horns Rev'!N15,Seagreen!N15,Gemini!N15,Hollandse_Noord!N15,Dieppe!N15,'Moray Firth'!N15,Kriegers!N15,'East Anglia One'!N15)</f>
        <v>0.96224999999999994</v>
      </c>
      <c r="L15" s="70">
        <f>AVERAGE('Horns Rev'!P15,Seagreen!P15,Gemini!P15,Hollandse_Noord!P15,Dieppe!P15,'Moray Firth'!P15,Kriegers!P15,'East Anglia One'!P15)</f>
        <v>24.925000000000004</v>
      </c>
      <c r="M15" s="114">
        <f>AVERAGE('Horns Rev'!Q15,Seagreen!Q15,Gemini!Q15,Hollandse_Noord!Q15,Dieppe!Q15,'Moray Firth'!Q15,Kriegers!Q15,'East Anglia One'!Q15)</f>
        <v>3.3059271363496262E-2</v>
      </c>
      <c r="N15" s="130">
        <f>AVERAGE('Horns Rev'!R15,Seagreen!R15,Gemini!R15,Hollandse_Noord!R15,Dieppe!R15,'Moray Firth'!R15,Kriegers!R15,'East Anglia One'!R15)</f>
        <v>0.96358333333333324</v>
      </c>
      <c r="O15" s="70">
        <f>AVERAGE('Horns Rev'!T15,Seagreen!T15,Gemini!T15,Hollandse_Noord!T15,Dieppe!T15,'Moray Firth'!T15,Kriegers!T15,'East Anglia One'!T15)</f>
        <v>24.62916666666667</v>
      </c>
      <c r="P15" s="114">
        <f>AVERAGE('Horns Rev'!U15,Seagreen!U15,Gemini!U15,Hollandse_Noord!U15,Dieppe!U15,'Moray Firth'!U15,Kriegers!U15,'East Anglia One'!U15)</f>
        <v>3.2776811400083435E-2</v>
      </c>
      <c r="Q15" s="130">
        <f>AVERAGE('Horns Rev'!V15,Seagreen!V15,Gemini!V15,Hollandse_Noord!V15,Dieppe!V15,'Moray Firth'!V15,Kriegers!V15,'East Anglia One'!V15)</f>
        <v>0.96466666666666667</v>
      </c>
      <c r="T15" s="52">
        <v>6</v>
      </c>
      <c r="U15" s="46">
        <f>AVERAGE('Horns Rev'!AB15,Seagreen!AB15,Gemini!AB15,Hollandse_Noord!AB15,Dieppe!AA15,'Moray Firth'!AB15,Kriegers!AB15,'East Anglia One'!AB15)</f>
        <v>43.137500000000003</v>
      </c>
      <c r="V15" s="106">
        <f>AVERAGE('Horns Rev'!AC15,Seagreen!AC15,Gemini!AC15,Hollandse_Noord!AC15,Dieppe!AB15,'Moray Firth'!AC15,Kriegers!AC15,'East Anglia One'!AC15)</f>
        <v>5.7430216792379758E-2</v>
      </c>
      <c r="W15" s="129">
        <f>AVERAGE('Horns Rev'!AD15,Seagreen!AD15,Gemini!AD15,Hollandse_Noord!AD15,Dieppe!AC15,'Moray Firth'!AD15,Kriegers!AD15,'East Anglia One'!AD15)</f>
        <v>0.89716666666666678</v>
      </c>
      <c r="X15" s="66">
        <f>AVERAGE('Horns Rev'!AF15,Seagreen!AF15,Gemini!AF15,Hollandse_Noord!AF15,Dieppe!AE15,'Moray Firth'!AF15,Kriegers!AF15,'East Anglia One'!AF15)</f>
        <v>32.30833333333333</v>
      </c>
      <c r="Y15" s="106">
        <f>AVERAGE('Horns Rev'!AG15,Seagreen!AG15,Gemini!AG15,Hollandse_Noord!AG15,Dieppe!AF15,'Moray Firth'!AG15,Kriegers!AG15,'East Anglia One'!AG15)</f>
        <v>4.3068192713165684E-2</v>
      </c>
      <c r="Z15" s="129">
        <f>AVERAGE('Horns Rev'!AH15,Seagreen!AH15,Gemini!AH15,Hollandse_Noord!AH15,Dieppe!AG15,'Moray Firth'!AH15,Kriegers!AH15,'East Anglia One'!AH15)</f>
        <v>0.94291666666666663</v>
      </c>
      <c r="AA15" s="66">
        <f>AVERAGE('Horns Rev'!AJ15,Seagreen!AJ15,Gemini!AJ15,Hollandse_Noord!AJ15,Dieppe!AI15,'Moray Firth'!AJ15,Kriegers!AJ15,'East Anglia One'!AJ15)</f>
        <v>29.395833333333329</v>
      </c>
      <c r="AB15" s="106">
        <f>AVERAGE('Horns Rev'!AK15,Seagreen!AK15,Gemini!AK15,Hollandse_Noord!AK15,Dieppe!AJ15,'Moray Firth'!AK15,Kriegers!AK15,'East Anglia One'!AK15)</f>
        <v>3.8973905875578391E-2</v>
      </c>
      <c r="AC15" s="129">
        <f>AVERAGE('Horns Rev'!AL15,Seagreen!AL15,Gemini!AL15,Hollandse_Noord!AL15,Dieppe!AK15,'Moray Firth'!AL15,Kriegers!AL15,'East Anglia One'!AL15)</f>
        <v>0.95287500000000003</v>
      </c>
      <c r="AD15" s="70">
        <f>AVERAGE('Horns Rev'!AN15,Seagreen!AN15,Gemini!AN15,Hollandse_Noord!AN15,Dieppe!AM15,'Moray Firth'!AN15,Kriegers!AN15,'East Anglia One'!AN15)</f>
        <v>27.591666666666669</v>
      </c>
      <c r="AE15" s="114">
        <f>AVERAGE('Horns Rev'!AO15,Seagreen!AO15,Gemini!AO15,Hollandse_Noord!AO15,Dieppe!AN15,'Moray Firth'!AO15,Kriegers!AO15,'East Anglia One'!AO15)</f>
        <v>3.6491494289134493E-2</v>
      </c>
      <c r="AF15" s="130">
        <f>AVERAGE('Horns Rev'!AP15,Seagreen!AP15,Gemini!AP15,Hollandse_Noord!AP15,Dieppe!AO15,'Moray Firth'!AP15,Kriegers!AP15,'East Anglia One'!AP15)</f>
        <v>0.9584583333333333</v>
      </c>
      <c r="AG15" s="70">
        <f>AVERAGE('Horns Rev'!AR15,Seagreen!AR15,Gemini!AR15,Hollandse_Noord!AR15,Dieppe!AQ15,'Moray Firth'!AR15,Kriegers!AR15,'East Anglia One'!AR15)</f>
        <v>27.033333333333335</v>
      </c>
      <c r="AH15" s="114">
        <f>AVERAGE('Horns Rev'!AS15,Seagreen!AS15,Gemini!AS15,Hollandse_Noord!AS15,Dieppe!AR15,'Moray Firth'!AS15,Kriegers!AS15,'East Anglia One'!AS15)</f>
        <v>3.5875439254337532E-2</v>
      </c>
      <c r="AI15" s="130">
        <f>AVERAGE('Horns Rev'!AT15,Seagreen!AT15,Gemini!AT15,Hollandse_Noord!AT15,Dieppe!AS15,'Moray Firth'!AT15,Kriegers!AT15,'East Anglia One'!AT15)</f>
        <v>0.9604166666666667</v>
      </c>
    </row>
    <row r="16" spans="2:35" ht="16" thickBot="1" x14ac:dyDescent="0.25">
      <c r="B16" s="85">
        <v>7</v>
      </c>
      <c r="C16" s="67">
        <f>AVERAGE('Horns Rev'!D16,Seagreen!D16,Gemini!D16,Hollandse_Noord!D16,Dieppe!D16,'Moray Firth'!D16,Kriegers!D16,'East Anglia One'!D16)</f>
        <v>47.74166666666666</v>
      </c>
      <c r="D16" s="68">
        <f>AVERAGE('Horns Rev'!E16,Seagreen!E16,Gemini!E16,Hollandse_Noord!E16,Dieppe!E16,'Moray Firth'!E16,Kriegers!E16,'East Anglia One'!E16)</f>
        <v>5.7792965008201788E-2</v>
      </c>
      <c r="E16" s="125">
        <f>AVERAGE('Horns Rev'!F16,Seagreen!F16,Gemini!F16,Hollandse_Noord!F16,Dieppe!F16,'Moray Firth'!F16,Kriegers!F16,'East Anglia One'!F16)</f>
        <v>0.83433333333333326</v>
      </c>
      <c r="F16" s="67">
        <f>AVERAGE('Horns Rev'!H16,Seagreen!H16,Gemini!H16,Hollandse_Noord!H16,Dieppe!H16,'Moray Firth'!H16,Kriegers!H16,'East Anglia One'!H16)</f>
        <v>29.416666666666671</v>
      </c>
      <c r="G16" s="68">
        <f>AVERAGE('Horns Rev'!I16,Seagreen!I16,Gemini!I16,Hollandse_Noord!I16,Dieppe!I16,'Moray Firth'!I16,Kriegers!I16,'East Anglia One'!I16)</f>
        <v>3.761911541972858E-2</v>
      </c>
      <c r="H16" s="125">
        <f>AVERAGE('Horns Rev'!J16,Seagreen!J16,Gemini!J16,Hollandse_Noord!J16,Dieppe!J16,'Moray Firth'!J16,Kriegers!J16,'East Anglia One'!J16)</f>
        <v>0.93187500000000001</v>
      </c>
      <c r="I16" s="67">
        <f>AVERAGE('Horns Rev'!L16,Seagreen!L16,Gemini!L16,Hollandse_Noord!L16,Dieppe!L16,'Moray Firth'!L16,Kriegers!L16,'East Anglia One'!L16)</f>
        <v>26.758333333333329</v>
      </c>
      <c r="J16" s="68">
        <f>AVERAGE('Horns Rev'!M16,Seagreen!M16,Gemini!M16,Hollandse_Noord!M16,Dieppe!M16,'Moray Firth'!M16,Kriegers!M16,'East Anglia One'!M16)</f>
        <v>3.429416901544826E-2</v>
      </c>
      <c r="K16" s="125">
        <f>AVERAGE('Horns Rev'!N16,Seagreen!N16,Gemini!N16,Hollandse_Noord!N16,Dieppe!N16,'Moray Firth'!N16,Kriegers!N16,'East Anglia One'!N16)</f>
        <v>0.9414583333333334</v>
      </c>
      <c r="L16" s="76">
        <f>AVERAGE('Horns Rev'!P16,Seagreen!P16,Gemini!P16,Hollandse_Noord!P16,Dieppe!P16,'Moray Firth'!P16,Kriegers!P16,'East Anglia One'!P16)</f>
        <v>24.520833333333336</v>
      </c>
      <c r="M16" s="77">
        <f>AVERAGE('Horns Rev'!Q16,Seagreen!Q16,Gemini!Q16,Hollandse_Noord!Q16,Dieppe!Q16,'Moray Firth'!Q16,Kriegers!Q16,'East Anglia One'!Q16)</f>
        <v>3.1889581540458956E-2</v>
      </c>
      <c r="N16" s="128">
        <f>AVERAGE('Horns Rev'!R16,Seagreen!R16,Gemini!R16,Hollandse_Noord!R16,Dieppe!R16,'Moray Firth'!R16,Kriegers!R16,'East Anglia One'!R16)</f>
        <v>0.94708333333333328</v>
      </c>
      <c r="O16" s="76">
        <f>AVERAGE('Horns Rev'!T16,Seagreen!T16,Gemini!T16,Hollandse_Noord!T16,Dieppe!T16,'Moray Firth'!T16,Kriegers!T16,'East Anglia One'!T16)</f>
        <v>24.029166666666665</v>
      </c>
      <c r="P16" s="77">
        <f>AVERAGE('Horns Rev'!U16,Seagreen!U16,Gemini!U16,Hollandse_Noord!U16,Dieppe!U16,'Moray Firth'!U16,Kriegers!U16,'East Anglia One'!U16)</f>
        <v>3.1273334675440953E-2</v>
      </c>
      <c r="Q16" s="128">
        <f>AVERAGE('Horns Rev'!V16,Seagreen!V16,Gemini!V16,Hollandse_Noord!V16,Dieppe!V16,'Moray Firth'!V16,Kriegers!V16,'East Anglia One'!V16)</f>
        <v>0.94970833333333327</v>
      </c>
      <c r="T16" s="53">
        <v>7</v>
      </c>
      <c r="U16" s="48">
        <f>AVERAGE('Horns Rev'!AB16,Seagreen!AB16,Gemini!AB16,Hollandse_Noord!AB16,Dieppe!AA16,'Moray Firth'!AB16,Kriegers!AB16,'East Anglia One'!AB16)</f>
        <v>60.87083333333333</v>
      </c>
      <c r="V16" s="68">
        <f>AVERAGE('Horns Rev'!AC16,Seagreen!AC16,Gemini!AC16,Hollandse_Noord!AC16,Dieppe!AB16,'Moray Firth'!AC16,Kriegers!AC16,'East Anglia One'!AC16)</f>
        <v>7.481317251001697E-2</v>
      </c>
      <c r="W16" s="125">
        <f>AVERAGE('Horns Rev'!AD16,Seagreen!AD16,Gemini!AD16,Hollandse_Noord!AD16,Dieppe!AC16,'Moray Firth'!AD16,Kriegers!AD16,'East Anglia One'!AD16)</f>
        <v>0.77616666666666667</v>
      </c>
      <c r="X16" s="67">
        <f>AVERAGE('Horns Rev'!AF16,Seagreen!AF16,Gemini!AF16,Hollandse_Noord!AF16,Dieppe!AE16,'Moray Firth'!AF16,Kriegers!AF16,'East Anglia One'!AF16)</f>
        <v>35.991666666666667</v>
      </c>
      <c r="Y16" s="68">
        <f>AVERAGE('Horns Rev'!AG16,Seagreen!AG16,Gemini!AG16,Hollandse_Noord!AG16,Dieppe!AF16,'Moray Firth'!AG16,Kriegers!AG16,'East Anglia One'!AG16)</f>
        <v>4.6311901988635995E-2</v>
      </c>
      <c r="Z16" s="125">
        <f>AVERAGE('Horns Rev'!AH16,Seagreen!AH16,Gemini!AH16,Hollandse_Noord!AH16,Dieppe!AG16,'Moray Firth'!AH16,Kriegers!AH16,'East Anglia One'!AH16)</f>
        <v>0.90575000000000006</v>
      </c>
      <c r="AA16" s="67">
        <f>AVERAGE('Horns Rev'!AJ16,Seagreen!AJ16,Gemini!AJ16,Hollandse_Noord!AJ16,Dieppe!AI16,'Moray Firth'!AJ16,Kriegers!AJ16,'East Anglia One'!AJ16)</f>
        <v>31.816666666666663</v>
      </c>
      <c r="AB16" s="68">
        <f>AVERAGE('Horns Rev'!AK16,Seagreen!AK16,Gemini!AK16,Hollandse_Noord!AK16,Dieppe!AJ16,'Moray Firth'!AK16,Kriegers!AK16,'East Anglia One'!AK16)</f>
        <v>4.0886521977222826E-2</v>
      </c>
      <c r="AC16" s="125">
        <f>AVERAGE('Horns Rev'!AL16,Seagreen!AL16,Gemini!AL16,Hollandse_Noord!AL16,Dieppe!AK16,'Moray Firth'!AL16,Kriegers!AL16,'East Anglia One'!AL16)</f>
        <v>0.92362500000000003</v>
      </c>
      <c r="AD16" s="76">
        <f>AVERAGE('Horns Rev'!AN16,Seagreen!AN16,Gemini!AN16,Hollandse_Noord!AN16,Dieppe!AM16,'Moray Firth'!AN16,Kriegers!AN16,'East Anglia One'!AN16)</f>
        <v>28.533333333333331</v>
      </c>
      <c r="AE16" s="77">
        <f>AVERAGE('Horns Rev'!AO16,Seagreen!AO16,Gemini!AO16,Hollandse_Noord!AO16,Dieppe!AN16,'Moray Firth'!AO16,Kriegers!AO16,'East Anglia One'!AO16)</f>
        <v>3.6947624047029365E-2</v>
      </c>
      <c r="AF16" s="128">
        <f>AVERAGE('Horns Rev'!AP16,Seagreen!AP16,Gemini!AP16,Hollandse_Noord!AP16,Dieppe!AO16,'Moray Firth'!AP16,Kriegers!AP16,'East Anglia One'!AP16)</f>
        <v>0.9351666666666667</v>
      </c>
      <c r="AG16" s="76">
        <f>AVERAGE('Horns Rev'!AR16,Seagreen!AR16,Gemini!AR16,Hollandse_Noord!AR16,Dieppe!AQ16,'Moray Firth'!AR16,Kriegers!AR16,'East Anglia One'!AR16)</f>
        <v>27.441666666666663</v>
      </c>
      <c r="AH16" s="77">
        <f>AVERAGE('Horns Rev'!AS16,Seagreen!AS16,Gemini!AS16,Hollandse_Noord!AS16,Dieppe!AR16,'Moray Firth'!AS16,Kriegers!AS16,'East Anglia One'!AS16)</f>
        <v>3.5466622359960925E-2</v>
      </c>
      <c r="AI16" s="128">
        <f>AVERAGE('Horns Rev'!AT16,Seagreen!AT16,Gemini!AT16,Hollandse_Noord!AT16,Dieppe!AS16,'Moray Firth'!AT16,Kriegers!AT16,'East Anglia One'!AT16)</f>
        <v>0.94020833333333342</v>
      </c>
    </row>
    <row r="17" spans="2:42" ht="16" thickBot="1" x14ac:dyDescent="0.25">
      <c r="B17" s="27"/>
      <c r="C17" s="28"/>
      <c r="D17" s="27"/>
      <c r="E17" s="27"/>
      <c r="F17" s="28"/>
      <c r="G17" s="27"/>
      <c r="H17" s="27"/>
      <c r="I17" s="28"/>
      <c r="J17" s="27"/>
      <c r="K17" s="28"/>
      <c r="L17" s="27"/>
      <c r="M17" s="27"/>
      <c r="N17" s="28"/>
      <c r="O17" s="27"/>
      <c r="P17" s="27"/>
      <c r="Q17" s="28"/>
      <c r="T17" s="27"/>
      <c r="U17" s="27"/>
      <c r="V17" s="27"/>
      <c r="W17" s="27"/>
      <c r="X17" s="28"/>
      <c r="Y17" s="27"/>
      <c r="Z17" s="27"/>
      <c r="AA17" s="28"/>
      <c r="AB17" s="27"/>
      <c r="AC17" s="28"/>
      <c r="AD17" s="27"/>
      <c r="AE17" s="27"/>
      <c r="AF17" s="28"/>
      <c r="AG17" s="27"/>
      <c r="AH17" s="73"/>
      <c r="AI17" s="28"/>
    </row>
    <row r="18" spans="2:42" ht="16" thickBot="1" x14ac:dyDescent="0.25">
      <c r="B18" s="28" t="s">
        <v>11</v>
      </c>
      <c r="C18" s="79">
        <f>AVERAGE('Horns Rev'!D18,Seagreen!D18,Gemini!D18,Hollandse_Noord!D18,Dieppe!D18,'Moray Firth'!D18,Kriegers!D18,'East Anglia One'!D18)</f>
        <v>32.918928420930712</v>
      </c>
      <c r="D18" s="81">
        <f>AVERAGE('Horns Rev'!E18,Seagreen!E18,Gemini!E18,Hollandse_Noord!E18,Dieppe!E18,'Moray Firth'!E18,Kriegers!E18,'East Anglia One'!E18)</f>
        <v>4.3370567008384021E-2</v>
      </c>
      <c r="E18" s="80">
        <f>AVERAGE('Horns Rev'!F18,Seagreen!F18,Gemini!F18,Hollandse_Noord!F18,Dieppe!F18,'Moray Firth'!F18,Kriegers!F18,'East Anglia One'!F18)</f>
        <v>0.93332500583375055</v>
      </c>
      <c r="F18" s="79">
        <f>AVERAGE('Horns Rev'!H18,Seagreen!H18,Gemini!H18,Hollandse_Noord!H18,Dieppe!H18,'Moray Firth'!H18,Kriegers!H18,'East Anglia One'!H18)</f>
        <v>26.711088478926133</v>
      </c>
      <c r="G18" s="81">
        <f>AVERAGE('Horns Rev'!I18,Seagreen!I18,Gemini!I18,Hollandse_Noord!I18,Dieppe!I18,'Moray Firth'!I18,Kriegers!I18,'East Anglia One'!I18)</f>
        <v>3.5207360349726102E-2</v>
      </c>
      <c r="H18" s="80">
        <f>AVERAGE('Horns Rev'!J18,Seagreen!J18,Gemini!J18,Hollandse_Noord!J18,Dieppe!J18,'Moray Firth'!J18,Kriegers!J18,'East Anglia One'!J18)</f>
        <v>0.95606661825510619</v>
      </c>
      <c r="I18" s="79">
        <f>AVERAGE('Horns Rev'!L18,Seagreen!L18,Gemini!L18,Hollandse_Noord!L18,Dieppe!L18,'Moray Firth'!L18,Kriegers!L18,'East Anglia One'!L18)</f>
        <v>25.009479651211638</v>
      </c>
      <c r="J18" s="81">
        <f>AVERAGE('Horns Rev'!M18,Seagreen!M18,Gemini!M18,Hollandse_Noord!M18,Dieppe!M18,'Moray Firth'!M18,Kriegers!M18,'East Anglia One'!M18)</f>
        <v>3.2962001580529678E-2</v>
      </c>
      <c r="K18" s="80">
        <f>AVERAGE('Horns Rev'!N18,Seagreen!N18,Gemini!N18,Hollandse_Noord!N18,Dieppe!N18,'Moray Firth'!N18,Kriegers!N18,'East Anglia One'!N18)</f>
        <v>0.96047801143306599</v>
      </c>
      <c r="L18" s="82">
        <f>AVERAGE('Horns Rev'!P18,Seagreen!P18,Gemini!P18,Hollandse_Noord!P18,Dieppe!P18,'Moray Firth'!P18,Kriegers!P18,'East Anglia One'!P18)</f>
        <v>24.494724250134237</v>
      </c>
      <c r="M18" s="122">
        <f>AVERAGE('Horns Rev'!Q18,Seagreen!Q18,Gemini!Q18,Hollandse_Noord!Q18,Dieppe!Q18,'Moray Firth'!Q18,Kriegers!Q18,'East Anglia One'!Q18)</f>
        <v>3.2282391474072927E-2</v>
      </c>
      <c r="N18" s="83">
        <f>AVERAGE('Horns Rev'!R18,Seagreen!R18,Gemini!R18,Hollandse_Noord!R18,Dieppe!R18,'Moray Firth'!R18,Kriegers!R18,'East Anglia One'!R18)</f>
        <v>0.96261761948572122</v>
      </c>
      <c r="O18" s="82">
        <f>AVERAGE('Horns Rev'!T18,Seagreen!T18,Gemini!T18,Hollandse_Noord!T18,Dieppe!T18,'Moray Firth'!T18,Kriegers!T18,'East Anglia One'!T18)</f>
        <v>24.434099932630563</v>
      </c>
      <c r="P18" s="122">
        <f>AVERAGE('Horns Rev'!U18,Seagreen!U18,Gemini!U18,Hollandse_Noord!U18,Dieppe!U18,'Moray Firth'!U18,Kriegers!U18,'East Anglia One'!U18)</f>
        <v>3.2203420664729955E-2</v>
      </c>
      <c r="Q18" s="83">
        <f>AVERAGE('Horns Rev'!V18,Seagreen!V18,Gemini!V18,Hollandse_Noord!V18,Dieppe!V18,'Moray Firth'!V18,Kriegers!V18,'East Anglia One'!V18)</f>
        <v>0.96305943331058241</v>
      </c>
      <c r="T18" s="28" t="s">
        <v>11</v>
      </c>
      <c r="U18" s="88">
        <f>AVERAGE('Horns Rev'!AB18,Seagreen!AB18,Gemini!AB18,Hollandse_Noord!AB18,Dieppe!AA18,'Moray Firth'!AB18,Kriegers!AB18,'East Anglia One'!AB18)</f>
        <v>40.032612859264788</v>
      </c>
      <c r="V18" s="81">
        <f>AVERAGE('Horns Rev'!AC18,Seagreen!AC18,Gemini!AC18,Hollandse_Noord!AC18,Dieppe!AB18,'Moray Firth'!AC18,Kriegers!AC18,'East Anglia One'!AC18)</f>
        <v>5.2598947883087173E-2</v>
      </c>
      <c r="W18" s="80">
        <f>AVERAGE('Horns Rev'!AD18,Seagreen!AD18,Gemini!AD18,Hollandse_Noord!AD18,Dieppe!AC18,'Moray Firth'!AD18,Kriegers!AD18,'East Anglia One'!AD18)</f>
        <v>0.91100584116914618</v>
      </c>
      <c r="X18" s="79">
        <f>AVERAGE('Horns Rev'!AF18,Seagreen!AF18,Gemini!AF18,Hollandse_Noord!AF18,Dieppe!AE18,'Moray Firth'!AF18,Kriegers!AF18,'East Anglia One'!AF18)</f>
        <v>31.331544100102711</v>
      </c>
      <c r="Y18" s="81">
        <f>AVERAGE('Horns Rev'!AG18,Seagreen!AG18,Gemini!AG18,Hollandse_Noord!AG18,Dieppe!AF18,'Moray Firth'!AG18,Kriegers!AG18,'East Anglia One'!AG18)</f>
        <v>4.1271390394643677E-2</v>
      </c>
      <c r="Z18" s="80">
        <f>AVERAGE('Horns Rev'!AH18,Seagreen!AH18,Gemini!AH18,Hollandse_Noord!AH18,Dieppe!AG18,'Moray Firth'!AH18,Kriegers!AH18,'East Anglia One'!AH18)</f>
        <v>0.9454011503710229</v>
      </c>
      <c r="AA18" s="79">
        <f>AVERAGE('Horns Rev'!AJ18,Seagreen!AJ18,Gemini!AJ18,Hollandse_Noord!AJ18,Dieppe!AI18,'Moray Firth'!AJ18,Kriegers!AJ18,'East Anglia One'!AJ18)</f>
        <v>28.401863622878011</v>
      </c>
      <c r="AB18" s="81">
        <f>AVERAGE('Horns Rev'!AK18,Seagreen!AK18,Gemini!AK18,Hollandse_Noord!AK18,Dieppe!AJ18,'Moray Firth'!AK18,Kriegers!AK18,'East Anglia One'!AK18)</f>
        <v>3.7405516489925038E-2</v>
      </c>
      <c r="AC18" s="80">
        <f>AVERAGE('Horns Rev'!AL18,Seagreen!AL18,Gemini!AL18,Hollandse_Noord!AL18,Dieppe!AK18,'Moray Firth'!AL18,Kriegers!AL18,'East Anglia One'!AL18)</f>
        <v>0.95284622478392311</v>
      </c>
      <c r="AD18" s="82">
        <f>AVERAGE('Horns Rev'!AN18,Seagreen!AN18,Gemini!AN18,Hollandse_Noord!AN18,Dieppe!AM18,'Moray Firth'!AN18,Kriegers!AN18,'East Anglia One'!AN18)</f>
        <v>27.299047833805478</v>
      </c>
      <c r="AE18" s="122">
        <f>AVERAGE('Horns Rev'!AO18,Seagreen!AO18,Gemini!AO18,Hollandse_Noord!AO18,Dieppe!AN18,'Moray Firth'!AO18,Kriegers!AO18,'East Anglia One'!AO18)</f>
        <v>3.590165612094471E-2</v>
      </c>
      <c r="AF18" s="83">
        <f>AVERAGE('Horns Rev'!AP18,Seagreen!AP18,Gemini!AP18,Hollandse_Noord!AP18,Dieppe!AO18,'Moray Firth'!AP18,Kriegers!AP18,'East Anglia One'!AP18)</f>
        <v>0.95717407441209879</v>
      </c>
      <c r="AG18" s="82">
        <f>AVERAGE('Horns Rev'!AR18,Seagreen!AR18,Gemini!AR18,Hollandse_Noord!AR18,Dieppe!AQ18,'Moray Firth'!AR18,Kriegers!AR18,'East Anglia One'!AR18)</f>
        <v>26.980859115060227</v>
      </c>
      <c r="AH18" s="122">
        <f>AVERAGE('Horns Rev'!AS18,Seagreen!AS18,Gemini!AS18,Hollandse_Noord!AS18,Dieppe!AR18,'Moray Firth'!AS18,Kriegers!AS18,'East Anglia One'!AS18)</f>
        <v>3.5527308144417492E-2</v>
      </c>
      <c r="AI18" s="83">
        <f>AVERAGE('Horns Rev'!AT18,Seagreen!AT18,Gemini!AT18,Hollandse_Noord!AT18,Dieppe!AS18,'Moray Firth'!AT18,Kriegers!AT18,'East Anglia One'!AT18)</f>
        <v>0.95857237580407606</v>
      </c>
    </row>
    <row r="19" spans="2:42" ht="15" customHeight="1" x14ac:dyDescent="0.2"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2:42" ht="15" customHeight="1" x14ac:dyDescent="0.2">
      <c r="T20" s="27"/>
      <c r="U20" s="73"/>
      <c r="V20" s="78"/>
      <c r="W20" s="27"/>
      <c r="X20" s="73"/>
      <c r="Y20" s="78"/>
      <c r="Z20" s="27"/>
      <c r="AA20" s="73"/>
      <c r="AB20" s="78"/>
      <c r="AC20" s="27"/>
      <c r="AD20" s="73"/>
      <c r="AE20" s="78"/>
      <c r="AF20" s="27"/>
      <c r="AG20" s="73"/>
      <c r="AH20" s="78"/>
      <c r="AI20" s="27"/>
      <c r="AJ20" s="73"/>
      <c r="AK20" s="78"/>
      <c r="AL20" s="27"/>
    </row>
    <row r="21" spans="2:42" ht="15" customHeight="1" x14ac:dyDescent="0.2"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32" spans="2:42" ht="15.75" customHeight="1" x14ac:dyDescent="0.2">
      <c r="C32" s="134">
        <v>0.1</v>
      </c>
      <c r="D32" s="133"/>
      <c r="E32" s="133"/>
      <c r="F32" s="133"/>
      <c r="G32" s="133"/>
      <c r="H32" s="133"/>
      <c r="I32" s="133"/>
      <c r="J32" s="135"/>
      <c r="K32" s="136">
        <v>0.2</v>
      </c>
      <c r="L32" s="133"/>
      <c r="M32" s="133"/>
      <c r="N32" s="133"/>
      <c r="O32" s="133"/>
      <c r="P32" s="133"/>
      <c r="Q32" s="133"/>
      <c r="R32" s="135"/>
      <c r="S32" s="136">
        <v>0.3</v>
      </c>
      <c r="T32" s="133"/>
      <c r="U32" s="133"/>
      <c r="V32" s="133"/>
      <c r="W32" s="133"/>
      <c r="X32" s="133"/>
      <c r="Y32" s="133"/>
      <c r="Z32" s="135"/>
      <c r="AA32" s="136">
        <v>0.4</v>
      </c>
      <c r="AB32" s="133"/>
      <c r="AC32" s="133"/>
      <c r="AD32" s="133"/>
      <c r="AE32" s="133"/>
      <c r="AF32" s="133"/>
      <c r="AG32" s="133"/>
      <c r="AH32" s="135"/>
      <c r="AI32" s="136">
        <v>0.5</v>
      </c>
      <c r="AJ32" s="133"/>
      <c r="AK32" s="133"/>
      <c r="AL32" s="133"/>
      <c r="AM32" s="133"/>
      <c r="AN32" s="133"/>
      <c r="AO32" s="133"/>
      <c r="AP32" s="135"/>
    </row>
    <row r="33" spans="2:42" ht="15.75" customHeight="1" thickBot="1" x14ac:dyDescent="0.25">
      <c r="B33" s="15" t="s">
        <v>8</v>
      </c>
      <c r="C33" s="13" t="s">
        <v>12</v>
      </c>
      <c r="D33" s="13" t="s">
        <v>13</v>
      </c>
      <c r="E33" s="13" t="s">
        <v>14</v>
      </c>
      <c r="F33" s="13" t="s">
        <v>15</v>
      </c>
      <c r="G33" s="13" t="s">
        <v>16</v>
      </c>
      <c r="H33" s="13" t="s">
        <v>17</v>
      </c>
      <c r="I33" s="13" t="s">
        <v>18</v>
      </c>
      <c r="J33" s="15" t="s">
        <v>19</v>
      </c>
      <c r="K33" s="13" t="s">
        <v>12</v>
      </c>
      <c r="L33" s="13" t="s">
        <v>13</v>
      </c>
      <c r="M33" s="13" t="s">
        <v>14</v>
      </c>
      <c r="N33" s="13" t="s">
        <v>15</v>
      </c>
      <c r="O33" s="13" t="s">
        <v>16</v>
      </c>
      <c r="P33" s="13" t="s">
        <v>17</v>
      </c>
      <c r="Q33" s="13" t="s">
        <v>18</v>
      </c>
      <c r="R33" s="15" t="s">
        <v>19</v>
      </c>
      <c r="S33" s="13" t="s">
        <v>12</v>
      </c>
      <c r="T33" s="13" t="s">
        <v>13</v>
      </c>
      <c r="U33" s="13" t="s">
        <v>14</v>
      </c>
      <c r="V33" s="13" t="s">
        <v>15</v>
      </c>
      <c r="W33" s="13" t="s">
        <v>16</v>
      </c>
      <c r="X33" s="13" t="s">
        <v>17</v>
      </c>
      <c r="Y33" s="13" t="s">
        <v>18</v>
      </c>
      <c r="Z33" s="15" t="s">
        <v>19</v>
      </c>
      <c r="AA33" s="13" t="s">
        <v>12</v>
      </c>
      <c r="AB33" s="13" t="s">
        <v>13</v>
      </c>
      <c r="AC33" s="13" t="s">
        <v>14</v>
      </c>
      <c r="AD33" s="13" t="s">
        <v>15</v>
      </c>
      <c r="AE33" s="13" t="s">
        <v>16</v>
      </c>
      <c r="AF33" s="13" t="s">
        <v>17</v>
      </c>
      <c r="AG33" s="13" t="s">
        <v>18</v>
      </c>
      <c r="AH33" s="15" t="s">
        <v>19</v>
      </c>
      <c r="AI33" s="13" t="s">
        <v>12</v>
      </c>
      <c r="AJ33" s="13" t="s">
        <v>13</v>
      </c>
      <c r="AK33" s="13" t="s">
        <v>14</v>
      </c>
      <c r="AL33" s="13" t="s">
        <v>15</v>
      </c>
      <c r="AM33" s="13" t="s">
        <v>16</v>
      </c>
      <c r="AN33" s="13" t="s">
        <v>17</v>
      </c>
      <c r="AO33" s="13" t="s">
        <v>18</v>
      </c>
      <c r="AP33" s="15" t="s">
        <v>19</v>
      </c>
    </row>
    <row r="34" spans="2:42" ht="15.75" customHeight="1" x14ac:dyDescent="0.2">
      <c r="B34" s="5">
        <v>0</v>
      </c>
      <c r="C34" s="16">
        <f>'Horns Rev'!E9</f>
        <v>5.2629274486623766E-2</v>
      </c>
      <c r="D34" s="16">
        <f>Seagreen!E9</f>
        <v>4.5833333333333337E-2</v>
      </c>
      <c r="E34" s="16">
        <f>Gemini!E9</f>
        <v>4.2666666666666665E-2</v>
      </c>
      <c r="F34" s="16">
        <f>Hollandse_Noord!E9</f>
        <v>4.062362758014932E-2</v>
      </c>
      <c r="G34" s="16">
        <f>Dieppe!E9</f>
        <v>4.327956989247312E-2</v>
      </c>
      <c r="H34" s="16">
        <f>'Moray Firth'!E9</f>
        <v>4.4492378487201611E-2</v>
      </c>
      <c r="I34" s="16">
        <f>Kriegers!E9</f>
        <v>4.2476851851851849E-2</v>
      </c>
      <c r="J34" s="18">
        <f>'East Anglia One'!E9</f>
        <v>3.8982259570494865E-2</v>
      </c>
      <c r="K34" s="16">
        <f>'Horns Rev'!I9</f>
        <v>3.9668987258636546E-2</v>
      </c>
      <c r="L34" s="16">
        <f>Seagreen!I9</f>
        <v>3.868589743589744E-2</v>
      </c>
      <c r="M34" s="16">
        <f>Gemini!I9</f>
        <v>3.3000000000000002E-2</v>
      </c>
      <c r="N34" s="16">
        <f>Hollandse_Noord!I9</f>
        <v>3.7241985068072025E-2</v>
      </c>
      <c r="O34" s="16">
        <f>Dieppe!I9</f>
        <v>3.7365591397849465E-2</v>
      </c>
      <c r="P34" s="16">
        <f>'Moray Firth'!I9</f>
        <v>4.0264595916019552E-2</v>
      </c>
      <c r="Q34" s="16">
        <f>Kriegers!I9</f>
        <v>3.923611111111111E-2</v>
      </c>
      <c r="R34" s="18">
        <f>'East Anglia One'!I9</f>
        <v>3.4360410830999062E-2</v>
      </c>
      <c r="S34" s="16">
        <f>'Horns Rev'!M9</f>
        <v>3.4940233810587154E-2</v>
      </c>
      <c r="T34" s="16">
        <f>Seagreen!M9</f>
        <v>3.4679487179487184E-2</v>
      </c>
      <c r="U34" s="16">
        <f>Gemini!M9</f>
        <v>3.1444444444444442E-2</v>
      </c>
      <c r="V34" s="16">
        <f>Hollandse_Noord!M9</f>
        <v>3.6978480456741326E-2</v>
      </c>
      <c r="W34" s="16">
        <f>Dieppe!M9</f>
        <v>3.5013440860215052E-2</v>
      </c>
      <c r="X34" s="16">
        <f>'Moray Firth'!M9</f>
        <v>3.7446074201898188E-2</v>
      </c>
      <c r="Y34" s="16">
        <f>Kriegers!M9</f>
        <v>3.5937499999999997E-2</v>
      </c>
      <c r="Z34" s="18">
        <f>'East Anglia One'!M9</f>
        <v>3.4080298786181136E-2</v>
      </c>
      <c r="AA34" s="16">
        <f>'Horns Rev'!Q9</f>
        <v>3.4677525285695517E-2</v>
      </c>
      <c r="AB34" s="16">
        <f>Seagreen!Q9</f>
        <v>3.6314102564102564E-2</v>
      </c>
      <c r="AC34" s="16">
        <f>Gemini!Q9</f>
        <v>3.3055555555555553E-2</v>
      </c>
      <c r="AD34" s="16">
        <f>Hollandse_Noord!Q9</f>
        <v>3.7198067632850246E-2</v>
      </c>
      <c r="AE34" s="16">
        <f>Dieppe!Q9</f>
        <v>3.4610215053763445E-2</v>
      </c>
      <c r="AF34" s="16">
        <f>'Moray Firth'!Q9</f>
        <v>3.6784584411849307E-2</v>
      </c>
      <c r="AG34" s="16">
        <f>Kriegers!Q9</f>
        <v>3.6342592592592593E-2</v>
      </c>
      <c r="AH34" s="18">
        <f>'East Anglia One'!Q9</f>
        <v>3.2259570494864609E-2</v>
      </c>
      <c r="AI34" s="16">
        <f>'Horns Rev'!U9</f>
        <v>3.375804544857481E-2</v>
      </c>
      <c r="AJ34" s="16">
        <f>Seagreen!U9</f>
        <v>3.4519230769230767E-2</v>
      </c>
      <c r="AK34" s="16">
        <f>Gemini!U9</f>
        <v>3.0055555555555558E-2</v>
      </c>
      <c r="AL34" s="16">
        <f>Hollandse_Noord!U9</f>
        <v>3.8120333772507682E-2</v>
      </c>
      <c r="AM34" s="16">
        <f>Dieppe!U9</f>
        <v>3.6693548387096771E-2</v>
      </c>
      <c r="AN34" s="16">
        <f>'Moray Firth'!U9</f>
        <v>3.6842105263157891E-2</v>
      </c>
      <c r="AO34" s="16">
        <f>Kriegers!U9</f>
        <v>3.7962962962962969E-2</v>
      </c>
      <c r="AP34" s="18">
        <f>'East Anglia One'!U9</f>
        <v>3.3940242763772173E-2</v>
      </c>
    </row>
    <row r="35" spans="2:42" ht="15.75" customHeight="1" x14ac:dyDescent="0.2">
      <c r="B35" s="5">
        <v>1</v>
      </c>
      <c r="C35" s="16">
        <f>'Horns Rev'!E10</f>
        <v>3.7435964797057665E-2</v>
      </c>
      <c r="D35" s="16">
        <f>Seagreen!E10</f>
        <v>3.3942307692307688E-2</v>
      </c>
      <c r="E35" s="16">
        <f>Gemini!E10</f>
        <v>4.1666666666666664E-2</v>
      </c>
      <c r="F35" s="16">
        <f>Hollandse_Noord!E10</f>
        <v>3.592446201141853E-2</v>
      </c>
      <c r="G35" s="16">
        <f>Dieppe!E10</f>
        <v>4.2204301075268812E-2</v>
      </c>
      <c r="H35" s="16">
        <f>'Moray Firth'!E10</f>
        <v>3.5864250790911704E-2</v>
      </c>
      <c r="I35" s="16">
        <f>Kriegers!E10</f>
        <v>3.7673611111111109E-2</v>
      </c>
      <c r="J35" s="18">
        <f>'East Anglia One'!E10</f>
        <v>3.4640522875817002E-2</v>
      </c>
      <c r="K35" s="16">
        <f>'Horns Rev'!I10</f>
        <v>3.0693112658172428E-2</v>
      </c>
      <c r="L35" s="16">
        <f>Seagreen!I10</f>
        <v>3.1217948717948713E-2</v>
      </c>
      <c r="M35" s="16">
        <f>Gemini!I10</f>
        <v>3.4111111111111113E-2</v>
      </c>
      <c r="N35" s="16">
        <f>Hollandse_Noord!I10</f>
        <v>3.4255599472990776E-2</v>
      </c>
      <c r="O35" s="16">
        <f>Dieppe!I10</f>
        <v>3.4206989247311831E-2</v>
      </c>
      <c r="P35" s="16">
        <f>'Moray Firth'!I10</f>
        <v>3.0658613747483465E-2</v>
      </c>
      <c r="Q35" s="16">
        <f>Kriegers!I10</f>
        <v>3.5300925925925923E-2</v>
      </c>
      <c r="R35" s="18">
        <f>'East Anglia One'!I10</f>
        <v>3.3706816059757234E-2</v>
      </c>
      <c r="S35" s="16">
        <f>'Horns Rev'!M10</f>
        <v>2.9029292000525422E-2</v>
      </c>
      <c r="T35" s="16">
        <f>Seagreen!M10</f>
        <v>2.967948717948718E-2</v>
      </c>
      <c r="U35" s="16">
        <f>Gemini!M10</f>
        <v>3.2722222222222215E-2</v>
      </c>
      <c r="V35" s="16">
        <f>Hollandse_Noord!M10</f>
        <v>3.4387351778656122E-2</v>
      </c>
      <c r="W35" s="16">
        <f>Dieppe!M10</f>
        <v>3.4139784946236561E-2</v>
      </c>
      <c r="X35" s="16">
        <f>'Moray Firth'!M10</f>
        <v>2.8760425654299687E-2</v>
      </c>
      <c r="Y35" s="16">
        <f>Kriegers!M10</f>
        <v>3.5590277777777783E-2</v>
      </c>
      <c r="Z35" s="18">
        <f>'East Anglia One'!M10</f>
        <v>3.062558356676004E-2</v>
      </c>
      <c r="AA35" s="16">
        <f>'Horns Rev'!Q10</f>
        <v>2.8854152983930997E-2</v>
      </c>
      <c r="AB35" s="16">
        <f>Seagreen!Q10</f>
        <v>2.9391025641025647E-2</v>
      </c>
      <c r="AC35" s="16">
        <f>Gemini!Q10</f>
        <v>3.2833333333333332E-2</v>
      </c>
      <c r="AD35" s="16">
        <f>Hollandse_Noord!Q10</f>
        <v>3.2630654369784802E-2</v>
      </c>
      <c r="AE35" s="16">
        <f>Dieppe!Q10</f>
        <v>3.2392473118279572E-2</v>
      </c>
      <c r="AF35" s="16">
        <f>'Moray Firth'!Q10</f>
        <v>2.9910842680471672E-2</v>
      </c>
      <c r="AG35" s="16">
        <f>Kriegers!Q10</f>
        <v>3.5937500000000004E-2</v>
      </c>
      <c r="AH35" s="18">
        <f>'East Anglia One'!Q10</f>
        <v>3.1652661064425769E-2</v>
      </c>
      <c r="AI35" s="16">
        <f>'Horns Rev'!U10</f>
        <v>2.9029292000525415E-2</v>
      </c>
      <c r="AJ35" s="16">
        <f>Seagreen!U10</f>
        <v>2.8621794871794875E-2</v>
      </c>
      <c r="AK35" s="16">
        <f>Gemini!U10</f>
        <v>3.2388888888888891E-2</v>
      </c>
      <c r="AL35" s="16">
        <f>Hollandse_Noord!U10</f>
        <v>3.3684672815107598E-2</v>
      </c>
      <c r="AM35" s="16">
        <f>Dieppe!U10</f>
        <v>3.3669354838709677E-2</v>
      </c>
      <c r="AN35" s="16">
        <f>'Moray Firth'!U10</f>
        <v>2.9134311187805583E-2</v>
      </c>
      <c r="AO35" s="16">
        <f>Kriegers!U10</f>
        <v>3.4837962962962966E-2</v>
      </c>
      <c r="AP35" s="18">
        <f>'East Anglia One'!U10</f>
        <v>2.9645191409897288E-2</v>
      </c>
    </row>
    <row r="36" spans="2:42" ht="15.75" customHeight="1" x14ac:dyDescent="0.2">
      <c r="B36" s="5">
        <v>2</v>
      </c>
      <c r="C36" s="16">
        <f>'Horns Rev'!E11</f>
        <v>4.1814440211918213E-2</v>
      </c>
      <c r="D36" s="16">
        <f>Seagreen!E11</f>
        <v>3.8012820512820511E-2</v>
      </c>
      <c r="E36" s="16">
        <f>Gemini!E11</f>
        <v>2.4111111111111111E-2</v>
      </c>
      <c r="F36" s="16">
        <f>Hollandse_Noord!E11</f>
        <v>4.5630215195432589E-2</v>
      </c>
      <c r="G36" s="16">
        <f>Dieppe!E11</f>
        <v>4.6034946236559147E-2</v>
      </c>
      <c r="H36" s="16">
        <f>'Moray Firth'!E11</f>
        <v>3.62668967500719E-2</v>
      </c>
      <c r="I36" s="16">
        <f>Kriegers!E11</f>
        <v>3.6111111111111115E-2</v>
      </c>
      <c r="J36" s="18">
        <f>'East Anglia One'!E11</f>
        <v>4.5751633986928109E-2</v>
      </c>
      <c r="K36" s="16">
        <f>'Horns Rev'!I11</f>
        <v>3.2926135119751301E-2</v>
      </c>
      <c r="L36" s="16">
        <f>Seagreen!I11</f>
        <v>3.4903846153846153E-2</v>
      </c>
      <c r="M36" s="16">
        <f>Gemini!I11</f>
        <v>2.2111111111111113E-2</v>
      </c>
      <c r="N36" s="16">
        <f>Hollandse_Noord!I11</f>
        <v>3.4782608695652174E-2</v>
      </c>
      <c r="O36" s="16">
        <f>Dieppe!I11</f>
        <v>3.6424731182795704E-2</v>
      </c>
      <c r="P36" s="16">
        <f>'Moray Firth'!I11</f>
        <v>3.2901926948518838E-2</v>
      </c>
      <c r="Q36" s="16">
        <f>Kriegers!I11</f>
        <v>3.0555555555555555E-2</v>
      </c>
      <c r="R36" s="18">
        <f>'East Anglia One'!I11</f>
        <v>3.5060690943043878E-2</v>
      </c>
      <c r="S36" s="16">
        <f>'Horns Rev'!M11</f>
        <v>3.1262314462104299E-2</v>
      </c>
      <c r="T36" s="16">
        <f>Seagreen!M11</f>
        <v>3.0512820512820515E-2</v>
      </c>
      <c r="U36" s="16">
        <f>Gemini!M11</f>
        <v>2.1611111111111112E-2</v>
      </c>
      <c r="V36" s="16">
        <f>Hollandse_Noord!M11</f>
        <v>3.1884057971014491E-2</v>
      </c>
      <c r="W36" s="16">
        <f>Dieppe!M11</f>
        <v>3.2190860215053761E-2</v>
      </c>
      <c r="X36" s="16">
        <f>'Moray Firth'!M11</f>
        <v>3.2240437158469949E-2</v>
      </c>
      <c r="Y36" s="16">
        <f>Kriegers!M11</f>
        <v>2.8877314814814814E-2</v>
      </c>
      <c r="Z36" s="18">
        <f>'East Anglia One'!M11</f>
        <v>3.2119514472455646E-2</v>
      </c>
      <c r="AA36" s="16">
        <f>'Horns Rev'!Q11</f>
        <v>2.9335785279565655E-2</v>
      </c>
      <c r="AB36" s="16">
        <f>Seagreen!Q11</f>
        <v>3.1057692307692304E-2</v>
      </c>
      <c r="AC36" s="16">
        <f>Gemini!Q11</f>
        <v>2.0611111111111111E-2</v>
      </c>
      <c r="AD36" s="16">
        <f>Hollandse_Noord!Q11</f>
        <v>3.0873956960913482E-2</v>
      </c>
      <c r="AE36" s="16">
        <f>Dieppe!Q11</f>
        <v>2.8830645161290327E-2</v>
      </c>
      <c r="AF36" s="16">
        <f>'Moray Firth'!Q11</f>
        <v>3.2154155881507045E-2</v>
      </c>
      <c r="AG36" s="16">
        <f>Kriegers!Q11</f>
        <v>2.6967592592592588E-2</v>
      </c>
      <c r="AH36" s="18">
        <f>'East Anglia One'!Q11</f>
        <v>3.3473389355742296E-2</v>
      </c>
      <c r="AI36" s="16">
        <f>'Horns Rev'!U11</f>
        <v>2.8328735934147729E-2</v>
      </c>
      <c r="AJ36" s="16">
        <f>Seagreen!U11</f>
        <v>3.2243589743589741E-2</v>
      </c>
      <c r="AK36" s="16">
        <f>Gemini!U11</f>
        <v>1.9444444444444445E-2</v>
      </c>
      <c r="AL36" s="16">
        <f>Hollandse_Noord!U11</f>
        <v>3.311374615722442E-2</v>
      </c>
      <c r="AM36" s="16">
        <f>Dieppe!U11</f>
        <v>2.9502688172043014E-2</v>
      </c>
      <c r="AN36" s="16">
        <f>'Moray Firth'!U11</f>
        <v>3.2643083117630145E-2</v>
      </c>
      <c r="AO36" s="16">
        <f>Kriegers!U11</f>
        <v>2.6562499999999999E-2</v>
      </c>
      <c r="AP36" s="18">
        <f>'East Anglia One'!U11</f>
        <v>3.2913165266106444E-2</v>
      </c>
    </row>
    <row r="37" spans="2:42" ht="15.75" customHeight="1" x14ac:dyDescent="0.2">
      <c r="B37" s="5">
        <v>3</v>
      </c>
      <c r="C37" s="16">
        <f>'Horns Rev'!E12</f>
        <v>4.0632251849905869E-2</v>
      </c>
      <c r="D37" s="16">
        <f>Seagreen!E12</f>
        <v>4.7916666666666663E-2</v>
      </c>
      <c r="E37" s="16">
        <f>Gemini!E12</f>
        <v>4.2611111111111107E-2</v>
      </c>
      <c r="F37" s="16">
        <f>Hollandse_Noord!E12</f>
        <v>5.4896794027228808E-2</v>
      </c>
      <c r="G37" s="16">
        <f>Dieppe!E12</f>
        <v>5.2217741935483869E-2</v>
      </c>
      <c r="H37" s="16">
        <f>'Moray Firth'!E12</f>
        <v>3.5806729939603106E-2</v>
      </c>
      <c r="I37" s="16">
        <f>Kriegers!E12</f>
        <v>4.8437500000000001E-2</v>
      </c>
      <c r="J37" s="18">
        <f>'East Anglia One'!E12</f>
        <v>4.0289449112978527E-2</v>
      </c>
      <c r="K37" s="16">
        <f>'Horns Rev'!I12</f>
        <v>3.240071806996804E-2</v>
      </c>
      <c r="L37" s="16">
        <f>Seagreen!I12</f>
        <v>3.2532051282051277E-2</v>
      </c>
      <c r="M37" s="16">
        <f>Gemini!I12</f>
        <v>3.4277777777777775E-2</v>
      </c>
      <c r="N37" s="16">
        <f>Hollandse_Noord!I12</f>
        <v>3.6407553798858149E-2</v>
      </c>
      <c r="O37" s="16">
        <f>Dieppe!I12</f>
        <v>4.301075268817204E-2</v>
      </c>
      <c r="P37" s="16">
        <f>'Moray Firth'!I12</f>
        <v>3.1578947368421054E-2</v>
      </c>
      <c r="Q37" s="16">
        <f>Kriegers!I12</f>
        <v>4.6875E-2</v>
      </c>
      <c r="R37" s="18">
        <f>'East Anglia One'!I12</f>
        <v>3.5154061624649867E-2</v>
      </c>
      <c r="S37" s="16">
        <f>'Horns Rev'!M12</f>
        <v>3.1174744953807083E-2</v>
      </c>
      <c r="T37" s="16">
        <f>Seagreen!M12</f>
        <v>3.1153846153846153E-2</v>
      </c>
      <c r="U37" s="16">
        <f>Gemini!M12</f>
        <v>3.1277777777777772E-2</v>
      </c>
      <c r="V37" s="16">
        <f>Hollandse_Noord!M12</f>
        <v>3.236714975845411E-2</v>
      </c>
      <c r="W37" s="16">
        <f>Dieppe!M12</f>
        <v>3.7029569892473115E-2</v>
      </c>
      <c r="X37" s="16">
        <f>'Moray Firth'!M12</f>
        <v>3.083117630140926E-2</v>
      </c>
      <c r="Y37" s="16">
        <f>Kriegers!M12</f>
        <v>3.8831018518518522E-2</v>
      </c>
      <c r="Z37" s="18">
        <f>'East Anglia One'!M12</f>
        <v>3.0532212885154061E-2</v>
      </c>
      <c r="AA37" s="16">
        <f>'Horns Rev'!Q12</f>
        <v>3.0649327904023822E-2</v>
      </c>
      <c r="AB37" s="16">
        <f>Seagreen!Q12</f>
        <v>3.105769230769231E-2</v>
      </c>
      <c r="AC37" s="16">
        <f>Gemini!Q12</f>
        <v>3.1611111111111111E-2</v>
      </c>
      <c r="AD37" s="16">
        <f>Hollandse_Noord!Q12</f>
        <v>3.2498902064119456E-2</v>
      </c>
      <c r="AE37" s="16">
        <f>Dieppe!Q12</f>
        <v>3.588709677419355E-2</v>
      </c>
      <c r="AF37" s="16">
        <f>'Moray Firth'!Q12</f>
        <v>2.8731665228645384E-2</v>
      </c>
      <c r="AG37" s="16">
        <f>Kriegers!Q12</f>
        <v>3.8946759259259257E-2</v>
      </c>
      <c r="AH37" s="18">
        <f>'East Anglia One'!Q12</f>
        <v>2.9225023342670398E-2</v>
      </c>
      <c r="AI37" s="16">
        <f>'Horns Rev'!U12</f>
        <v>2.9160646262971237E-2</v>
      </c>
      <c r="AJ37" s="16">
        <f>Seagreen!U12</f>
        <v>3.2275641025641032E-2</v>
      </c>
      <c r="AK37" s="16">
        <f>Gemini!U12</f>
        <v>3.0555555555555558E-2</v>
      </c>
      <c r="AL37" s="16">
        <f>Hollandse_Noord!U12</f>
        <v>3.3552920509442245E-2</v>
      </c>
      <c r="AM37" s="16">
        <f>Dieppe!U12</f>
        <v>3.3736559139784947E-2</v>
      </c>
      <c r="AN37" s="16">
        <f>'Moray Firth'!U12</f>
        <v>3.0457290767903364E-2</v>
      </c>
      <c r="AO37" s="16">
        <f>Kriegers!U12</f>
        <v>3.9930555555555552E-2</v>
      </c>
      <c r="AP37" s="18">
        <f>'East Anglia One'!U12</f>
        <v>2.8664799253034546E-2</v>
      </c>
    </row>
    <row r="38" spans="2:42" ht="15.75" customHeight="1" x14ac:dyDescent="0.2">
      <c r="B38" s="5">
        <v>4</v>
      </c>
      <c r="C38" s="16">
        <f>'Horns Rev'!E13</f>
        <v>4.5711283331144104E-2</v>
      </c>
      <c r="D38" s="16">
        <f>Seagreen!E13</f>
        <v>4.4326923076923076E-2</v>
      </c>
      <c r="E38" s="16">
        <f>Gemini!E13</f>
        <v>5.4833333333333324E-2</v>
      </c>
      <c r="F38" s="16">
        <f>Hollandse_Noord!E13</f>
        <v>4.3917435221783048E-2</v>
      </c>
      <c r="G38" s="16">
        <f>Dieppe!E13</f>
        <v>5.1209677419354838E-2</v>
      </c>
      <c r="H38" s="16">
        <f>'Moray Firth'!E13</f>
        <v>3.9574345700316364E-2</v>
      </c>
      <c r="I38" s="16">
        <f>Kriegers!E13</f>
        <v>8.5011574074074073E-2</v>
      </c>
      <c r="J38" s="18">
        <f>'East Anglia One'!E13</f>
        <v>4.0756302521008404E-2</v>
      </c>
      <c r="K38" s="16">
        <f>'Horns Rev'!I13</f>
        <v>3.8224090371732564E-2</v>
      </c>
      <c r="L38" s="16">
        <f>Seagreen!I13</f>
        <v>3.2147435897435898E-2</v>
      </c>
      <c r="M38" s="16">
        <f>Gemini!I13</f>
        <v>4.4444444444444446E-2</v>
      </c>
      <c r="N38" s="16">
        <f>Hollandse_Noord!I13</f>
        <v>3.785682916117699E-2</v>
      </c>
      <c r="O38" s="16">
        <f>Dieppe!I13</f>
        <v>4.327956989247312E-2</v>
      </c>
      <c r="P38" s="16">
        <f>'Moray Firth'!I13</f>
        <v>3.6410698878343396E-2</v>
      </c>
      <c r="Q38" s="16">
        <f>Kriegers!I13</f>
        <v>4.2361111111111106E-2</v>
      </c>
      <c r="R38" s="18">
        <f>'East Anglia One'!I13</f>
        <v>3.4733893557422971E-2</v>
      </c>
      <c r="S38" s="16">
        <f>'Horns Rev'!M13</f>
        <v>3.599106791015369E-2</v>
      </c>
      <c r="T38" s="16">
        <f>Seagreen!M13</f>
        <v>3.125E-2</v>
      </c>
      <c r="U38" s="16">
        <f>Gemini!M13</f>
        <v>3.7944444444444447E-2</v>
      </c>
      <c r="V38" s="16">
        <f>Hollandse_Noord!M13</f>
        <v>3.4387351778656129E-2</v>
      </c>
      <c r="W38" s="16">
        <f>Dieppe!M13</f>
        <v>3.8239247311827956E-2</v>
      </c>
      <c r="X38" s="16">
        <f>'Moray Firth'!M13</f>
        <v>3.123382226056946E-2</v>
      </c>
      <c r="Y38" s="16">
        <f>Kriegers!M13</f>
        <v>4.0393518518518523E-2</v>
      </c>
      <c r="Z38" s="18">
        <f>'East Anglia One'!M13</f>
        <v>3.1886087768440707E-2</v>
      </c>
      <c r="AA38" s="16">
        <f>'Horns Rev'!Q13</f>
        <v>3.4458601514952496E-2</v>
      </c>
      <c r="AB38" s="16">
        <f>Seagreen!Q13</f>
        <v>3.0288461538461542E-2</v>
      </c>
      <c r="AC38" s="16">
        <f>Gemini!Q13</f>
        <v>3.6055555555555556E-2</v>
      </c>
      <c r="AD38" s="16">
        <f>Hollandse_Noord!Q13</f>
        <v>3.4431269213877909E-2</v>
      </c>
      <c r="AE38" s="16">
        <f>Dieppe!Q13</f>
        <v>3.6290322580645164E-2</v>
      </c>
      <c r="AF38" s="16">
        <f>'Moray Firth'!Q13</f>
        <v>3.1003738855335056E-2</v>
      </c>
      <c r="AG38" s="16">
        <f>Kriegers!Q13</f>
        <v>3.9583333333333331E-2</v>
      </c>
      <c r="AH38" s="18">
        <f>'East Anglia One'!Q13</f>
        <v>3.0765639589169003E-2</v>
      </c>
      <c r="AI38" s="16">
        <f>'Horns Rev'!U13</f>
        <v>3.402075397346644E-2</v>
      </c>
      <c r="AJ38" s="16">
        <f>Seagreen!U13</f>
        <v>3.125E-2</v>
      </c>
      <c r="AK38" s="16">
        <f>Gemini!U13</f>
        <v>3.3944444444444444E-2</v>
      </c>
      <c r="AL38" s="16">
        <f>Hollandse_Noord!U13</f>
        <v>3.5792709705753184E-2</v>
      </c>
      <c r="AM38" s="16">
        <f>Dieppe!U13</f>
        <v>3.7029569892473115E-2</v>
      </c>
      <c r="AN38" s="16">
        <f>'Moray Firth'!U13</f>
        <v>3.0744895024446366E-2</v>
      </c>
      <c r="AO38" s="16">
        <f>Kriegers!U13</f>
        <v>3.9409722222222221E-2</v>
      </c>
      <c r="AP38" s="18">
        <f>'East Anglia One'!U13</f>
        <v>3.1699346405228764E-2</v>
      </c>
    </row>
    <row r="39" spans="2:42" ht="15.75" customHeight="1" x14ac:dyDescent="0.2">
      <c r="B39" s="5">
        <v>5</v>
      </c>
      <c r="C39" s="16">
        <f>'Horns Rev'!E14</f>
        <v>3.9056000700556072E-2</v>
      </c>
      <c r="D39" s="16">
        <f>Seagreen!E14</f>
        <v>4.4647435897435896E-2</v>
      </c>
      <c r="E39" s="16">
        <f>Gemini!E14</f>
        <v>5.4722222222222228E-2</v>
      </c>
      <c r="F39" s="16">
        <f>Hollandse_Noord!E14</f>
        <v>3.6934563021519547E-2</v>
      </c>
      <c r="G39" s="16">
        <f>Dieppe!E14</f>
        <v>5.1075268817204304E-2</v>
      </c>
      <c r="H39" s="16">
        <f>'Moray Firth'!E14</f>
        <v>3.8682772505033075E-2</v>
      </c>
      <c r="I39" s="16">
        <f>Kriegers!E14</f>
        <v>5.2083333333333336E-2</v>
      </c>
      <c r="J39" s="18">
        <f>'East Anglia One'!E14</f>
        <v>3.9262371615312791E-2</v>
      </c>
      <c r="K39" s="16">
        <f>'Horns Rev'!I14</f>
        <v>3.7654888567800693E-2</v>
      </c>
      <c r="L39" s="16">
        <f>Seagreen!I14</f>
        <v>3.2756410256410261E-2</v>
      </c>
      <c r="M39" s="16">
        <f>Gemini!I14</f>
        <v>3.927777777777778E-2</v>
      </c>
      <c r="N39" s="16">
        <f>Hollandse_Noord!I14</f>
        <v>3.3421168203776899E-2</v>
      </c>
      <c r="O39" s="16">
        <f>Dieppe!I14</f>
        <v>3.5954301075268813E-2</v>
      </c>
      <c r="P39" s="16">
        <f>'Moray Firth'!I14</f>
        <v>3.0083405234397471E-2</v>
      </c>
      <c r="Q39" s="16">
        <f>Kriegers!I14</f>
        <v>4.5138888888888888E-2</v>
      </c>
      <c r="R39" s="18">
        <f>'East Anglia One'!I14</f>
        <v>3.0578898225957048E-2</v>
      </c>
      <c r="S39" s="16">
        <f>'Horns Rev'!M14</f>
        <v>3.0211480362537763E-2</v>
      </c>
      <c r="T39" s="16">
        <f>Seagreen!M14</f>
        <v>2.9326923076923073E-2</v>
      </c>
      <c r="U39" s="16">
        <f>Gemini!M14</f>
        <v>3.5555555555555556E-2</v>
      </c>
      <c r="V39" s="16">
        <f>Hollandse_Noord!M14</f>
        <v>3.1488801054018446E-2</v>
      </c>
      <c r="W39" s="16">
        <f>Dieppe!M14</f>
        <v>3.4946236559139782E-2</v>
      </c>
      <c r="X39" s="16">
        <f>'Moray Firth'!M14</f>
        <v>2.8329019269485192E-2</v>
      </c>
      <c r="Y39" s="16">
        <f>Kriegers!M14</f>
        <v>4.1724537037037039E-2</v>
      </c>
      <c r="Z39" s="18">
        <f>'East Anglia One'!M14</f>
        <v>2.838468720821662E-2</v>
      </c>
      <c r="AA39" s="16">
        <f>'Horns Rev'!Q14</f>
        <v>2.9642278558605895E-2</v>
      </c>
      <c r="AB39" s="16">
        <f>Seagreen!Q14</f>
        <v>2.6346153846153849E-2</v>
      </c>
      <c r="AC39" s="16">
        <f>Gemini!Q14</f>
        <v>3.4388888888888892E-2</v>
      </c>
      <c r="AD39" s="16">
        <f>Hollandse_Noord!Q14</f>
        <v>3.1357048748353093E-2</v>
      </c>
      <c r="AE39" s="16">
        <f>Dieppe!Q14</f>
        <v>3.4139784946236561E-2</v>
      </c>
      <c r="AF39" s="16">
        <f>'Moray Firth'!Q14</f>
        <v>2.6459591601955709E-2</v>
      </c>
      <c r="AG39" s="16">
        <f>Kriegers!Q14</f>
        <v>3.9120370370370375E-2</v>
      </c>
      <c r="AH39" s="18">
        <f>'East Anglia One'!Q14</f>
        <v>2.7077497665732957E-2</v>
      </c>
      <c r="AI39" s="16">
        <f>'Horns Rev'!U14</f>
        <v>2.7978457900958889E-2</v>
      </c>
      <c r="AJ39" s="16">
        <f>Seagreen!U14</f>
        <v>2.5448717948717947E-2</v>
      </c>
      <c r="AK39" s="16">
        <f>Gemini!U14</f>
        <v>3.4555555555555555E-2</v>
      </c>
      <c r="AL39" s="16">
        <f>Hollandse_Noord!U14</f>
        <v>3.2938076416337281E-2</v>
      </c>
      <c r="AM39" s="16">
        <f>Dieppe!U14</f>
        <v>3.1586021505376344E-2</v>
      </c>
      <c r="AN39" s="16">
        <f>'Moray Firth'!U14</f>
        <v>2.7408685648547596E-2</v>
      </c>
      <c r="AO39" s="16">
        <f>Kriegers!U14</f>
        <v>3.8831018518518522E-2</v>
      </c>
      <c r="AP39" s="18">
        <f>'East Anglia One'!U14</f>
        <v>2.8011204481792718E-2</v>
      </c>
    </row>
    <row r="40" spans="2:42" ht="15.75" customHeight="1" x14ac:dyDescent="0.2">
      <c r="B40" s="5">
        <v>6</v>
      </c>
      <c r="C40" s="16">
        <f>'Horns Rev'!E15</f>
        <v>4.7462673497088319E-2</v>
      </c>
      <c r="D40" s="16">
        <f>Seagreen!E15</f>
        <v>3.6730769230769227E-2</v>
      </c>
      <c r="E40" s="16">
        <f>Gemini!E15</f>
        <v>6.6611111111111107E-2</v>
      </c>
      <c r="F40" s="16">
        <f>Hollandse_Noord!E15</f>
        <v>4.7738252086078174E-2</v>
      </c>
      <c r="G40" s="16">
        <f>Dieppe!E15</f>
        <v>4.6572580645161288E-2</v>
      </c>
      <c r="H40" s="16">
        <f>'Moray Firth'!E15</f>
        <v>4.3341961461029622E-2</v>
      </c>
      <c r="I40" s="16">
        <f>Kriegers!E15</f>
        <v>5.3703703703703698E-2</v>
      </c>
      <c r="J40" s="18">
        <f>'East Anglia One'!E15</f>
        <v>4.1736694677871146E-2</v>
      </c>
      <c r="K40" s="16">
        <f>'Horns Rev'!I15</f>
        <v>3.3845614956872022E-2</v>
      </c>
      <c r="L40" s="16">
        <f>Seagreen!I15</f>
        <v>3.3012820512820513E-2</v>
      </c>
      <c r="M40" s="16">
        <f>Gemini!I15</f>
        <v>4.1722222222222223E-2</v>
      </c>
      <c r="N40" s="16">
        <f>Hollandse_Noord!I15</f>
        <v>3.9218269653052258E-2</v>
      </c>
      <c r="O40" s="16">
        <f>Dieppe!I15</f>
        <v>3.9583333333333331E-2</v>
      </c>
      <c r="P40" s="16">
        <f>'Moray Firth'!I15</f>
        <v>3.4570031636468219E-2</v>
      </c>
      <c r="Q40" s="16">
        <f>Kriegers!I15</f>
        <v>3.9583333333333331E-2</v>
      </c>
      <c r="R40" s="18">
        <f>'East Anglia One'!I15</f>
        <v>3.2586367880485523E-2</v>
      </c>
      <c r="S40" s="16">
        <f>'Horns Rev'!M15</f>
        <v>2.9642278558605892E-2</v>
      </c>
      <c r="T40" s="16">
        <f>Seagreen!M15</f>
        <v>3.2852564102564104E-2</v>
      </c>
      <c r="U40" s="16">
        <f>Gemini!M15</f>
        <v>3.6111111111111115E-2</v>
      </c>
      <c r="V40" s="16">
        <f>Hollandse_Noord!M15</f>
        <v>3.5221783047870006E-2</v>
      </c>
      <c r="W40" s="16">
        <f>Dieppe!M15</f>
        <v>3.837365591397849E-2</v>
      </c>
      <c r="X40" s="16">
        <f>'Moray Firth'!M15</f>
        <v>3.3247052056370435E-2</v>
      </c>
      <c r="Y40" s="16">
        <f>Kriegers!M15</f>
        <v>3.7905092592592594E-2</v>
      </c>
      <c r="Z40" s="18">
        <f>'East Anglia One'!M15</f>
        <v>3.1325863678804855E-2</v>
      </c>
      <c r="AA40" s="16">
        <f>'Horns Rev'!Q15</f>
        <v>2.9773632821051711E-2</v>
      </c>
      <c r="AB40" s="16">
        <f>Seagreen!Q15</f>
        <v>3.2019230769230772E-2</v>
      </c>
      <c r="AC40" s="16">
        <f>Gemini!Q15</f>
        <v>3.4055555555555554E-2</v>
      </c>
      <c r="AD40" s="16">
        <f>Hollandse_Noord!Q15</f>
        <v>3.5573122529644265E-2</v>
      </c>
      <c r="AE40" s="16">
        <f>Dieppe!Q15</f>
        <v>3.5618279569892469E-2</v>
      </c>
      <c r="AF40" s="16">
        <f>'Moray Firth'!Q15</f>
        <v>3.0716134598792064E-2</v>
      </c>
      <c r="AG40" s="16">
        <f>Kriegers!Q15</f>
        <v>3.5532407407407408E-2</v>
      </c>
      <c r="AH40" s="18">
        <f>'East Anglia One'!Q15</f>
        <v>3.1185807656395892E-2</v>
      </c>
      <c r="AI40" s="16">
        <f>'Horns Rev'!U15</f>
        <v>2.9423354787862871E-2</v>
      </c>
      <c r="AJ40" s="16">
        <f>Seagreen!U15</f>
        <v>3.0737179487179491E-2</v>
      </c>
      <c r="AK40" s="16">
        <f>Gemini!U15</f>
        <v>3.4666666666666665E-2</v>
      </c>
      <c r="AL40" s="16">
        <f>Hollandse_Noord!U15</f>
        <v>3.610013175230567E-2</v>
      </c>
      <c r="AM40" s="16">
        <f>Dieppe!U15</f>
        <v>3.581989247311828E-2</v>
      </c>
      <c r="AN40" s="16">
        <f>'Moray Firth'!U15</f>
        <v>3.0112165660051773E-2</v>
      </c>
      <c r="AO40" s="16">
        <f>Kriegers!U15</f>
        <v>3.5243055555555555E-2</v>
      </c>
      <c r="AP40" s="18">
        <f>'East Anglia One'!U15</f>
        <v>3.0112044817927171E-2</v>
      </c>
    </row>
    <row r="41" spans="2:42" ht="15.75" customHeight="1" x14ac:dyDescent="0.2">
      <c r="B41" s="5">
        <v>7</v>
      </c>
      <c r="C41" s="16">
        <f>'Horns Rev'!E16</f>
        <v>4.3040413328079168E-2</v>
      </c>
      <c r="D41" s="16">
        <f>Seagreen!E16</f>
        <v>5.673076923076923E-2</v>
      </c>
      <c r="E41" s="16">
        <f>Gemini!E16</f>
        <v>4.4222222222222218E-2</v>
      </c>
      <c r="F41" s="16">
        <f>Hollandse_Noord!E16</f>
        <v>6.0122968818620996E-2</v>
      </c>
      <c r="G41" s="16">
        <f>Dieppe!E16</f>
        <v>5.7325268817204296E-2</v>
      </c>
      <c r="H41" s="16">
        <f>'Moray Firth'!E16</f>
        <v>0.11532930687374172</v>
      </c>
      <c r="I41" s="16">
        <f>Kriegers!E16</f>
        <v>3.7673611111111109E-2</v>
      </c>
      <c r="J41" s="18">
        <f>'East Anglia One'!E16</f>
        <v>4.7899159663865543E-2</v>
      </c>
      <c r="K41" s="16">
        <f>'Horns Rev'!I16</f>
        <v>3.0605543149875219E-2</v>
      </c>
      <c r="L41" s="16">
        <f>Seagreen!I16</f>
        <v>5.3717948717948716E-2</v>
      </c>
      <c r="M41" s="16">
        <f>Gemini!I16</f>
        <v>2.672222222222222E-2</v>
      </c>
      <c r="N41" s="16">
        <f>Hollandse_Noord!I16</f>
        <v>3.6407553798858149E-2</v>
      </c>
      <c r="O41" s="16">
        <f>Dieppe!I16</f>
        <v>4.6034946236559147E-2</v>
      </c>
      <c r="P41" s="16">
        <f>'Moray Firth'!I16</f>
        <v>3.922922059246476E-2</v>
      </c>
      <c r="Q41" s="16">
        <f>Kriegers!I16</f>
        <v>3.2754629629629634E-2</v>
      </c>
      <c r="R41" s="18">
        <f>'East Anglia One'!I16</f>
        <v>3.5480859010270774E-2</v>
      </c>
      <c r="S41" s="16">
        <f>'Horns Rev'!M16</f>
        <v>2.9116861508822631E-2</v>
      </c>
      <c r="T41" s="16">
        <f>Seagreen!M16</f>
        <v>4.2371794871794877E-2</v>
      </c>
      <c r="U41" s="16">
        <f>Gemini!M16</f>
        <v>2.7222222222222221E-2</v>
      </c>
      <c r="V41" s="16">
        <f>Hollandse_Noord!M16</f>
        <v>3.5617039964866051E-2</v>
      </c>
      <c r="W41" s="16">
        <f>Dieppe!M16</f>
        <v>3.7365591397849458E-2</v>
      </c>
      <c r="X41" s="16">
        <f>'Moray Firth'!M16</f>
        <v>3.8136324417601376E-2</v>
      </c>
      <c r="Y41" s="16">
        <f>Kriegers!M16</f>
        <v>3.142361111111111E-2</v>
      </c>
      <c r="Z41" s="18">
        <f>'East Anglia One'!M16</f>
        <v>3.3099906629318394E-2</v>
      </c>
      <c r="AA41" s="16">
        <f>'Horns Rev'!Q16</f>
        <v>2.6927623801392356E-2</v>
      </c>
      <c r="AB41" s="16">
        <f>Seagreen!Q16</f>
        <v>3.2499999999999994E-2</v>
      </c>
      <c r="AC41" s="16">
        <f>Gemini!Q16</f>
        <v>2.5499999999999998E-2</v>
      </c>
      <c r="AD41" s="16">
        <f>Hollandse_Noord!Q16</f>
        <v>3.7198067632850246E-2</v>
      </c>
      <c r="AE41" s="16">
        <f>Dieppe!Q16</f>
        <v>3.5282258064516132E-2</v>
      </c>
      <c r="AF41" s="16">
        <f>'Moray Firth'!Q16</f>
        <v>3.4224906528616629E-2</v>
      </c>
      <c r="AG41" s="16">
        <f>Kriegers!Q16</f>
        <v>3.0150462962962962E-2</v>
      </c>
      <c r="AH41" s="18">
        <f>'East Anglia One'!Q16</f>
        <v>3.3333333333333333E-2</v>
      </c>
      <c r="AI41" s="16">
        <f>'Horns Rev'!U16</f>
        <v>2.6533561014054907E-2</v>
      </c>
      <c r="AJ41" s="16">
        <f>Seagreen!U16</f>
        <v>3.1826923076923079E-2</v>
      </c>
      <c r="AK41" s="16">
        <f>Gemini!U16</f>
        <v>2.4777777777777777E-2</v>
      </c>
      <c r="AL41" s="16">
        <f>Hollandse_Noord!U16</f>
        <v>3.4431269213877909E-2</v>
      </c>
      <c r="AM41" s="16">
        <f>Dieppe!U16</f>
        <v>3.4475806451612905E-2</v>
      </c>
      <c r="AN41" s="16">
        <f>'Moray Firth'!U16</f>
        <v>3.3333333333333333E-2</v>
      </c>
      <c r="AO41" s="16">
        <f>Kriegers!U16</f>
        <v>2.9513888888888892E-2</v>
      </c>
      <c r="AP41" s="18">
        <f>'East Anglia One'!U16</f>
        <v>3.5294117647058823E-2</v>
      </c>
    </row>
    <row r="42" spans="2:42" ht="15.75" customHeight="1" x14ac:dyDescent="0.2">
      <c r="B42" s="1"/>
      <c r="C42" s="1"/>
      <c r="D42" s="1"/>
      <c r="E42" s="1"/>
      <c r="F42" s="1"/>
      <c r="G42" s="1"/>
      <c r="H42" s="1"/>
      <c r="I42" s="1"/>
      <c r="J42" s="5"/>
      <c r="K42" s="17"/>
      <c r="L42" s="1"/>
      <c r="M42" s="1"/>
      <c r="N42" s="1"/>
      <c r="O42" s="1"/>
      <c r="P42" s="1"/>
      <c r="Q42" s="1"/>
      <c r="R42" s="5"/>
      <c r="S42" s="17"/>
      <c r="T42" s="1"/>
      <c r="U42" s="1"/>
      <c r="V42" s="1"/>
      <c r="W42" s="1"/>
      <c r="X42" s="1"/>
      <c r="Y42" s="1"/>
      <c r="Z42" s="5"/>
      <c r="AA42" s="17"/>
      <c r="AB42" s="1"/>
      <c r="AC42" s="1"/>
      <c r="AD42" s="1"/>
      <c r="AE42" s="1"/>
      <c r="AF42" s="1"/>
      <c r="AG42" s="1"/>
      <c r="AH42" s="5"/>
      <c r="AI42" s="17"/>
      <c r="AJ42" s="1"/>
      <c r="AK42" s="1"/>
      <c r="AL42" s="1"/>
      <c r="AM42" s="1"/>
      <c r="AN42" s="1"/>
      <c r="AO42" s="1"/>
      <c r="AP42" s="5"/>
    </row>
    <row r="43" spans="2:42" ht="15.75" customHeight="1" x14ac:dyDescent="0.2">
      <c r="B43" s="1" t="s">
        <v>20</v>
      </c>
      <c r="C43" s="20">
        <f>'Horns Rev'!E18</f>
        <v>4.2554815746490414E-2</v>
      </c>
      <c r="D43" s="20">
        <f>Seagreen!E18</f>
        <v>4.1752494776104827E-2</v>
      </c>
      <c r="E43" s="20">
        <f>Gemini!E18</f>
        <v>4.292267124158089E-2</v>
      </c>
      <c r="F43" s="20">
        <f>Hollandse_Noord!E18</f>
        <v>4.3711516824560308E-2</v>
      </c>
      <c r="G43" s="20">
        <f>Dieppe!E18</f>
        <v>4.7308987257286522E-2</v>
      </c>
      <c r="H43" s="20">
        <f>'Moray Firth'!E18</f>
        <v>4.3683421562330842E-2</v>
      </c>
      <c r="I43" s="20">
        <f>Kriegers!E18</f>
        <v>4.4963801267947301E-2</v>
      </c>
      <c r="J43" s="21">
        <f>'East Anglia One'!E18</f>
        <v>4.0066827390771054E-2</v>
      </c>
      <c r="K43" s="19">
        <f>'Horns Rev'!I18</f>
        <v>3.3621218091860409E-2</v>
      </c>
      <c r="L43" s="20">
        <f>Seagreen!I18</f>
        <v>3.525746764660647E-2</v>
      </c>
      <c r="M43" s="20">
        <f>Gemini!I18</f>
        <v>3.3057389937106919E-2</v>
      </c>
      <c r="N43" s="20">
        <f>Hollandse_Noord!I18</f>
        <v>3.6093242004645497E-2</v>
      </c>
      <c r="O43" s="20">
        <f>Dieppe!I18</f>
        <v>3.8232077701301936E-2</v>
      </c>
      <c r="P43" s="20">
        <f>'Moray Firth'!I18</f>
        <v>3.4118529984286688E-2</v>
      </c>
      <c r="Q43" s="20">
        <f>Kriegers!I18</f>
        <v>3.7708397799041539E-2</v>
      </c>
      <c r="R43" s="21">
        <f>'East Anglia One'!I18</f>
        <v>3.3570559632959351E-2</v>
      </c>
      <c r="S43" s="20">
        <f>'Horns Rev'!M18</f>
        <v>3.092917331899318E-2</v>
      </c>
      <c r="T43" s="20">
        <f>Seagreen!M18</f>
        <v>3.2472877269645144E-2</v>
      </c>
      <c r="U43" s="20">
        <f>Gemini!M18</f>
        <v>3.0962173202614379E-2</v>
      </c>
      <c r="V43" s="20">
        <f>Hollandse_Noord!M18</f>
        <v>3.4336207968197065E-2</v>
      </c>
      <c r="W43" s="20">
        <f>Dieppe!M18</f>
        <v>3.5583426800627677E-2</v>
      </c>
      <c r="X43" s="20">
        <f>'Moray Firth'!M18</f>
        <v>3.2331739873163561E-2</v>
      </c>
      <c r="Y43" s="20">
        <f>Kriegers!M18</f>
        <v>3.5493496526644179E-2</v>
      </c>
      <c r="Z43" s="21">
        <f>'East Anglia One'!M18</f>
        <v>3.1586917684352254E-2</v>
      </c>
      <c r="AA43" s="19">
        <f>'Horns Rev'!Q18</f>
        <v>3.0373274025984155E-2</v>
      </c>
      <c r="AB43" s="20">
        <f>Seagreen!Q18</f>
        <v>3.1677594488131323E-2</v>
      </c>
      <c r="AC43" s="20">
        <f>Gemini!Q18</f>
        <v>3.059697604980624E-2</v>
      </c>
      <c r="AD43" s="20">
        <f>Hollandse_Noord!Q18</f>
        <v>3.4169822448083316E-2</v>
      </c>
      <c r="AE43" s="20">
        <f>Dieppe!Q18</f>
        <v>3.3944927015591701E-2</v>
      </c>
      <c r="AF43" s="20">
        <f>'Moray Firth'!Q18</f>
        <v>3.1359180202823522E-2</v>
      </c>
      <c r="AG43" s="20">
        <f>Kriegers!Q18</f>
        <v>3.483482322270872E-2</v>
      </c>
      <c r="AH43" s="21">
        <f>'East Anglia One'!Q18</f>
        <v>3.1302534339454423E-2</v>
      </c>
      <c r="AI43" s="20">
        <f>'Horns Rev'!U18</f>
        <v>2.9988807897090231E-2</v>
      </c>
      <c r="AJ43" s="20">
        <f>Seagreen!U18</f>
        <v>3.1304656332929122E-2</v>
      </c>
      <c r="AK43" s="20">
        <f>Gemini!U18</f>
        <v>2.9771943872492945E-2</v>
      </c>
      <c r="AL43" s="20">
        <f>Hollandse_Noord!U18</f>
        <v>3.5048342312611412E-2</v>
      </c>
      <c r="AM43" s="20">
        <f>Dieppe!U18</f>
        <v>3.4023248358354158E-2</v>
      </c>
      <c r="AN43" s="20">
        <f>'Moray Firth'!U18</f>
        <v>3.1334641774676285E-2</v>
      </c>
      <c r="AO43" s="20">
        <f>Kriegers!U18</f>
        <v>3.4832965247632831E-2</v>
      </c>
      <c r="AP43" s="21">
        <f>'East Anglia One'!U18</f>
        <v>3.1322759522052643E-2</v>
      </c>
    </row>
    <row r="44" spans="2:42" ht="15.75" customHeight="1" x14ac:dyDescent="0.2"/>
    <row r="45" spans="2:42" ht="15.75" customHeight="1" x14ac:dyDescent="0.2"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</row>
    <row r="46" spans="2:42" ht="15.75" customHeight="1" x14ac:dyDescent="0.2"/>
    <row r="47" spans="2:42" ht="15.75" customHeight="1" x14ac:dyDescent="0.2"/>
    <row r="48" spans="2:42" ht="15.75" customHeight="1" x14ac:dyDescent="0.2">
      <c r="C48" s="134">
        <v>0.1</v>
      </c>
      <c r="D48" s="133"/>
      <c r="E48" s="133"/>
      <c r="F48" s="133"/>
      <c r="G48" s="133"/>
      <c r="H48" s="133"/>
      <c r="I48" s="133"/>
      <c r="J48" s="135"/>
      <c r="K48" s="136">
        <v>0.2</v>
      </c>
      <c r="L48" s="133"/>
      <c r="M48" s="133"/>
      <c r="N48" s="133"/>
      <c r="O48" s="133"/>
      <c r="P48" s="133"/>
      <c r="Q48" s="133"/>
      <c r="R48" s="135"/>
      <c r="S48" s="136">
        <v>0.3</v>
      </c>
      <c r="T48" s="133"/>
      <c r="U48" s="133"/>
      <c r="V48" s="133"/>
      <c r="W48" s="133"/>
      <c r="X48" s="133"/>
      <c r="Y48" s="133"/>
      <c r="Z48" s="135"/>
      <c r="AA48" s="136">
        <v>0.4</v>
      </c>
      <c r="AB48" s="133"/>
      <c r="AC48" s="133"/>
      <c r="AD48" s="133"/>
      <c r="AE48" s="133"/>
      <c r="AF48" s="133"/>
      <c r="AG48" s="133"/>
      <c r="AH48" s="135"/>
      <c r="AI48" s="136">
        <v>0.5</v>
      </c>
      <c r="AJ48" s="133"/>
      <c r="AK48" s="133"/>
      <c r="AL48" s="133"/>
      <c r="AM48" s="133"/>
      <c r="AN48" s="133"/>
      <c r="AO48" s="133"/>
      <c r="AP48" s="135"/>
    </row>
    <row r="49" spans="2:42" ht="15.75" customHeight="1" thickBot="1" x14ac:dyDescent="0.25">
      <c r="B49" s="15" t="s">
        <v>8</v>
      </c>
      <c r="C49" s="13" t="s">
        <v>12</v>
      </c>
      <c r="D49" s="13" t="s">
        <v>13</v>
      </c>
      <c r="E49" s="13" t="s">
        <v>14</v>
      </c>
      <c r="F49" s="13" t="s">
        <v>15</v>
      </c>
      <c r="G49" s="13" t="s">
        <v>16</v>
      </c>
      <c r="H49" s="13" t="s">
        <v>17</v>
      </c>
      <c r="I49" s="13" t="s">
        <v>18</v>
      </c>
      <c r="J49" s="15" t="s">
        <v>19</v>
      </c>
      <c r="K49" s="13" t="s">
        <v>12</v>
      </c>
      <c r="L49" s="13" t="s">
        <v>13</v>
      </c>
      <c r="M49" s="13" t="s">
        <v>14</v>
      </c>
      <c r="N49" s="13" t="s">
        <v>15</v>
      </c>
      <c r="O49" s="13" t="s">
        <v>16</v>
      </c>
      <c r="P49" s="13" t="s">
        <v>17</v>
      </c>
      <c r="Q49" s="13" t="s">
        <v>18</v>
      </c>
      <c r="R49" s="15" t="s">
        <v>19</v>
      </c>
      <c r="S49" s="13" t="s">
        <v>12</v>
      </c>
      <c r="T49" s="13" t="s">
        <v>13</v>
      </c>
      <c r="U49" s="13" t="s">
        <v>14</v>
      </c>
      <c r="V49" s="13" t="s">
        <v>15</v>
      </c>
      <c r="W49" s="13" t="s">
        <v>16</v>
      </c>
      <c r="X49" s="13" t="s">
        <v>17</v>
      </c>
      <c r="Y49" s="13" t="s">
        <v>18</v>
      </c>
      <c r="Z49" s="15" t="s">
        <v>19</v>
      </c>
      <c r="AA49" s="13" t="s">
        <v>12</v>
      </c>
      <c r="AB49" s="13" t="s">
        <v>13</v>
      </c>
      <c r="AC49" s="13" t="s">
        <v>14</v>
      </c>
      <c r="AD49" s="13" t="s">
        <v>15</v>
      </c>
      <c r="AE49" s="13" t="s">
        <v>16</v>
      </c>
      <c r="AF49" s="13" t="s">
        <v>17</v>
      </c>
      <c r="AG49" s="13" t="s">
        <v>18</v>
      </c>
      <c r="AH49" s="15" t="s">
        <v>19</v>
      </c>
      <c r="AI49" s="13" t="s">
        <v>12</v>
      </c>
      <c r="AJ49" s="13" t="s">
        <v>13</v>
      </c>
      <c r="AK49" s="13" t="s">
        <v>14</v>
      </c>
      <c r="AL49" s="13" t="s">
        <v>15</v>
      </c>
      <c r="AM49" s="13" t="s">
        <v>16</v>
      </c>
      <c r="AN49" s="13" t="s">
        <v>17</v>
      </c>
      <c r="AO49" s="13" t="s">
        <v>18</v>
      </c>
      <c r="AP49" s="15" t="s">
        <v>19</v>
      </c>
    </row>
    <row r="50" spans="2:42" ht="15.75" customHeight="1" x14ac:dyDescent="0.2">
      <c r="B50" s="5">
        <v>0</v>
      </c>
      <c r="C50" s="16">
        <f>'Horns Rev'!F9</f>
        <v>0.94033333333333324</v>
      </c>
      <c r="D50" s="16">
        <f>Seagreen!F9</f>
        <v>0.96099999999999997</v>
      </c>
      <c r="E50" s="16">
        <f>Gemini!F9</f>
        <v>0.94266666666666665</v>
      </c>
      <c r="F50" s="16">
        <f>Hollandse_Noord!F9</f>
        <v>0.96466666666666667</v>
      </c>
      <c r="G50" s="16">
        <f>Dieppe!F9</f>
        <v>0.96699999999999997</v>
      </c>
      <c r="H50" s="16">
        <f>'Moray Firth'!F9</f>
        <v>0.96166666666666656</v>
      </c>
      <c r="I50" s="16">
        <f>Kriegers!F9</f>
        <v>0.96366666666666667</v>
      </c>
      <c r="J50" s="18">
        <f>'East Anglia One'!F9</f>
        <v>0.97199999999999998</v>
      </c>
      <c r="K50" s="16">
        <f>'Horns Rev'!J9</f>
        <v>0.96699999999999997</v>
      </c>
      <c r="L50" s="16">
        <f>Seagreen!J9</f>
        <v>0.96933333333333327</v>
      </c>
      <c r="M50" s="16">
        <f>Gemini!J9</f>
        <v>0.96499999999999997</v>
      </c>
      <c r="N50" s="16">
        <f>Hollandse_Noord!J9</f>
        <v>0.96899999999999997</v>
      </c>
      <c r="O50" s="16">
        <f>Dieppe!J9</f>
        <v>0.97433333333333338</v>
      </c>
      <c r="P50" s="16">
        <f>'Moray Firth'!J9</f>
        <v>0.96833333333333338</v>
      </c>
      <c r="Q50" s="16">
        <f>Kriegers!J9</f>
        <v>0.96899999999999997</v>
      </c>
      <c r="R50" s="18">
        <f>'East Anglia One'!J9</f>
        <v>0.97566666666666657</v>
      </c>
      <c r="S50" s="16">
        <f>'Horns Rev'!N9</f>
        <v>0.97433333333333338</v>
      </c>
      <c r="T50" s="16">
        <f>Seagreen!N9</f>
        <v>0.97433333333333338</v>
      </c>
      <c r="U50" s="16">
        <f>Gemini!N9</f>
        <v>0.96666666666666667</v>
      </c>
      <c r="V50" s="16">
        <f>Hollandse_Noord!N9</f>
        <v>0.96866666666666668</v>
      </c>
      <c r="W50" s="16">
        <f>Dieppe!N9</f>
        <v>0.97699999999999998</v>
      </c>
      <c r="X50" s="16">
        <f>'Moray Firth'!N9</f>
        <v>0.97166666666666668</v>
      </c>
      <c r="Y50" s="16">
        <f>Kriegers!N9</f>
        <v>0.97099999999999997</v>
      </c>
      <c r="Z50" s="18">
        <f>'East Anglia One'!N9</f>
        <v>0.97533333333333339</v>
      </c>
      <c r="AA50" s="16">
        <f>'Horns Rev'!R9</f>
        <v>0.97499999999999998</v>
      </c>
      <c r="AB50" s="16">
        <f>Seagreen!R9</f>
        <v>0.97066666666666668</v>
      </c>
      <c r="AC50" s="16">
        <f>Gemini!R9</f>
        <v>0.96333333333333326</v>
      </c>
      <c r="AD50" s="16">
        <f>Hollandse_Noord!R9</f>
        <v>0.96899999999999997</v>
      </c>
      <c r="AE50" s="16">
        <f>Dieppe!R9</f>
        <v>0.97699999999999998</v>
      </c>
      <c r="AF50" s="16">
        <f>'Moray Firth'!R9</f>
        <v>0.97233333333333327</v>
      </c>
      <c r="AG50" s="16">
        <f>Kriegers!R9</f>
        <v>0.97033333333333338</v>
      </c>
      <c r="AH50" s="18">
        <f>'East Anglia One'!R9</f>
        <v>0.97733333333333328</v>
      </c>
      <c r="AI50" s="16">
        <f>'Horns Rev'!V9</f>
        <v>0.97533333333333339</v>
      </c>
      <c r="AJ50" s="16">
        <f>Seagreen!V9</f>
        <v>0.97333333333333327</v>
      </c>
      <c r="AK50" s="16">
        <f>Gemini!V9</f>
        <v>0.96599999999999986</v>
      </c>
      <c r="AL50" s="16">
        <f>Hollandse_Noord!V9</f>
        <v>0.96699999999999997</v>
      </c>
      <c r="AM50" s="16">
        <f>Dieppe!V9</f>
        <v>0.97433333333333338</v>
      </c>
      <c r="AN50" s="16">
        <f>'Moray Firth'!V9</f>
        <v>0.97133333333333338</v>
      </c>
      <c r="AO50" s="16">
        <f>Kriegers!V9</f>
        <v>0.96766666666666656</v>
      </c>
      <c r="AP50" s="18">
        <f>'East Anglia One'!V9</f>
        <v>0.97566666666666668</v>
      </c>
    </row>
    <row r="51" spans="2:42" ht="15.75" customHeight="1" x14ac:dyDescent="0.2">
      <c r="B51" s="5">
        <v>1</v>
      </c>
      <c r="C51" s="16">
        <f>'Horns Rev'!F10</f>
        <v>0.95733333333333326</v>
      </c>
      <c r="D51" s="16">
        <f>Seagreen!F10</f>
        <v>0.95800000000000007</v>
      </c>
      <c r="E51" s="16">
        <f>Gemini!F10</f>
        <v>0.95599999999999996</v>
      </c>
      <c r="F51" s="16">
        <f>Hollandse_Noord!F10</f>
        <v>0.95833333333333337</v>
      </c>
      <c r="G51" s="16">
        <f>Dieppe!F10</f>
        <v>0.93433333333333335</v>
      </c>
      <c r="H51" s="16">
        <f>'Moray Firth'!F10</f>
        <v>0.95366666666666677</v>
      </c>
      <c r="I51" s="16">
        <f>Kriegers!F10</f>
        <v>0.96233333333333337</v>
      </c>
      <c r="J51" s="18">
        <f>'East Anglia One'!F10</f>
        <v>0.94333333333333336</v>
      </c>
      <c r="K51" s="16">
        <f>'Horns Rev'!J10</f>
        <v>0.97000000000000008</v>
      </c>
      <c r="L51" s="16">
        <f>Seagreen!J10</f>
        <v>0.96566666666666656</v>
      </c>
      <c r="M51" s="16">
        <f>Gemini!J10</f>
        <v>0.96933333333333327</v>
      </c>
      <c r="N51" s="16">
        <f>Hollandse_Noord!J10</f>
        <v>0.95966666666666667</v>
      </c>
      <c r="O51" s="16">
        <f>Dieppe!J10</f>
        <v>0.94666666666666666</v>
      </c>
      <c r="P51" s="16">
        <f>'Moray Firth'!J10</f>
        <v>0.96366666666666667</v>
      </c>
      <c r="Q51" s="16">
        <f>Kriegers!J10</f>
        <v>0.96399999999999997</v>
      </c>
      <c r="R51" s="18">
        <f>'East Anglia One'!J10</f>
        <v>0.94166666666666654</v>
      </c>
      <c r="S51" s="16">
        <f>'Horns Rev'!N10</f>
        <v>0.97100000000000009</v>
      </c>
      <c r="T51" s="16">
        <f>Seagreen!N10</f>
        <v>0.96766666666666667</v>
      </c>
      <c r="U51" s="16">
        <f>Gemini!N10</f>
        <v>0.96966666666666657</v>
      </c>
      <c r="V51" s="16">
        <f>Hollandse_Noord!N10</f>
        <v>0.95800000000000007</v>
      </c>
      <c r="W51" s="16">
        <f>Dieppe!N10</f>
        <v>0.95099999999999996</v>
      </c>
      <c r="X51" s="16">
        <f>'Moray Firth'!N10</f>
        <v>0.96600000000000008</v>
      </c>
      <c r="Y51" s="16">
        <f>Kriegers!N10</f>
        <v>0.96499999999999997</v>
      </c>
      <c r="Z51" s="18">
        <f>'East Anglia One'!N10</f>
        <v>0.94799999999999995</v>
      </c>
      <c r="AA51" s="16">
        <f>'Horns Rev'!R10</f>
        <v>0.97266666666666668</v>
      </c>
      <c r="AB51" s="16">
        <f>Seagreen!R10</f>
        <v>0.96833333333333327</v>
      </c>
      <c r="AC51" s="16">
        <f>Gemini!R10</f>
        <v>0.97033333333333316</v>
      </c>
      <c r="AD51" s="16">
        <f>Hollandse_Noord!R10</f>
        <v>0.96099999999999997</v>
      </c>
      <c r="AE51" s="16">
        <f>Dieppe!R10</f>
        <v>0.95633333333333326</v>
      </c>
      <c r="AF51" s="16">
        <f>'Moray Firth'!R10</f>
        <v>0.96400000000000008</v>
      </c>
      <c r="AG51" s="16">
        <f>Kriegers!R10</f>
        <v>0.96433333333333326</v>
      </c>
      <c r="AH51" s="18">
        <f>'East Anglia One'!R10</f>
        <v>0.94700000000000006</v>
      </c>
      <c r="AI51" s="16">
        <f>'Horns Rev'!V10</f>
        <v>0.97366666666666657</v>
      </c>
      <c r="AJ51" s="16">
        <f>Seagreen!V10</f>
        <v>0.96866666666666656</v>
      </c>
      <c r="AK51" s="16">
        <f>Gemini!V10</f>
        <v>0.97133333333333327</v>
      </c>
      <c r="AL51" s="16">
        <f>Hollandse_Noord!V10</f>
        <v>0.95733333333333326</v>
      </c>
      <c r="AM51" s="16">
        <f>Dieppe!V10</f>
        <v>0.95299999999999996</v>
      </c>
      <c r="AN51" s="16">
        <f>'Moray Firth'!V10</f>
        <v>0.96666666666666667</v>
      </c>
      <c r="AO51" s="16">
        <f>Kriegers!V10</f>
        <v>0.96466666666666667</v>
      </c>
      <c r="AP51" s="18">
        <f>'East Anglia One'!V10</f>
        <v>0.96</v>
      </c>
    </row>
    <row r="52" spans="2:42" ht="15.75" customHeight="1" x14ac:dyDescent="0.2">
      <c r="B52" s="5">
        <v>2</v>
      </c>
      <c r="C52" s="16">
        <f>'Horns Rev'!F11</f>
        <v>0.874</v>
      </c>
      <c r="D52" s="16">
        <f>Seagreen!F11</f>
        <v>0.91366666666666674</v>
      </c>
      <c r="E52" s="16">
        <f>Gemini!F11</f>
        <v>0.7413333333333334</v>
      </c>
      <c r="F52" s="16">
        <f>Hollandse_Noord!F11</f>
        <v>0.85833333333333339</v>
      </c>
      <c r="G52" s="16">
        <f>Dieppe!F11</f>
        <v>0.79766666666666663</v>
      </c>
      <c r="H52" s="16">
        <f>'Moray Firth'!F11</f>
        <v>0.91766666666666674</v>
      </c>
      <c r="I52" s="16">
        <f>Kriegers!F11</f>
        <v>0.78833333333333344</v>
      </c>
      <c r="J52" s="18">
        <f>'East Anglia One'!F11</f>
        <v>0.87733333333333341</v>
      </c>
      <c r="K52" s="16">
        <f>'Horns Rev'!J11</f>
        <v>0.91600000000000004</v>
      </c>
      <c r="L52" s="16">
        <f>Seagreen!J11</f>
        <v>0.91733333333333322</v>
      </c>
      <c r="M52" s="16">
        <f>Gemini!J11</f>
        <v>0.84</v>
      </c>
      <c r="N52" s="16">
        <f>Hollandse_Noord!J11</f>
        <v>0.88300000000000001</v>
      </c>
      <c r="O52" s="16">
        <f>Dieppe!J11</f>
        <v>0.85199999999999998</v>
      </c>
      <c r="P52" s="16">
        <f>'Moray Firth'!J11</f>
        <v>0.93800000000000006</v>
      </c>
      <c r="Q52" s="16">
        <f>Kriegers!J11</f>
        <v>0.88166666666666671</v>
      </c>
      <c r="R52" s="18">
        <f>'East Anglia One'!J11</f>
        <v>0.92366666666666664</v>
      </c>
      <c r="S52" s="16">
        <f>'Horns Rev'!N11</f>
        <v>0.93066666666666675</v>
      </c>
      <c r="T52" s="16">
        <f>Seagreen!N11</f>
        <v>0.93266666666666664</v>
      </c>
      <c r="U52" s="16">
        <f>Gemini!N11</f>
        <v>0.83700000000000008</v>
      </c>
      <c r="V52" s="16">
        <f>Hollandse_Noord!N11</f>
        <v>0.89566666666666661</v>
      </c>
      <c r="W52" s="16">
        <f>Dieppe!N11</f>
        <v>0.88533333333333342</v>
      </c>
      <c r="X52" s="16">
        <f>'Moray Firth'!N11</f>
        <v>0.93699999999999994</v>
      </c>
      <c r="Y52" s="16">
        <f>Kriegers!N11</f>
        <v>0.88800000000000001</v>
      </c>
      <c r="Z52" s="18">
        <f>'East Anglia One'!N11</f>
        <v>0.93433333333333335</v>
      </c>
      <c r="AA52" s="16">
        <f>'Horns Rev'!R11</f>
        <v>0.93800000000000006</v>
      </c>
      <c r="AB52" s="16">
        <f>Seagreen!R11</f>
        <v>0.93666666666666665</v>
      </c>
      <c r="AC52" s="16">
        <f>Gemini!R11</f>
        <v>0.84233333333333338</v>
      </c>
      <c r="AD52" s="16">
        <f>Hollandse_Noord!R11</f>
        <v>0.90566666666666673</v>
      </c>
      <c r="AE52" s="16">
        <f>Dieppe!R11</f>
        <v>0.90533333333333321</v>
      </c>
      <c r="AF52" s="16">
        <f>'Moray Firth'!R11</f>
        <v>0.94233333333333336</v>
      </c>
      <c r="AG52" s="16">
        <f>Kriegers!R11</f>
        <v>0.90266666666666673</v>
      </c>
      <c r="AH52" s="18">
        <f>'East Anglia One'!R11</f>
        <v>0.93633333333333335</v>
      </c>
      <c r="AI52" s="16">
        <f>'Horns Rev'!V11</f>
        <v>0.94166666666666676</v>
      </c>
      <c r="AJ52" s="16">
        <f>Seagreen!V11</f>
        <v>0.93200000000000005</v>
      </c>
      <c r="AK52" s="16">
        <f>Gemini!V11</f>
        <v>0.84799999999999998</v>
      </c>
      <c r="AL52" s="16">
        <f>Hollandse_Noord!V11</f>
        <v>0.89500000000000002</v>
      </c>
      <c r="AM52" s="16">
        <f>Dieppe!V11</f>
        <v>0.89999999999999991</v>
      </c>
      <c r="AN52" s="16">
        <f>'Moray Firth'!V11</f>
        <v>0.94233333333333336</v>
      </c>
      <c r="AO52" s="16">
        <f>Kriegers!V11</f>
        <v>0.91033333333333333</v>
      </c>
      <c r="AP52" s="18">
        <f>'East Anglia One'!V11</f>
        <v>0.93699999999999994</v>
      </c>
    </row>
    <row r="53" spans="2:42" ht="15.75" customHeight="1" x14ac:dyDescent="0.2">
      <c r="B53" s="5">
        <v>3</v>
      </c>
      <c r="C53" s="16">
        <f>'Horns Rev'!F12</f>
        <v>0.97133333333333327</v>
      </c>
      <c r="D53" s="16">
        <f>Seagreen!F12</f>
        <v>0.96200000000000008</v>
      </c>
      <c r="E53" s="16">
        <f>Gemini!F12</f>
        <v>0.96366666666666667</v>
      </c>
      <c r="F53" s="16">
        <f>Hollandse_Noord!F12</f>
        <v>0.95233333333333337</v>
      </c>
      <c r="G53" s="16">
        <f>Dieppe!F12</f>
        <v>0.95199999999999996</v>
      </c>
      <c r="H53" s="16">
        <f>'Moray Firth'!F12</f>
        <v>0.97566666666666668</v>
      </c>
      <c r="I53" s="16">
        <f>Kriegers!F12</f>
        <v>0.95699999999999996</v>
      </c>
      <c r="J53" s="18">
        <f>'East Anglia One'!F12</f>
        <v>0.97199999999999998</v>
      </c>
      <c r="K53" s="16">
        <f>'Horns Rev'!J12</f>
        <v>0.98099999999999998</v>
      </c>
      <c r="L53" s="16">
        <f>Seagreen!J12</f>
        <v>0.97899999999999998</v>
      </c>
      <c r="M53" s="16">
        <f>Gemini!J12</f>
        <v>0.97499999999999998</v>
      </c>
      <c r="N53" s="16">
        <f>Hollandse_Noord!J12</f>
        <v>0.97333333333333327</v>
      </c>
      <c r="O53" s="16">
        <f>Dieppe!J12</f>
        <v>0.96533333333333327</v>
      </c>
      <c r="P53" s="16">
        <f>'Moray Firth'!J12</f>
        <v>0.97899999999999998</v>
      </c>
      <c r="Q53" s="16">
        <f>Kriegers!J12</f>
        <v>0.95833333333333337</v>
      </c>
      <c r="R53" s="18">
        <f>'East Anglia One'!J12</f>
        <v>0.97699999999999998</v>
      </c>
      <c r="S53" s="16">
        <f>'Horns Rev'!N12</f>
        <v>0.9816666666666668</v>
      </c>
      <c r="T53" s="16">
        <f>Seagreen!N12</f>
        <v>0.98133333333333328</v>
      </c>
      <c r="U53" s="16">
        <f>Gemini!N12</f>
        <v>0.97866666666666668</v>
      </c>
      <c r="V53" s="16">
        <f>Hollandse_Noord!N12</f>
        <v>0.97633333333333328</v>
      </c>
      <c r="W53" s="16">
        <f>Dieppe!N12</f>
        <v>0.97066666666666668</v>
      </c>
      <c r="X53" s="16">
        <f>'Moray Firth'!N12</f>
        <v>0.98</v>
      </c>
      <c r="Y53" s="16">
        <f>Kriegers!N12</f>
        <v>0.96833333333333327</v>
      </c>
      <c r="Z53" s="18">
        <f>'East Anglia One'!N12</f>
        <v>0.98133333333333328</v>
      </c>
      <c r="AA53" s="16">
        <f>'Horns Rev'!R12</f>
        <v>0.98266666666666669</v>
      </c>
      <c r="AB53" s="16">
        <f>Seagreen!R12</f>
        <v>0.98133333333333328</v>
      </c>
      <c r="AC53" s="16">
        <f>Gemini!R12</f>
        <v>0.97899999999999998</v>
      </c>
      <c r="AD53" s="16">
        <f>Hollandse_Noord!R12</f>
        <v>0.97633333333333328</v>
      </c>
      <c r="AE53" s="16">
        <f>Dieppe!R12</f>
        <v>0.97199999999999998</v>
      </c>
      <c r="AF53" s="16">
        <f>'Moray Firth'!R12</f>
        <v>0.98299999999999998</v>
      </c>
      <c r="AG53" s="16">
        <f>Kriegers!R12</f>
        <v>0.96699999999999997</v>
      </c>
      <c r="AH53" s="18">
        <f>'East Anglia One'!R12</f>
        <v>0.98199999999999987</v>
      </c>
      <c r="AI53" s="16">
        <f>'Horns Rev'!V12</f>
        <v>0.98433333333333328</v>
      </c>
      <c r="AJ53" s="16">
        <f>Seagreen!V12</f>
        <v>0.97899999999999998</v>
      </c>
      <c r="AK53" s="16">
        <f>Gemini!V12</f>
        <v>0.98</v>
      </c>
      <c r="AL53" s="16">
        <f>Hollandse_Noord!V12</f>
        <v>0.97166666666666668</v>
      </c>
      <c r="AM53" s="16">
        <f>Dieppe!V12</f>
        <v>0.97433333333333338</v>
      </c>
      <c r="AN53" s="16">
        <f>'Moray Firth'!V12</f>
        <v>0.98299999999999998</v>
      </c>
      <c r="AO53" s="16">
        <f>Kriegers!V12</f>
        <v>0.96499999999999997</v>
      </c>
      <c r="AP53" s="18">
        <f>'East Anglia One'!V12</f>
        <v>0.98233333333333339</v>
      </c>
    </row>
    <row r="54" spans="2:42" ht="15.75" customHeight="1" x14ac:dyDescent="0.2">
      <c r="B54" s="5">
        <v>4</v>
      </c>
      <c r="C54" s="16">
        <f>'Horns Rev'!F13</f>
        <v>0.96299999999999997</v>
      </c>
      <c r="D54" s="16">
        <f>Seagreen!F13</f>
        <v>0.96199999999999986</v>
      </c>
      <c r="E54" s="16">
        <f>Gemini!F13</f>
        <v>0.92133333333333323</v>
      </c>
      <c r="F54" s="16">
        <f>Hollandse_Noord!F13</f>
        <v>0.96233333333333337</v>
      </c>
      <c r="G54" s="16">
        <f>Dieppe!F13</f>
        <v>0.94966666666666655</v>
      </c>
      <c r="H54" s="16">
        <f>'Moray Firth'!F13</f>
        <v>0.97166666666666668</v>
      </c>
      <c r="I54" s="16">
        <f>Kriegers!F13</f>
        <v>0.85566666666666669</v>
      </c>
      <c r="J54" s="18">
        <f>'East Anglia One'!F13</f>
        <v>0.96966666666666657</v>
      </c>
      <c r="K54" s="16">
        <f>'Horns Rev'!J13</f>
        <v>0.97266666666666657</v>
      </c>
      <c r="L54" s="16">
        <f>Seagreen!J13</f>
        <v>0.97833333333333339</v>
      </c>
      <c r="M54" s="16">
        <f>Gemini!J13</f>
        <v>0.94366666666666665</v>
      </c>
      <c r="N54" s="16">
        <f>Hollandse_Noord!J13</f>
        <v>0.97000000000000008</v>
      </c>
      <c r="O54" s="16">
        <f>Dieppe!J13</f>
        <v>0.96099999999999997</v>
      </c>
      <c r="P54" s="16">
        <f>'Moray Firth'!J13</f>
        <v>0.97266666666666668</v>
      </c>
      <c r="Q54" s="16">
        <f>Kriegers!J13</f>
        <v>0.96600000000000008</v>
      </c>
      <c r="R54" s="18">
        <f>'East Anglia One'!J13</f>
        <v>0.97633333333333328</v>
      </c>
      <c r="S54" s="16">
        <f>'Horns Rev'!N13</f>
        <v>0.97499999999999998</v>
      </c>
      <c r="T54" s="16">
        <f>Seagreen!N13</f>
        <v>0.97866666666666668</v>
      </c>
      <c r="U54" s="16">
        <f>Gemini!N13</f>
        <v>0.96233333333333337</v>
      </c>
      <c r="V54" s="16">
        <f>Hollandse_Noord!N13</f>
        <v>0.97266666666666668</v>
      </c>
      <c r="W54" s="16">
        <f>Dieppe!N13</f>
        <v>0.96833333333333327</v>
      </c>
      <c r="X54" s="16">
        <f>'Moray Firth'!N13</f>
        <v>0.98133333333333328</v>
      </c>
      <c r="Y54" s="16">
        <f>Kriegers!N13</f>
        <v>0.96566666666666656</v>
      </c>
      <c r="Z54" s="18">
        <f>'East Anglia One'!N13</f>
        <v>0.97833333333333317</v>
      </c>
      <c r="AA54" s="16">
        <f>'Horns Rev'!R13</f>
        <v>0.97599999999999998</v>
      </c>
      <c r="AB54" s="16">
        <f>Seagreen!R13</f>
        <v>0.98</v>
      </c>
      <c r="AC54" s="16">
        <f>Gemini!R13</f>
        <v>0.96466666666666656</v>
      </c>
      <c r="AD54" s="16">
        <f>Hollandse_Noord!R13</f>
        <v>0.97166666666666668</v>
      </c>
      <c r="AE54" s="16">
        <f>Dieppe!R13</f>
        <v>0.97133333333333327</v>
      </c>
      <c r="AF54" s="16">
        <f>'Moray Firth'!R13</f>
        <v>0.98133333333333328</v>
      </c>
      <c r="AG54" s="16">
        <f>Kriegers!R13</f>
        <v>0.96799999999999997</v>
      </c>
      <c r="AH54" s="18">
        <f>'East Anglia One'!R13</f>
        <v>0.97966666666666669</v>
      </c>
      <c r="AI54" s="16">
        <f>'Horns Rev'!V13</f>
        <v>0.97699999999999998</v>
      </c>
      <c r="AJ54" s="16">
        <f>Seagreen!V13</f>
        <v>0.97800000000000009</v>
      </c>
      <c r="AK54" s="16">
        <f>Gemini!V13</f>
        <v>0.96799999999999997</v>
      </c>
      <c r="AL54" s="16">
        <f>Hollandse_Noord!V13</f>
        <v>0.96933333333333327</v>
      </c>
      <c r="AM54" s="16">
        <f>Dieppe!V13</f>
        <v>0.96866666666666656</v>
      </c>
      <c r="AN54" s="16">
        <f>'Moray Firth'!V13</f>
        <v>0.98099999999999998</v>
      </c>
      <c r="AO54" s="16">
        <f>Kriegers!V13</f>
        <v>0.96833333333333338</v>
      </c>
      <c r="AP54" s="18">
        <f>'East Anglia One'!V13</f>
        <v>0.97833333333333339</v>
      </c>
    </row>
    <row r="55" spans="2:42" ht="15.75" customHeight="1" x14ac:dyDescent="0.2">
      <c r="B55" s="5">
        <v>5</v>
      </c>
      <c r="C55" s="16">
        <f>'Horns Rev'!F14</f>
        <v>0.94</v>
      </c>
      <c r="D55" s="16">
        <f>Seagreen!F14</f>
        <v>0.94566666666666677</v>
      </c>
      <c r="E55" s="16">
        <f>Gemini!F14</f>
        <v>0.92600000000000005</v>
      </c>
      <c r="F55" s="16">
        <f>Hollandse_Noord!F14</f>
        <v>0.95666666666666667</v>
      </c>
      <c r="G55" s="16">
        <f>Dieppe!F14</f>
        <v>0.92666666666666675</v>
      </c>
      <c r="H55" s="16">
        <f>'Moray Firth'!F14</f>
        <v>0.94733333333333325</v>
      </c>
      <c r="I55" s="16">
        <f>Kriegers!F14</f>
        <v>0.90133333333333321</v>
      </c>
      <c r="J55" s="18">
        <f>'East Anglia One'!F14</f>
        <v>0.94100000000000017</v>
      </c>
      <c r="K55" s="16">
        <f>'Horns Rev'!J14</f>
        <v>0.94833333333333325</v>
      </c>
      <c r="L55" s="16">
        <f>Seagreen!J14</f>
        <v>0.96666666666666667</v>
      </c>
      <c r="M55" s="16">
        <f>Gemini!J14</f>
        <v>0.95699999999999985</v>
      </c>
      <c r="N55" s="16">
        <f>Hollandse_Noord!J14</f>
        <v>0.95866666666666667</v>
      </c>
      <c r="O55" s="16">
        <f>Dieppe!J14</f>
        <v>0.96399999999999997</v>
      </c>
      <c r="P55" s="16">
        <f>'Moray Firth'!J14</f>
        <v>0.96099999999999997</v>
      </c>
      <c r="Q55" s="16">
        <f>Kriegers!J14</f>
        <v>0.91933333333333334</v>
      </c>
      <c r="R55" s="18">
        <f>'East Anglia One'!J14</f>
        <v>0.96233333333333337</v>
      </c>
      <c r="S55" s="16">
        <f>'Horns Rev'!N14</f>
        <v>0.96433333333333326</v>
      </c>
      <c r="T55" s="16">
        <f>Seagreen!N14</f>
        <v>0.97399999999999987</v>
      </c>
      <c r="U55" s="16">
        <f>Gemini!N14</f>
        <v>0.96300000000000008</v>
      </c>
      <c r="V55" s="16">
        <f>Hollandse_Noord!N14</f>
        <v>0.96166666666666656</v>
      </c>
      <c r="W55" s="16">
        <f>Dieppe!N14</f>
        <v>0.96566666666666678</v>
      </c>
      <c r="X55" s="16">
        <f>'Moray Firth'!N14</f>
        <v>0.96566666666666678</v>
      </c>
      <c r="Y55" s="16">
        <f>Kriegers!N14</f>
        <v>0.92866666666666664</v>
      </c>
      <c r="Z55" s="18">
        <f>'East Anglia One'!N14</f>
        <v>0.96766666666666667</v>
      </c>
      <c r="AA55" s="16">
        <f>'Horns Rev'!R14</f>
        <v>0.96599999999999986</v>
      </c>
      <c r="AB55" s="16">
        <f>Seagreen!R14</f>
        <v>0.97633333333333328</v>
      </c>
      <c r="AC55" s="16">
        <f>Gemini!R14</f>
        <v>0.96466666666666656</v>
      </c>
      <c r="AD55" s="16">
        <f>Hollandse_Noord!R14</f>
        <v>0.96200000000000008</v>
      </c>
      <c r="AE55" s="16">
        <f>Dieppe!R14</f>
        <v>0.96599999999999986</v>
      </c>
      <c r="AF55" s="16">
        <f>'Moray Firth'!R14</f>
        <v>0.96833333333333338</v>
      </c>
      <c r="AG55" s="16">
        <f>Kriegers!R14</f>
        <v>0.94733333333333336</v>
      </c>
      <c r="AH55" s="18">
        <f>'East Anglia One'!R14</f>
        <v>0.96966666666666657</v>
      </c>
      <c r="AI55" s="16">
        <f>'Horns Rev'!V14</f>
        <v>0.96833333333333327</v>
      </c>
      <c r="AJ55" s="16">
        <f>Seagreen!V14</f>
        <v>0.97566666666666668</v>
      </c>
      <c r="AK55" s="16">
        <f>Gemini!V14</f>
        <v>0.96366666666666667</v>
      </c>
      <c r="AL55" s="16">
        <f>Hollandse_Noord!V14</f>
        <v>0.95633333333333326</v>
      </c>
      <c r="AM55" s="16">
        <f>Dieppe!V14</f>
        <v>0.97133333333333338</v>
      </c>
      <c r="AN55" s="16">
        <f>'Moray Firth'!V14</f>
        <v>0.96699999999999997</v>
      </c>
      <c r="AO55" s="16">
        <f>Kriegers!V14</f>
        <v>0.95066666666666677</v>
      </c>
      <c r="AP55" s="18">
        <f>'East Anglia One'!V14</f>
        <v>0.96833333333333338</v>
      </c>
    </row>
    <row r="56" spans="2:42" ht="15.75" customHeight="1" x14ac:dyDescent="0.2">
      <c r="B56" s="5">
        <v>6</v>
      </c>
      <c r="C56" s="16">
        <f>'Horns Rev'!F15</f>
        <v>0.93033333333333335</v>
      </c>
      <c r="D56" s="16">
        <f>Seagreen!F15</f>
        <v>0.96133333333333326</v>
      </c>
      <c r="E56" s="16">
        <f>Gemini!F15</f>
        <v>0.87300000000000011</v>
      </c>
      <c r="F56" s="16">
        <f>Hollandse_Noord!F15</f>
        <v>0.91133333333333333</v>
      </c>
      <c r="G56" s="16">
        <f>Dieppe!F15</f>
        <v>0.93766666666666676</v>
      </c>
      <c r="H56" s="16">
        <f>'Moray Firth'!F15</f>
        <v>0.92733333333333334</v>
      </c>
      <c r="I56" s="16">
        <f>Kriegers!F15</f>
        <v>0.94199999999999984</v>
      </c>
      <c r="J56" s="18">
        <f>'East Anglia One'!F15</f>
        <v>0.9</v>
      </c>
      <c r="K56" s="16">
        <f>'Horns Rev'!J15</f>
        <v>0.96499999999999997</v>
      </c>
      <c r="L56" s="16">
        <f>Seagreen!J15</f>
        <v>0.96866666666666668</v>
      </c>
      <c r="M56" s="16">
        <f>Gemini!J15</f>
        <v>0.94933333333333325</v>
      </c>
      <c r="N56" s="16">
        <f>Hollandse_Noord!J15</f>
        <v>0.94666666666666666</v>
      </c>
      <c r="O56" s="16">
        <f>Dieppe!J15</f>
        <v>0.95433333333333337</v>
      </c>
      <c r="P56" s="16">
        <f>'Moray Firth'!J15</f>
        <v>0.96033333333333337</v>
      </c>
      <c r="Q56" s="16">
        <f>Kriegers!J15</f>
        <v>0.96466666666666667</v>
      </c>
      <c r="R56" s="18">
        <f>'East Anglia One'!J15</f>
        <v>0.94299999999999995</v>
      </c>
      <c r="S56" s="16">
        <f>'Horns Rev'!N15</f>
        <v>0.97033333333333338</v>
      </c>
      <c r="T56" s="16">
        <f>Seagreen!N15</f>
        <v>0.96733333333333338</v>
      </c>
      <c r="U56" s="16">
        <f>Gemini!N15</f>
        <v>0.95833333333333337</v>
      </c>
      <c r="V56" s="16">
        <f>Hollandse_Noord!N15</f>
        <v>0.95633333333333326</v>
      </c>
      <c r="W56" s="16">
        <f>Dieppe!N15</f>
        <v>0.95866666666666667</v>
      </c>
      <c r="X56" s="16">
        <f>'Moray Firth'!N15</f>
        <v>0.96366666666666667</v>
      </c>
      <c r="Y56" s="16">
        <f>Kriegers!N15</f>
        <v>0.96866666666666656</v>
      </c>
      <c r="Z56" s="18">
        <f>'East Anglia One'!N15</f>
        <v>0.95466666666666666</v>
      </c>
      <c r="AA56" s="16">
        <f>'Horns Rev'!R15</f>
        <v>0.96799999999999997</v>
      </c>
      <c r="AB56" s="16">
        <f>Seagreen!R15</f>
        <v>0.96899999999999997</v>
      </c>
      <c r="AC56" s="16">
        <f>Gemini!R15</f>
        <v>0.96166666666666656</v>
      </c>
      <c r="AD56" s="16">
        <f>Hollandse_Noord!R15</f>
        <v>0.95333333333333325</v>
      </c>
      <c r="AE56" s="16">
        <f>Dieppe!R15</f>
        <v>0.96266666666666667</v>
      </c>
      <c r="AF56" s="16">
        <f>'Moray Firth'!R15</f>
        <v>0.96666666666666667</v>
      </c>
      <c r="AG56" s="16">
        <f>Kriegers!R15</f>
        <v>0.97000000000000008</v>
      </c>
      <c r="AH56" s="18">
        <f>'East Anglia One'!R15</f>
        <v>0.95733333333333326</v>
      </c>
      <c r="AI56" s="16">
        <f>'Horns Rev'!V15</f>
        <v>0.96899999999999997</v>
      </c>
      <c r="AJ56" s="16">
        <f>Seagreen!V15</f>
        <v>0.97000000000000008</v>
      </c>
      <c r="AK56" s="16">
        <f>Gemini!V15</f>
        <v>0.96233333333333337</v>
      </c>
      <c r="AL56" s="16">
        <f>Hollandse_Noord!V15</f>
        <v>0.95266666666666666</v>
      </c>
      <c r="AM56" s="16">
        <f>Dieppe!V15</f>
        <v>0.96366666666666667</v>
      </c>
      <c r="AN56" s="16">
        <f>'Moray Firth'!V15</f>
        <v>0.96899999999999997</v>
      </c>
      <c r="AO56" s="16">
        <f>Kriegers!V15</f>
        <v>0.97066666666666668</v>
      </c>
      <c r="AP56" s="18">
        <f>'East Anglia One'!V15</f>
        <v>0.96</v>
      </c>
    </row>
    <row r="57" spans="2:42" ht="15.75" customHeight="1" x14ac:dyDescent="0.2">
      <c r="B57" s="5">
        <v>7</v>
      </c>
      <c r="C57" s="16">
        <f>'Horns Rev'!F16</f>
        <v>0.92666666666666675</v>
      </c>
      <c r="D57" s="16">
        <f>Seagreen!F16</f>
        <v>0.84766666666666668</v>
      </c>
      <c r="E57" s="16">
        <f>Gemini!F16</f>
        <v>0.82399999999999995</v>
      </c>
      <c r="F57" s="16">
        <f>Hollandse_Noord!F16</f>
        <v>0.89266666666666661</v>
      </c>
      <c r="G57" s="16">
        <f>Dieppe!F16</f>
        <v>0.86733333333333329</v>
      </c>
      <c r="H57" s="16">
        <f>'Moray Firth'!F16</f>
        <v>0.47800000000000004</v>
      </c>
      <c r="I57" s="16">
        <f>Kriegers!F16</f>
        <v>0.90866666666666662</v>
      </c>
      <c r="J57" s="18">
        <f>'East Anglia One'!F16</f>
        <v>0.92966666666666675</v>
      </c>
      <c r="K57" s="16">
        <f>'Horns Rev'!J16</f>
        <v>0.95633333333333326</v>
      </c>
      <c r="L57" s="16">
        <f>Seagreen!J16</f>
        <v>0.91433333333333344</v>
      </c>
      <c r="M57" s="16">
        <f>Gemini!J16</f>
        <v>0.88633333333333331</v>
      </c>
      <c r="N57" s="16">
        <f>Hollandse_Noord!J16</f>
        <v>0.95366666666666655</v>
      </c>
      <c r="O57" s="16">
        <f>Dieppe!J16</f>
        <v>0.90466666666666662</v>
      </c>
      <c r="P57" s="16">
        <f>'Moray Firth'!J16</f>
        <v>0.94533333333333347</v>
      </c>
      <c r="Q57" s="16">
        <f>Kriegers!J16</f>
        <v>0.93400000000000005</v>
      </c>
      <c r="R57" s="18">
        <f>'East Anglia One'!J16</f>
        <v>0.96033333333333326</v>
      </c>
      <c r="S57" s="16">
        <f>'Horns Rev'!N16</f>
        <v>0.95966666666666667</v>
      </c>
      <c r="T57" s="16">
        <f>Seagreen!N16</f>
        <v>0.94399999999999995</v>
      </c>
      <c r="U57" s="16">
        <f>Gemini!N16</f>
        <v>0.89200000000000002</v>
      </c>
      <c r="V57" s="16">
        <f>Hollandse_Noord!N16</f>
        <v>0.95000000000000007</v>
      </c>
      <c r="W57" s="16">
        <f>Dieppe!N16</f>
        <v>0.94000000000000006</v>
      </c>
      <c r="X57" s="16">
        <f>'Moray Firth'!N16</f>
        <v>0.94733333333333336</v>
      </c>
      <c r="Y57" s="16">
        <f>Kriegers!N16</f>
        <v>0.93499999999999994</v>
      </c>
      <c r="Z57" s="18">
        <f>'East Anglia One'!N16</f>
        <v>0.96366666666666667</v>
      </c>
      <c r="AA57" s="16">
        <f>'Horns Rev'!R16</f>
        <v>0.96299999999999997</v>
      </c>
      <c r="AB57" s="16">
        <f>Seagreen!R16</f>
        <v>0.96166666666666656</v>
      </c>
      <c r="AC57" s="16">
        <f>Gemini!R16</f>
        <v>0.90200000000000014</v>
      </c>
      <c r="AD57" s="16">
        <f>Hollandse_Noord!R16</f>
        <v>0.94533333333333325</v>
      </c>
      <c r="AE57" s="16">
        <f>Dieppe!R16</f>
        <v>0.94700000000000006</v>
      </c>
      <c r="AF57" s="16">
        <f>'Moray Firth'!R16</f>
        <v>0.95400000000000007</v>
      </c>
      <c r="AG57" s="16">
        <f>Kriegers!R16</f>
        <v>0.93966666666666665</v>
      </c>
      <c r="AH57" s="18">
        <f>'East Anglia One'!R16</f>
        <v>0.96399999999999997</v>
      </c>
      <c r="AI57" s="16">
        <f>'Horns Rev'!V16</f>
        <v>0.96299999999999997</v>
      </c>
      <c r="AJ57" s="16">
        <f>Seagreen!V16</f>
        <v>0.95966666666666667</v>
      </c>
      <c r="AK57" s="16">
        <f>Gemini!V16</f>
        <v>0.91299999999999992</v>
      </c>
      <c r="AL57" s="16">
        <f>Hollandse_Noord!V16</f>
        <v>0.95266666666666666</v>
      </c>
      <c r="AM57" s="16">
        <f>Dieppe!V16</f>
        <v>0.95033333333333336</v>
      </c>
      <c r="AN57" s="16">
        <f>'Moray Firth'!V16</f>
        <v>0.95699999999999996</v>
      </c>
      <c r="AO57" s="16">
        <f>Kriegers!V16</f>
        <v>0.94133333333333324</v>
      </c>
      <c r="AP57" s="18">
        <f>'East Anglia One'!V16</f>
        <v>0.96066666666666656</v>
      </c>
    </row>
    <row r="58" spans="2:42" ht="15.75" customHeight="1" x14ac:dyDescent="0.2">
      <c r="B58" s="1"/>
      <c r="C58" s="1"/>
      <c r="D58" s="16">
        <f>Seagreen!F17</f>
        <v>0</v>
      </c>
      <c r="E58" s="16">
        <f>Gemini!F17</f>
        <v>0</v>
      </c>
      <c r="F58" s="16">
        <f>Hollandse_Noord!F17</f>
        <v>0</v>
      </c>
      <c r="G58" s="16">
        <f>Dieppe!F17</f>
        <v>0</v>
      </c>
      <c r="H58" s="16">
        <f>'Moray Firth'!F17</f>
        <v>0</v>
      </c>
      <c r="I58" s="16">
        <f>Kriegers!F17</f>
        <v>0</v>
      </c>
      <c r="J58" s="18">
        <f>'East Anglia One'!F17</f>
        <v>0</v>
      </c>
      <c r="K58" s="16">
        <f>'Horns Rev'!J17</f>
        <v>0</v>
      </c>
      <c r="L58" s="16">
        <f>Seagreen!J17</f>
        <v>0</v>
      </c>
      <c r="M58" s="16">
        <f>Gemini!J17</f>
        <v>0</v>
      </c>
      <c r="N58" s="16">
        <f>Hollandse_Noord!J17</f>
        <v>0</v>
      </c>
      <c r="O58" s="16">
        <f>Dieppe!J17</f>
        <v>0</v>
      </c>
      <c r="P58" s="16">
        <f>'Moray Firth'!J17</f>
        <v>0</v>
      </c>
      <c r="Q58" s="16">
        <f>Kriegers!J17</f>
        <v>0</v>
      </c>
      <c r="R58" s="18">
        <f>'East Anglia One'!J17</f>
        <v>0</v>
      </c>
      <c r="S58" s="16">
        <f>'Horns Rev'!N17</f>
        <v>0</v>
      </c>
      <c r="T58" s="16">
        <f>Seagreen!N17</f>
        <v>0</v>
      </c>
      <c r="U58" s="16">
        <f>Gemini!N17</f>
        <v>0</v>
      </c>
      <c r="V58" s="16">
        <f>Hollandse_Noord!N17</f>
        <v>0</v>
      </c>
      <c r="W58" s="16">
        <f>Dieppe!N17</f>
        <v>0</v>
      </c>
      <c r="X58" s="16">
        <f>'Moray Firth'!N17</f>
        <v>0</v>
      </c>
      <c r="Y58" s="16">
        <f>Kriegers!N17</f>
        <v>0</v>
      </c>
      <c r="Z58" s="18">
        <f>'East Anglia One'!N17</f>
        <v>0</v>
      </c>
      <c r="AA58" s="16">
        <f>'Horns Rev'!R17</f>
        <v>0</v>
      </c>
      <c r="AB58" s="16">
        <f>Seagreen!R17</f>
        <v>0</v>
      </c>
      <c r="AC58" s="16">
        <f>Gemini!R17</f>
        <v>0</v>
      </c>
      <c r="AD58" s="16">
        <f>Hollandse_Noord!R17</f>
        <v>0</v>
      </c>
      <c r="AE58" s="16">
        <f>Dieppe!R17</f>
        <v>0</v>
      </c>
      <c r="AF58" s="16">
        <f>'Moray Firth'!R17</f>
        <v>0</v>
      </c>
      <c r="AG58" s="16">
        <f>Kriegers!R17</f>
        <v>0</v>
      </c>
      <c r="AH58" s="18">
        <f>'East Anglia One'!R17</f>
        <v>0</v>
      </c>
      <c r="AI58" s="16">
        <f>'Horns Rev'!V17</f>
        <v>0</v>
      </c>
      <c r="AJ58" s="16">
        <f>Seagreen!V17</f>
        <v>0</v>
      </c>
      <c r="AK58" s="16">
        <f>Gemini!V17</f>
        <v>0</v>
      </c>
      <c r="AL58" s="16">
        <f>Hollandse_Noord!V17</f>
        <v>0</v>
      </c>
      <c r="AM58" s="16">
        <f>Dieppe!V17</f>
        <v>0</v>
      </c>
      <c r="AN58" s="16">
        <f>'Moray Firth'!V17</f>
        <v>0</v>
      </c>
      <c r="AO58" s="16">
        <f>Kriegers!V17</f>
        <v>0</v>
      </c>
      <c r="AP58" s="18">
        <f>'East Anglia One'!V17</f>
        <v>0</v>
      </c>
    </row>
    <row r="59" spans="2:42" ht="15.75" customHeight="1" x14ac:dyDescent="0.2">
      <c r="B59" s="1" t="s">
        <v>20</v>
      </c>
      <c r="C59" s="20">
        <f>'Horns Rev'!F18</f>
        <v>0.94222501268391667</v>
      </c>
      <c r="D59" s="16">
        <f>Seagreen!F18</f>
        <v>0.95000088855039344</v>
      </c>
      <c r="E59" s="16">
        <f>Gemini!F18</f>
        <v>0.90623408311094167</v>
      </c>
      <c r="F59" s="16">
        <f>Hollandse_Noord!F18</f>
        <v>0.94094666666666671</v>
      </c>
      <c r="G59" s="16">
        <f>Dieppe!F18</f>
        <v>0.92801142421934513</v>
      </c>
      <c r="H59" s="16">
        <f>'Moray Firth'!F18</f>
        <v>0.92860002543558451</v>
      </c>
      <c r="I59" s="16">
        <f>Kriegers!F18</f>
        <v>0.92310548362528555</v>
      </c>
      <c r="J59" s="18">
        <f>'East Anglia One'!F18</f>
        <v>0.94747646237787075</v>
      </c>
      <c r="K59" s="16">
        <f>'Horns Rev'!J18</f>
        <v>0.96297460045662098</v>
      </c>
      <c r="L59" s="16">
        <f>Seagreen!J18</f>
        <v>0.96232704941445302</v>
      </c>
      <c r="M59" s="16">
        <f>Gemini!J18</f>
        <v>0.94293682104059462</v>
      </c>
      <c r="N59" s="16">
        <f>Hollandse_Noord!J18</f>
        <v>0.95511830261465935</v>
      </c>
      <c r="O59" s="16">
        <f>Dieppe!J18</f>
        <v>0.9487265067123678</v>
      </c>
      <c r="P59" s="16">
        <f>'Moray Firth'!J18</f>
        <v>0.9659407725321888</v>
      </c>
      <c r="Q59" s="16">
        <f>Kriegers!J18</f>
        <v>0.94858940302770645</v>
      </c>
      <c r="R59" s="18">
        <f>'East Anglia One'!J18</f>
        <v>0.96191949024225842</v>
      </c>
      <c r="S59" s="16">
        <f>'Horns Rev'!N18</f>
        <v>0.9683915525114154</v>
      </c>
      <c r="T59" s="16">
        <f>Seagreen!N18</f>
        <v>0.96814413973228886</v>
      </c>
      <c r="U59" s="16">
        <f>Gemini!N18</f>
        <v>0.94588071895424841</v>
      </c>
      <c r="V59" s="16">
        <f>Hollandse_Noord!N18</f>
        <v>0.95744090760692124</v>
      </c>
      <c r="W59" s="16">
        <f>Dieppe!N18</f>
        <v>0.95718870388507993</v>
      </c>
      <c r="X59" s="16">
        <f>'Moray Firth'!N18</f>
        <v>0.96863740395618769</v>
      </c>
      <c r="Y59" s="16">
        <f>Kriegers!N18</f>
        <v>0.95237822396343452</v>
      </c>
      <c r="Z59" s="18">
        <f>'East Anglia One'!N18</f>
        <v>0.96576244085495178</v>
      </c>
      <c r="AA59" s="16">
        <f>'Horns Rev'!R18</f>
        <v>0.97001027397260275</v>
      </c>
      <c r="AB59" s="16">
        <f>Seagreen!R18</f>
        <v>0.96987035979440328</v>
      </c>
      <c r="AC59" s="16">
        <f>Gemini!R18</f>
        <v>0.94784619782732982</v>
      </c>
      <c r="AD59" s="16">
        <f>Hollandse_Noord!R18</f>
        <v>0.95841828571428567</v>
      </c>
      <c r="AE59" s="16">
        <f>Dieppe!R18</f>
        <v>0.96202588996763738</v>
      </c>
      <c r="AF59" s="16">
        <f>'Moray Firth'!R18</f>
        <v>0.97028222730739888</v>
      </c>
      <c r="AG59" s="16">
        <f>Kriegers!R18</f>
        <v>0.95604092899295645</v>
      </c>
      <c r="AH59" s="18">
        <f>'East Anglia One'!R18</f>
        <v>0.96644679230915675</v>
      </c>
      <c r="AI59" s="16">
        <f>'Horns Rev'!V18</f>
        <v>0.971189497716895</v>
      </c>
      <c r="AJ59" s="16">
        <f>Seagreen!V18</f>
        <v>0.96920082248115147</v>
      </c>
      <c r="AK59" s="16">
        <f>Gemini!V18</f>
        <v>0.95104140928849235</v>
      </c>
      <c r="AL59" s="16">
        <f>Hollandse_Noord!V18</f>
        <v>0.95554206675811615</v>
      </c>
      <c r="AM59" s="16">
        <f>Dieppe!V18</f>
        <v>0.96197989490518621</v>
      </c>
      <c r="AN59" s="16">
        <f>'Moray Firth'!V18</f>
        <v>0.97094436813186802</v>
      </c>
      <c r="AO59" s="16">
        <f>Kriegers!V18</f>
        <v>0.95699177518848533</v>
      </c>
      <c r="AP59" s="18">
        <f>'East Anglia One'!V18</f>
        <v>0.96758563201446446</v>
      </c>
    </row>
    <row r="60" spans="2:42" ht="15.75" customHeight="1" x14ac:dyDescent="0.2">
      <c r="D60" s="16">
        <f>Seagreen!F19</f>
        <v>0</v>
      </c>
      <c r="E60" s="16">
        <f>Gemini!F19</f>
        <v>0</v>
      </c>
      <c r="F60" s="16">
        <f>Hollandse_Noord!F19</f>
        <v>0</v>
      </c>
      <c r="G60" s="16">
        <f>Dieppe!F19</f>
        <v>0</v>
      </c>
      <c r="H60" s="16">
        <f>'Moray Firth'!F19</f>
        <v>0</v>
      </c>
      <c r="I60" s="16">
        <f>Kriegers!F19</f>
        <v>0</v>
      </c>
      <c r="J60" s="18">
        <f>'East Anglia One'!F19</f>
        <v>0</v>
      </c>
      <c r="K60" s="16">
        <f>'Horns Rev'!J19</f>
        <v>0</v>
      </c>
      <c r="L60" s="16">
        <f>Seagreen!J19</f>
        <v>0</v>
      </c>
      <c r="M60" s="16">
        <f>Gemini!J19</f>
        <v>0</v>
      </c>
      <c r="N60" s="16">
        <f>Hollandse_Noord!J19</f>
        <v>0</v>
      </c>
      <c r="O60" s="16">
        <f>Dieppe!J19</f>
        <v>0</v>
      </c>
      <c r="P60" s="16">
        <f>'Moray Firth'!J19</f>
        <v>0</v>
      </c>
      <c r="Q60" s="16">
        <f>Kriegers!J19</f>
        <v>0</v>
      </c>
      <c r="R60" s="18">
        <f>'East Anglia One'!J19</f>
        <v>0</v>
      </c>
      <c r="S60" s="16">
        <f>'Horns Rev'!N19</f>
        <v>0</v>
      </c>
      <c r="T60" s="16">
        <f>Seagreen!N19</f>
        <v>0</v>
      </c>
      <c r="U60" s="16">
        <f>Gemini!N19</f>
        <v>0</v>
      </c>
      <c r="V60" s="16">
        <f>Hollandse_Noord!N19</f>
        <v>0</v>
      </c>
      <c r="W60" s="16">
        <f>Dieppe!N19</f>
        <v>0</v>
      </c>
      <c r="X60" s="16">
        <f>'Moray Firth'!N19</f>
        <v>0</v>
      </c>
      <c r="Y60" s="16">
        <f>Kriegers!N19</f>
        <v>0</v>
      </c>
      <c r="Z60" s="18">
        <f>'East Anglia One'!N19</f>
        <v>0</v>
      </c>
      <c r="AA60" s="16">
        <f>'Horns Rev'!R19</f>
        <v>0</v>
      </c>
      <c r="AB60" s="16">
        <f>Seagreen!R19</f>
        <v>0</v>
      </c>
      <c r="AC60" s="16">
        <f>Gemini!R19</f>
        <v>0</v>
      </c>
      <c r="AD60" s="16">
        <f>Hollandse_Noord!R19</f>
        <v>0</v>
      </c>
      <c r="AE60" s="16">
        <f>Dieppe!R19</f>
        <v>0</v>
      </c>
      <c r="AF60" s="16">
        <f>'Moray Firth'!R19</f>
        <v>0</v>
      </c>
      <c r="AG60" s="16">
        <f>Kriegers!R19</f>
        <v>0</v>
      </c>
      <c r="AH60" s="18">
        <f>'East Anglia One'!R19</f>
        <v>0</v>
      </c>
      <c r="AI60" s="16">
        <f>'Horns Rev'!V19</f>
        <v>0</v>
      </c>
      <c r="AJ60" s="16">
        <f>Seagreen!V19</f>
        <v>0</v>
      </c>
      <c r="AK60" s="16">
        <f>Gemini!V19</f>
        <v>0</v>
      </c>
      <c r="AL60" s="16">
        <f>Hollandse_Noord!V19</f>
        <v>0</v>
      </c>
      <c r="AM60" s="16">
        <f>Dieppe!V19</f>
        <v>0</v>
      </c>
      <c r="AN60" s="16">
        <f>'Moray Firth'!V19</f>
        <v>0</v>
      </c>
      <c r="AO60" s="16">
        <f>Kriegers!V19</f>
        <v>0</v>
      </c>
      <c r="AP60" s="18">
        <f>'East Anglia One'!V19</f>
        <v>0</v>
      </c>
    </row>
    <row r="61" spans="2:42" ht="15.75" customHeight="1" x14ac:dyDescent="0.2"/>
    <row r="62" spans="2:42" ht="15.75" customHeight="1" x14ac:dyDescent="0.2"/>
    <row r="63" spans="2:42" ht="15.75" customHeight="1" x14ac:dyDescent="0.2"/>
    <row r="64" spans="2:4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</sheetData>
  <mergeCells count="20">
    <mergeCell ref="AG7:AI7"/>
    <mergeCell ref="C7:E7"/>
    <mergeCell ref="F7:H7"/>
    <mergeCell ref="I7:K7"/>
    <mergeCell ref="L7:N7"/>
    <mergeCell ref="O7:Q7"/>
    <mergeCell ref="U7:W7"/>
    <mergeCell ref="X7:Z7"/>
    <mergeCell ref="AA7:AC7"/>
    <mergeCell ref="AD7:AF7"/>
    <mergeCell ref="C48:J48"/>
    <mergeCell ref="K48:R48"/>
    <mergeCell ref="S48:Z48"/>
    <mergeCell ref="AA48:AH48"/>
    <mergeCell ref="AI48:AP48"/>
    <mergeCell ref="C32:J32"/>
    <mergeCell ref="K32:R32"/>
    <mergeCell ref="S32:Z32"/>
    <mergeCell ref="AA32:AH32"/>
    <mergeCell ref="AI32:AP32"/>
  </mergeCells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AT1003"/>
  <sheetViews>
    <sheetView zoomScale="60" zoomScaleNormal="60" workbookViewId="0">
      <selection activeCell="H5" sqref="H5"/>
    </sheetView>
  </sheetViews>
  <sheetFormatPr baseColWidth="10" defaultColWidth="14.5" defaultRowHeight="15" customHeight="1" x14ac:dyDescent="0.2"/>
  <cols>
    <col min="1" max="1" width="11.6640625" customWidth="1"/>
    <col min="2" max="2" width="12.5" customWidth="1"/>
    <col min="3" max="3" width="14" bestFit="1" customWidth="1"/>
    <col min="4" max="4" width="10.6640625" customWidth="1"/>
    <col min="5" max="5" width="12.83203125" bestFit="1" customWidth="1"/>
    <col min="6" max="6" width="11.5" bestFit="1" customWidth="1"/>
    <col min="7" max="7" width="14" bestFit="1" customWidth="1"/>
    <col min="8" max="8" width="10.6640625" customWidth="1"/>
    <col min="9" max="9" width="12.83203125" bestFit="1" customWidth="1"/>
    <col min="10" max="10" width="11.5" bestFit="1" customWidth="1"/>
    <col min="11" max="11" width="12.6640625" bestFit="1" customWidth="1"/>
    <col min="12" max="12" width="10.6640625" customWidth="1"/>
    <col min="13" max="13" width="12.83203125" bestFit="1" customWidth="1"/>
    <col min="14" max="14" width="11.5" bestFit="1" customWidth="1"/>
    <col min="15" max="15" width="12.6640625" bestFit="1" customWidth="1"/>
    <col min="16" max="16" width="10.6640625" customWidth="1"/>
    <col min="17" max="17" width="12.83203125" bestFit="1" customWidth="1"/>
    <col min="18" max="18" width="11.5" bestFit="1" customWidth="1"/>
    <col min="19" max="19" width="12.6640625" bestFit="1" customWidth="1"/>
    <col min="20" max="20" width="10.6640625" customWidth="1"/>
    <col min="21" max="21" width="12.83203125" bestFit="1" customWidth="1"/>
    <col min="22" max="22" width="11.5" bestFit="1" customWidth="1"/>
    <col min="23" max="23" width="10.6640625" customWidth="1"/>
    <col min="24" max="24" width="10.6640625" style="91" customWidth="1"/>
    <col min="25" max="26" width="10.6640625" customWidth="1"/>
  </cols>
  <sheetData>
    <row r="2" spans="1:46" ht="15" customHeight="1" x14ac:dyDescent="0.2">
      <c r="B2" t="s">
        <v>30</v>
      </c>
      <c r="Z2" t="s">
        <v>29</v>
      </c>
    </row>
    <row r="3" spans="1:46" x14ac:dyDescent="0.2">
      <c r="B3" s="1"/>
      <c r="C3" s="1"/>
      <c r="D3" s="1"/>
      <c r="E3" s="1"/>
    </row>
    <row r="4" spans="1:46" x14ac:dyDescent="0.2">
      <c r="A4" s="1" t="s">
        <v>21</v>
      </c>
    </row>
    <row r="5" spans="1:46" x14ac:dyDescent="0.2">
      <c r="A5" s="1">
        <v>761.3</v>
      </c>
    </row>
    <row r="7" spans="1:46" ht="16" thickBot="1" x14ac:dyDescent="0.25">
      <c r="A7" s="1" t="s">
        <v>11</v>
      </c>
      <c r="D7" s="134">
        <v>0.1</v>
      </c>
      <c r="E7" s="133"/>
      <c r="F7" s="133"/>
      <c r="G7" s="2"/>
      <c r="H7" s="134">
        <v>0.2</v>
      </c>
      <c r="I7" s="133"/>
      <c r="J7" s="133"/>
      <c r="K7" s="2"/>
      <c r="L7" s="134">
        <v>0.3</v>
      </c>
      <c r="M7" s="133"/>
      <c r="N7" s="133"/>
      <c r="O7" s="2"/>
      <c r="P7" s="134">
        <v>0.4</v>
      </c>
      <c r="Q7" s="133"/>
      <c r="R7" s="133"/>
      <c r="S7" s="2"/>
      <c r="T7" s="134">
        <v>0.5</v>
      </c>
      <c r="U7" s="133"/>
      <c r="V7" s="133"/>
      <c r="W7" s="12"/>
      <c r="X7" s="92"/>
      <c r="Y7" s="1"/>
      <c r="AB7" s="134">
        <v>0.1</v>
      </c>
      <c r="AC7" s="133"/>
      <c r="AD7" s="133"/>
      <c r="AE7" s="2"/>
      <c r="AF7" s="134">
        <v>0.2</v>
      </c>
      <c r="AG7" s="133"/>
      <c r="AH7" s="133"/>
      <c r="AI7" s="2"/>
      <c r="AJ7" s="134">
        <v>0.3</v>
      </c>
      <c r="AK7" s="133"/>
      <c r="AL7" s="133"/>
      <c r="AM7" s="2"/>
      <c r="AN7" s="134">
        <v>0.4</v>
      </c>
      <c r="AO7" s="133"/>
      <c r="AP7" s="133"/>
      <c r="AQ7" s="2"/>
      <c r="AR7" s="134">
        <v>0.5</v>
      </c>
      <c r="AS7" s="133"/>
      <c r="AT7" s="133"/>
    </row>
    <row r="8" spans="1:46" ht="16" thickBot="1" x14ac:dyDescent="0.25">
      <c r="B8" s="54" t="s">
        <v>8</v>
      </c>
      <c r="C8" s="43" t="s">
        <v>22</v>
      </c>
      <c r="D8" s="44" t="s">
        <v>7</v>
      </c>
      <c r="E8" s="36" t="s">
        <v>9</v>
      </c>
      <c r="F8" s="45" t="s">
        <v>10</v>
      </c>
      <c r="G8" s="43" t="s">
        <v>22</v>
      </c>
      <c r="H8" s="44" t="s">
        <v>7</v>
      </c>
      <c r="I8" s="36" t="s">
        <v>9</v>
      </c>
      <c r="J8" s="45" t="s">
        <v>10</v>
      </c>
      <c r="K8" s="43" t="s">
        <v>22</v>
      </c>
      <c r="L8" s="36" t="s">
        <v>7</v>
      </c>
      <c r="M8" s="36" t="s">
        <v>9</v>
      </c>
      <c r="N8" s="45" t="s">
        <v>10</v>
      </c>
      <c r="O8" s="43" t="s">
        <v>22</v>
      </c>
      <c r="P8" s="36" t="s">
        <v>7</v>
      </c>
      <c r="Q8" s="36" t="s">
        <v>9</v>
      </c>
      <c r="R8" s="45" t="s">
        <v>10</v>
      </c>
      <c r="S8" s="43" t="s">
        <v>22</v>
      </c>
      <c r="T8" s="36" t="s">
        <v>7</v>
      </c>
      <c r="U8" s="36" t="s">
        <v>9</v>
      </c>
      <c r="V8" s="45" t="s">
        <v>10</v>
      </c>
      <c r="Z8" s="58" t="s">
        <v>8</v>
      </c>
      <c r="AA8" s="62" t="s">
        <v>22</v>
      </c>
      <c r="AB8" s="36" t="s">
        <v>7</v>
      </c>
      <c r="AC8" s="36" t="s">
        <v>9</v>
      </c>
      <c r="AD8" s="45" t="s">
        <v>10</v>
      </c>
      <c r="AE8" s="62" t="s">
        <v>22</v>
      </c>
      <c r="AF8" s="36" t="s">
        <v>7</v>
      </c>
      <c r="AG8" s="36" t="s">
        <v>9</v>
      </c>
      <c r="AH8" s="45" t="s">
        <v>10</v>
      </c>
      <c r="AI8" s="62" t="s">
        <v>22</v>
      </c>
      <c r="AJ8" s="36" t="s">
        <v>7</v>
      </c>
      <c r="AK8" s="36" t="s">
        <v>9</v>
      </c>
      <c r="AL8" s="45" t="s">
        <v>10</v>
      </c>
      <c r="AM8" s="62" t="s">
        <v>22</v>
      </c>
      <c r="AN8" s="36" t="s">
        <v>7</v>
      </c>
      <c r="AO8" s="36" t="s">
        <v>9</v>
      </c>
      <c r="AP8" s="45" t="s">
        <v>10</v>
      </c>
      <c r="AQ8" s="62" t="s">
        <v>22</v>
      </c>
      <c r="AR8" s="36" t="s">
        <v>7</v>
      </c>
      <c r="AS8" s="36" t="s">
        <v>9</v>
      </c>
      <c r="AT8" s="45" t="s">
        <v>10</v>
      </c>
    </row>
    <row r="9" spans="1:46" x14ac:dyDescent="0.2">
      <c r="B9" s="55">
        <v>0</v>
      </c>
      <c r="C9" s="46">
        <f>AVERAGE(C29,C45,C61)</f>
        <v>1920</v>
      </c>
      <c r="D9" s="41">
        <f t="shared" ref="D9:V9" si="0">AVERAGE(D29,D45,D61)</f>
        <v>40.06666666666667</v>
      </c>
      <c r="E9" s="42">
        <f t="shared" si="0"/>
        <v>5.2629274486623766E-2</v>
      </c>
      <c r="F9" s="47">
        <f t="shared" si="0"/>
        <v>0.94033333333333324</v>
      </c>
      <c r="G9" s="46">
        <f t="shared" si="0"/>
        <v>1706.6666666666667</v>
      </c>
      <c r="H9" s="41">
        <f t="shared" si="0"/>
        <v>30.200000000000003</v>
      </c>
      <c r="I9" s="42">
        <f t="shared" si="0"/>
        <v>3.9668987258636546E-2</v>
      </c>
      <c r="J9" s="47">
        <f t="shared" si="0"/>
        <v>0.96699999999999997</v>
      </c>
      <c r="K9" s="46">
        <f t="shared" si="0"/>
        <v>1496.6666666666667</v>
      </c>
      <c r="L9" s="41">
        <f t="shared" si="0"/>
        <v>26.600000000000005</v>
      </c>
      <c r="M9" s="42">
        <f t="shared" si="0"/>
        <v>3.4940233810587154E-2</v>
      </c>
      <c r="N9" s="47">
        <f t="shared" si="0"/>
        <v>0.97433333333333338</v>
      </c>
      <c r="O9" s="46">
        <f t="shared" si="0"/>
        <v>1275</v>
      </c>
      <c r="P9" s="41">
        <f t="shared" si="0"/>
        <v>26.400000000000002</v>
      </c>
      <c r="Q9" s="42">
        <f t="shared" si="0"/>
        <v>3.4677525285695517E-2</v>
      </c>
      <c r="R9" s="47">
        <f t="shared" si="0"/>
        <v>0.97499999999999998</v>
      </c>
      <c r="S9" s="46">
        <f t="shared" si="0"/>
        <v>1101.6666666666667</v>
      </c>
      <c r="T9" s="41">
        <f t="shared" si="0"/>
        <v>25.7</v>
      </c>
      <c r="U9" s="42">
        <f t="shared" si="0"/>
        <v>3.375804544857481E-2</v>
      </c>
      <c r="V9" s="47">
        <f t="shared" si="0"/>
        <v>0.97533333333333339</v>
      </c>
      <c r="Z9" s="52">
        <v>0</v>
      </c>
      <c r="AA9" s="86">
        <f t="shared" ref="AA9:AT9" si="1">AVERAGE(AA29,AA44,AA60)</f>
        <v>1920</v>
      </c>
      <c r="AB9" s="96">
        <f t="shared" si="1"/>
        <v>44.633333333333333</v>
      </c>
      <c r="AC9" s="97">
        <f t="shared" si="1"/>
        <v>5.8627785804982707E-2</v>
      </c>
      <c r="AD9" s="98">
        <f t="shared" si="1"/>
        <v>0.92766666666666675</v>
      </c>
      <c r="AE9" s="86">
        <f t="shared" si="1"/>
        <v>1706.6666666666667</v>
      </c>
      <c r="AF9" s="96">
        <f t="shared" si="1"/>
        <v>33.300000000000004</v>
      </c>
      <c r="AG9" s="97">
        <f t="shared" si="1"/>
        <v>4.3740969394456854E-2</v>
      </c>
      <c r="AH9" s="98">
        <f t="shared" si="1"/>
        <v>0.96299999999999997</v>
      </c>
      <c r="AI9" s="86">
        <f t="shared" si="1"/>
        <v>1496.6666666666667</v>
      </c>
      <c r="AJ9" s="96">
        <f t="shared" si="1"/>
        <v>29.566666666666666</v>
      </c>
      <c r="AK9" s="97">
        <f t="shared" si="1"/>
        <v>3.8837076929813037E-2</v>
      </c>
      <c r="AL9" s="98">
        <f t="shared" si="1"/>
        <v>0.97133333333333327</v>
      </c>
      <c r="AM9" s="86">
        <f t="shared" si="1"/>
        <v>1275</v>
      </c>
      <c r="AN9" s="96">
        <f t="shared" si="1"/>
        <v>29.133333333333336</v>
      </c>
      <c r="AO9" s="97">
        <f t="shared" si="1"/>
        <v>3.8267875125881173E-2</v>
      </c>
      <c r="AP9" s="98">
        <f t="shared" si="1"/>
        <v>0.97133333333333327</v>
      </c>
      <c r="AQ9" s="86">
        <f t="shared" si="1"/>
        <v>1101.6666666666667</v>
      </c>
      <c r="AR9" s="96">
        <f t="shared" si="1"/>
        <v>28.066666666666666</v>
      </c>
      <c r="AS9" s="97">
        <f t="shared" si="1"/>
        <v>3.6866762993125794E-2</v>
      </c>
      <c r="AT9" s="98">
        <f t="shared" si="1"/>
        <v>0.97266666666666657</v>
      </c>
    </row>
    <row r="10" spans="1:46" x14ac:dyDescent="0.2">
      <c r="B10" s="52">
        <v>1</v>
      </c>
      <c r="C10" s="46">
        <f t="shared" ref="C10:V10" si="2">AVERAGE(C30,C46,C62)</f>
        <v>2243.3333333333335</v>
      </c>
      <c r="D10" s="41">
        <f t="shared" si="2"/>
        <v>28.5</v>
      </c>
      <c r="E10" s="42">
        <f t="shared" si="2"/>
        <v>3.7435964797057665E-2</v>
      </c>
      <c r="F10" s="47">
        <f t="shared" si="2"/>
        <v>0.95733333333333326</v>
      </c>
      <c r="G10" s="46">
        <f t="shared" si="2"/>
        <v>2013.3333333333333</v>
      </c>
      <c r="H10" s="41">
        <f t="shared" si="2"/>
        <v>23.366666666666664</v>
      </c>
      <c r="I10" s="42">
        <f t="shared" si="2"/>
        <v>3.0693112658172428E-2</v>
      </c>
      <c r="J10" s="47">
        <f t="shared" si="2"/>
        <v>0.97000000000000008</v>
      </c>
      <c r="K10" s="46">
        <f t="shared" si="2"/>
        <v>1768.3333333333333</v>
      </c>
      <c r="L10" s="41">
        <f t="shared" si="2"/>
        <v>22.099999999999998</v>
      </c>
      <c r="M10" s="42">
        <f t="shared" si="2"/>
        <v>2.9029292000525422E-2</v>
      </c>
      <c r="N10" s="47">
        <f t="shared" si="2"/>
        <v>0.97100000000000009</v>
      </c>
      <c r="O10" s="46">
        <f t="shared" si="2"/>
        <v>1493.3333333333333</v>
      </c>
      <c r="P10" s="41">
        <f t="shared" si="2"/>
        <v>21.966666666666669</v>
      </c>
      <c r="Q10" s="42">
        <f t="shared" si="2"/>
        <v>2.8854152983930997E-2</v>
      </c>
      <c r="R10" s="47">
        <f t="shared" si="2"/>
        <v>0.97266666666666668</v>
      </c>
      <c r="S10" s="46">
        <f t="shared" si="2"/>
        <v>1240</v>
      </c>
      <c r="T10" s="41">
        <f t="shared" si="2"/>
        <v>22.099999999999998</v>
      </c>
      <c r="U10" s="42">
        <f t="shared" si="2"/>
        <v>2.9029292000525415E-2</v>
      </c>
      <c r="V10" s="47">
        <f t="shared" si="2"/>
        <v>0.97366666666666657</v>
      </c>
      <c r="Z10" s="52">
        <v>1</v>
      </c>
      <c r="AA10" s="46">
        <f t="shared" ref="AA10:AD10" si="3">AVERAGE(AA30,AA45,AA61)</f>
        <v>2243.3333333333335</v>
      </c>
      <c r="AB10" s="61">
        <f t="shared" si="3"/>
        <v>30.633333333333336</v>
      </c>
      <c r="AC10" s="42">
        <f t="shared" si="3"/>
        <v>4.0238189062568416E-2</v>
      </c>
      <c r="AD10" s="47">
        <f t="shared" si="3"/>
        <v>0.93833333333333335</v>
      </c>
      <c r="AE10" s="46">
        <f t="shared" ref="AE10:AP10" si="4">AVERAGE(AE30,AE45,AE61)</f>
        <v>2013.3333333333333</v>
      </c>
      <c r="AF10" s="61">
        <f t="shared" si="4"/>
        <v>26.566666666666663</v>
      </c>
      <c r="AG10" s="42">
        <f t="shared" si="4"/>
        <v>3.4896449056438551E-2</v>
      </c>
      <c r="AH10" s="47">
        <f t="shared" si="4"/>
        <v>0.96300000000000008</v>
      </c>
      <c r="AI10" s="46">
        <f t="shared" si="4"/>
        <v>1768.3333333333333</v>
      </c>
      <c r="AJ10" s="61">
        <f t="shared" si="4"/>
        <v>24.599999999999998</v>
      </c>
      <c r="AK10" s="42">
        <f t="shared" si="4"/>
        <v>3.2313148561670828E-2</v>
      </c>
      <c r="AL10" s="47">
        <f t="shared" si="4"/>
        <v>0.96766666666666667</v>
      </c>
      <c r="AM10" s="46">
        <f t="shared" si="4"/>
        <v>1493.3333333333333</v>
      </c>
      <c r="AN10" s="61">
        <f t="shared" si="4"/>
        <v>24.900000000000002</v>
      </c>
      <c r="AO10" s="42">
        <f t="shared" si="4"/>
        <v>3.2707211349008281E-2</v>
      </c>
      <c r="AP10" s="47">
        <f t="shared" si="4"/>
        <v>0.96533333333333327</v>
      </c>
      <c r="AQ10" s="46">
        <f t="shared" ref="AQ10:AT10" si="5">AVERAGE(AQ30,AQ45,AQ61)</f>
        <v>1240</v>
      </c>
      <c r="AR10" s="61">
        <f t="shared" si="5"/>
        <v>23.633333333333336</v>
      </c>
      <c r="AS10" s="42">
        <f t="shared" si="5"/>
        <v>3.1043390691361267E-2</v>
      </c>
      <c r="AT10" s="47">
        <f t="shared" si="5"/>
        <v>0.97166666666666668</v>
      </c>
    </row>
    <row r="11" spans="1:46" x14ac:dyDescent="0.2">
      <c r="B11" s="52">
        <v>2</v>
      </c>
      <c r="C11" s="46">
        <f t="shared" ref="C11:V11" si="6">AVERAGE(C31,C47,C63)</f>
        <v>1681.6666666666667</v>
      </c>
      <c r="D11" s="41">
        <f t="shared" si="6"/>
        <v>31.833333333333332</v>
      </c>
      <c r="E11" s="42">
        <f t="shared" si="6"/>
        <v>4.1814440211918213E-2</v>
      </c>
      <c r="F11" s="47">
        <f t="shared" si="6"/>
        <v>0.874</v>
      </c>
      <c r="G11" s="46">
        <f t="shared" si="6"/>
        <v>1486.6666666666667</v>
      </c>
      <c r="H11" s="41">
        <f t="shared" si="6"/>
        <v>25.066666666666663</v>
      </c>
      <c r="I11" s="42">
        <f t="shared" si="6"/>
        <v>3.2926135119751301E-2</v>
      </c>
      <c r="J11" s="47">
        <f t="shared" si="6"/>
        <v>0.91600000000000004</v>
      </c>
      <c r="K11" s="46">
        <f t="shared" si="6"/>
        <v>1310</v>
      </c>
      <c r="L11" s="41">
        <f t="shared" si="6"/>
        <v>23.8</v>
      </c>
      <c r="M11" s="42">
        <f t="shared" si="6"/>
        <v>3.1262314462104299E-2</v>
      </c>
      <c r="N11" s="47">
        <f t="shared" si="6"/>
        <v>0.93066666666666675</v>
      </c>
      <c r="O11" s="46">
        <f t="shared" si="6"/>
        <v>1121.6666666666667</v>
      </c>
      <c r="P11" s="41">
        <f t="shared" si="6"/>
        <v>22.333333333333332</v>
      </c>
      <c r="Q11" s="42">
        <f t="shared" si="6"/>
        <v>2.9335785279565655E-2</v>
      </c>
      <c r="R11" s="47">
        <f t="shared" si="6"/>
        <v>0.93800000000000006</v>
      </c>
      <c r="S11" s="46">
        <f t="shared" si="6"/>
        <v>903.33333333333337</v>
      </c>
      <c r="T11" s="41">
        <f t="shared" si="6"/>
        <v>21.566666666666666</v>
      </c>
      <c r="U11" s="42">
        <f t="shared" si="6"/>
        <v>2.8328735934147729E-2</v>
      </c>
      <c r="V11" s="47">
        <f t="shared" si="6"/>
        <v>0.94166666666666676</v>
      </c>
      <c r="Z11" s="52">
        <v>2</v>
      </c>
      <c r="AA11" s="46">
        <f t="shared" ref="AA11:AD11" si="7">AVERAGE(AA31,AA46,AA62)</f>
        <v>1681.6666666666667</v>
      </c>
      <c r="AB11" s="61">
        <f t="shared" si="7"/>
        <v>38.033333333333339</v>
      </c>
      <c r="AC11" s="42">
        <f t="shared" si="7"/>
        <v>4.9958404483558837E-2</v>
      </c>
      <c r="AD11" s="47">
        <f t="shared" si="7"/>
        <v>0.83733333333333337</v>
      </c>
      <c r="AE11" s="46">
        <f t="shared" ref="AE11:AP11" si="8">AVERAGE(AE31,AE46,AE62)</f>
        <v>1486.6666666666667</v>
      </c>
      <c r="AF11" s="61">
        <f t="shared" si="8"/>
        <v>30.100000000000005</v>
      </c>
      <c r="AG11" s="42">
        <f t="shared" si="8"/>
        <v>3.953763299619073E-2</v>
      </c>
      <c r="AH11" s="47">
        <f t="shared" si="8"/>
        <v>0.8803333333333333</v>
      </c>
      <c r="AI11" s="46">
        <f t="shared" si="8"/>
        <v>1310</v>
      </c>
      <c r="AJ11" s="61">
        <f t="shared" si="8"/>
        <v>26.533333333333331</v>
      </c>
      <c r="AK11" s="42">
        <f t="shared" si="8"/>
        <v>3.4852664302289942E-2</v>
      </c>
      <c r="AL11" s="47">
        <f t="shared" si="8"/>
        <v>0.91966666666666663</v>
      </c>
      <c r="AM11" s="46">
        <f t="shared" si="8"/>
        <v>1121.6666666666667</v>
      </c>
      <c r="AN11" s="61">
        <f t="shared" si="8"/>
        <v>24.233333333333334</v>
      </c>
      <c r="AO11" s="42">
        <f t="shared" si="8"/>
        <v>3.1831516266036169E-2</v>
      </c>
      <c r="AP11" s="47">
        <f t="shared" si="8"/>
        <v>0.93233333333333324</v>
      </c>
      <c r="AQ11" s="46">
        <f t="shared" ref="AQ11:AT11" si="9">AVERAGE(AQ31,AQ46,AQ62)</f>
        <v>903.33333333333337</v>
      </c>
      <c r="AR11" s="61">
        <f t="shared" si="9"/>
        <v>23.433333333333334</v>
      </c>
      <c r="AS11" s="42">
        <f t="shared" si="9"/>
        <v>3.0780682166469637E-2</v>
      </c>
      <c r="AT11" s="47">
        <f t="shared" si="9"/>
        <v>0.93733333333333324</v>
      </c>
    </row>
    <row r="12" spans="1:46" x14ac:dyDescent="0.2">
      <c r="B12" s="52">
        <v>3</v>
      </c>
      <c r="C12" s="46">
        <f t="shared" ref="C12:V12" si="10">AVERAGE(C32,C48,C64)</f>
        <v>1725</v>
      </c>
      <c r="D12" s="41">
        <f t="shared" si="10"/>
        <v>30.933333333333337</v>
      </c>
      <c r="E12" s="42">
        <f t="shared" si="10"/>
        <v>4.0632251849905869E-2</v>
      </c>
      <c r="F12" s="47">
        <f t="shared" si="10"/>
        <v>0.97133333333333327</v>
      </c>
      <c r="G12" s="46">
        <f t="shared" si="10"/>
        <v>1553.3333333333333</v>
      </c>
      <c r="H12" s="41">
        <f t="shared" si="10"/>
        <v>24.666666666666668</v>
      </c>
      <c r="I12" s="42">
        <f t="shared" si="10"/>
        <v>3.240071806996804E-2</v>
      </c>
      <c r="J12" s="47">
        <f t="shared" si="10"/>
        <v>0.98099999999999998</v>
      </c>
      <c r="K12" s="46">
        <f t="shared" si="10"/>
        <v>1340</v>
      </c>
      <c r="L12" s="41">
        <f t="shared" si="10"/>
        <v>23.733333333333334</v>
      </c>
      <c r="M12" s="42">
        <f t="shared" si="10"/>
        <v>3.1174744953807083E-2</v>
      </c>
      <c r="N12" s="47">
        <f t="shared" si="10"/>
        <v>0.9816666666666668</v>
      </c>
      <c r="O12" s="46">
        <f t="shared" si="10"/>
        <v>1148.3333333333333</v>
      </c>
      <c r="P12" s="41">
        <f t="shared" si="10"/>
        <v>23.333333333333332</v>
      </c>
      <c r="Q12" s="42">
        <f t="shared" si="10"/>
        <v>3.0649327904023822E-2</v>
      </c>
      <c r="R12" s="47">
        <f t="shared" si="10"/>
        <v>0.98266666666666669</v>
      </c>
      <c r="S12" s="46">
        <f t="shared" si="10"/>
        <v>966.66666666666663</v>
      </c>
      <c r="T12" s="41">
        <f t="shared" si="10"/>
        <v>22.2</v>
      </c>
      <c r="U12" s="42">
        <f t="shared" si="10"/>
        <v>2.9160646262971237E-2</v>
      </c>
      <c r="V12" s="47">
        <f t="shared" si="10"/>
        <v>0.98433333333333328</v>
      </c>
      <c r="Z12" s="52">
        <v>3</v>
      </c>
      <c r="AA12" s="46">
        <f t="shared" ref="AA12:AD12" si="11">AVERAGE(AA32,AA47,AA63)</f>
        <v>1725</v>
      </c>
      <c r="AB12" s="61">
        <f t="shared" si="11"/>
        <v>35.533333333333339</v>
      </c>
      <c r="AC12" s="42">
        <f t="shared" si="11"/>
        <v>4.6674547922413413E-2</v>
      </c>
      <c r="AD12" s="47">
        <f t="shared" si="11"/>
        <v>0.96266666666666667</v>
      </c>
      <c r="AE12" s="46">
        <f t="shared" ref="AE12:AP12" si="12">AVERAGE(AE32,AE47,AE63)</f>
        <v>1553.3333333333333</v>
      </c>
      <c r="AF12" s="61">
        <f t="shared" si="12"/>
        <v>29.533333333333331</v>
      </c>
      <c r="AG12" s="42">
        <f t="shared" si="12"/>
        <v>3.8793292175664434E-2</v>
      </c>
      <c r="AH12" s="47">
        <f t="shared" si="12"/>
        <v>0.97466666666666668</v>
      </c>
      <c r="AI12" s="46">
        <f t="shared" si="12"/>
        <v>1340</v>
      </c>
      <c r="AJ12" s="61">
        <f t="shared" si="12"/>
        <v>26.866666666666664</v>
      </c>
      <c r="AK12" s="42">
        <f t="shared" si="12"/>
        <v>3.5290511843775997E-2</v>
      </c>
      <c r="AL12" s="47">
        <f t="shared" si="12"/>
        <v>0.97766666666666657</v>
      </c>
      <c r="AM12" s="46">
        <f t="shared" si="12"/>
        <v>1148.3333333333333</v>
      </c>
      <c r="AN12" s="61">
        <f t="shared" si="12"/>
        <v>26.633333333333336</v>
      </c>
      <c r="AO12" s="42">
        <f t="shared" si="12"/>
        <v>3.4984018564735757E-2</v>
      </c>
      <c r="AP12" s="47">
        <f t="shared" si="12"/>
        <v>0.97833333333333317</v>
      </c>
      <c r="AQ12" s="46">
        <f t="shared" ref="AQ12:AT12" si="13">AVERAGE(AQ32,AQ47,AQ63)</f>
        <v>966.66666666666663</v>
      </c>
      <c r="AR12" s="61">
        <f t="shared" si="13"/>
        <v>25.399999999999995</v>
      </c>
      <c r="AS12" s="42">
        <f t="shared" si="13"/>
        <v>3.3363982661237357E-2</v>
      </c>
      <c r="AT12" s="47">
        <f t="shared" si="13"/>
        <v>0.98066666666666658</v>
      </c>
    </row>
    <row r="13" spans="1:46" x14ac:dyDescent="0.2">
      <c r="B13" s="52">
        <v>4</v>
      </c>
      <c r="C13" s="46">
        <f t="shared" ref="C13:V13" si="14">AVERAGE(C33,C49,C65)</f>
        <v>1520</v>
      </c>
      <c r="D13" s="41">
        <f t="shared" si="14"/>
        <v>34.799999999999997</v>
      </c>
      <c r="E13" s="42">
        <f t="shared" si="14"/>
        <v>4.5711283331144104E-2</v>
      </c>
      <c r="F13" s="47">
        <f t="shared" si="14"/>
        <v>0.96299999999999997</v>
      </c>
      <c r="G13" s="46">
        <f t="shared" si="14"/>
        <v>1325</v>
      </c>
      <c r="H13" s="41">
        <f t="shared" si="14"/>
        <v>29.099999999999998</v>
      </c>
      <c r="I13" s="42">
        <f t="shared" si="14"/>
        <v>3.8224090371732564E-2</v>
      </c>
      <c r="J13" s="47">
        <f t="shared" si="14"/>
        <v>0.97266666666666657</v>
      </c>
      <c r="K13" s="46">
        <f t="shared" si="14"/>
        <v>1148.3333333333333</v>
      </c>
      <c r="L13" s="41">
        <f t="shared" si="14"/>
        <v>27.399999999999995</v>
      </c>
      <c r="M13" s="42">
        <f t="shared" si="14"/>
        <v>3.599106791015369E-2</v>
      </c>
      <c r="N13" s="47">
        <f t="shared" si="14"/>
        <v>0.97499999999999998</v>
      </c>
      <c r="O13" s="46">
        <f t="shared" si="14"/>
        <v>985</v>
      </c>
      <c r="P13" s="41">
        <f t="shared" si="14"/>
        <v>26.233333333333331</v>
      </c>
      <c r="Q13" s="42">
        <f t="shared" si="14"/>
        <v>3.4458601514952496E-2</v>
      </c>
      <c r="R13" s="47">
        <f t="shared" si="14"/>
        <v>0.97599999999999998</v>
      </c>
      <c r="S13" s="46">
        <f t="shared" si="14"/>
        <v>816.66666666666663</v>
      </c>
      <c r="T13" s="41">
        <f t="shared" si="14"/>
        <v>25.900000000000002</v>
      </c>
      <c r="U13" s="42">
        <f t="shared" si="14"/>
        <v>3.402075397346644E-2</v>
      </c>
      <c r="V13" s="47">
        <f t="shared" si="14"/>
        <v>0.97699999999999998</v>
      </c>
      <c r="Z13" s="52">
        <v>4</v>
      </c>
      <c r="AA13" s="46">
        <f t="shared" ref="AA13:AD13" si="15">AVERAGE(AA33,AA48,AA64)</f>
        <v>1520</v>
      </c>
      <c r="AB13" s="61">
        <f t="shared" si="15"/>
        <v>40.56666666666667</v>
      </c>
      <c r="AC13" s="42">
        <f t="shared" si="15"/>
        <v>5.3286045798852842E-2</v>
      </c>
      <c r="AD13" s="47">
        <f t="shared" si="15"/>
        <v>0.95199999999999996</v>
      </c>
      <c r="AE13" s="46">
        <f t="shared" ref="AE13:AP13" si="16">AVERAGE(AE33,AE48,AE64)</f>
        <v>1325</v>
      </c>
      <c r="AF13" s="61">
        <f t="shared" si="16"/>
        <v>33.300000000000004</v>
      </c>
      <c r="AG13" s="42">
        <f t="shared" si="16"/>
        <v>4.3740969394456854E-2</v>
      </c>
      <c r="AH13" s="47">
        <f t="shared" si="16"/>
        <v>0.96666666666666667</v>
      </c>
      <c r="AI13" s="46">
        <f t="shared" si="16"/>
        <v>1148.3333333333333</v>
      </c>
      <c r="AJ13" s="61">
        <f t="shared" si="16"/>
        <v>31.833333333333332</v>
      </c>
      <c r="AK13" s="42">
        <f t="shared" si="16"/>
        <v>4.1814440211918213E-2</v>
      </c>
      <c r="AL13" s="47">
        <f t="shared" si="16"/>
        <v>0.96899999999999997</v>
      </c>
      <c r="AM13" s="46">
        <f t="shared" si="16"/>
        <v>985</v>
      </c>
      <c r="AN13" s="61">
        <f t="shared" si="16"/>
        <v>30.033333333333331</v>
      </c>
      <c r="AO13" s="42">
        <f t="shared" si="16"/>
        <v>3.9450063487893518E-2</v>
      </c>
      <c r="AP13" s="47">
        <f t="shared" si="16"/>
        <v>0.97100000000000009</v>
      </c>
      <c r="AQ13" s="46">
        <f t="shared" ref="AQ13:AT13" si="17">AVERAGE(AQ33,AQ48,AQ64)</f>
        <v>816.66666666666663</v>
      </c>
      <c r="AR13" s="61">
        <f t="shared" si="17"/>
        <v>30.966666666666669</v>
      </c>
      <c r="AS13" s="42">
        <f t="shared" si="17"/>
        <v>4.0676036604054465E-2</v>
      </c>
      <c r="AT13" s="47">
        <f t="shared" si="17"/>
        <v>0.97000000000000008</v>
      </c>
    </row>
    <row r="14" spans="1:46" x14ac:dyDescent="0.2">
      <c r="B14" s="52">
        <v>5</v>
      </c>
      <c r="C14" s="46">
        <f t="shared" ref="C14:V14" si="18">AVERAGE(C34,C50,C66)</f>
        <v>1511.6666666666667</v>
      </c>
      <c r="D14" s="41">
        <f t="shared" si="18"/>
        <v>29.733333333333334</v>
      </c>
      <c r="E14" s="42">
        <f t="shared" si="18"/>
        <v>3.9056000700556072E-2</v>
      </c>
      <c r="F14" s="47">
        <f t="shared" si="18"/>
        <v>0.94</v>
      </c>
      <c r="G14" s="46">
        <f t="shared" si="18"/>
        <v>1351.6666666666667</v>
      </c>
      <c r="H14" s="41">
        <f t="shared" si="18"/>
        <v>28.666666666666668</v>
      </c>
      <c r="I14" s="42">
        <f t="shared" si="18"/>
        <v>3.7654888567800693E-2</v>
      </c>
      <c r="J14" s="47">
        <f t="shared" si="18"/>
        <v>0.94833333333333325</v>
      </c>
      <c r="K14" s="46">
        <f t="shared" si="18"/>
        <v>1185</v>
      </c>
      <c r="L14" s="41">
        <f t="shared" si="18"/>
        <v>23</v>
      </c>
      <c r="M14" s="42">
        <f t="shared" si="18"/>
        <v>3.0211480362537763E-2</v>
      </c>
      <c r="N14" s="47">
        <f t="shared" si="18"/>
        <v>0.96433333333333326</v>
      </c>
      <c r="O14" s="46">
        <f t="shared" si="18"/>
        <v>1041.6666666666667</v>
      </c>
      <c r="P14" s="41">
        <f t="shared" si="18"/>
        <v>22.566666666666666</v>
      </c>
      <c r="Q14" s="42">
        <f>AVERAGE(Q34,Q50,Q66)</f>
        <v>2.9642278558605895E-2</v>
      </c>
      <c r="R14" s="47">
        <f t="shared" si="18"/>
        <v>0.96599999999999986</v>
      </c>
      <c r="S14" s="46">
        <f t="shared" si="18"/>
        <v>893.33333333333337</v>
      </c>
      <c r="T14" s="41">
        <f t="shared" si="18"/>
        <v>21.3</v>
      </c>
      <c r="U14" s="42">
        <f t="shared" si="18"/>
        <v>2.7978457900958889E-2</v>
      </c>
      <c r="V14" s="47">
        <f t="shared" si="18"/>
        <v>0.96833333333333327</v>
      </c>
      <c r="Z14" s="52">
        <v>5</v>
      </c>
      <c r="AA14" s="46">
        <f t="shared" ref="AA14:AD14" si="19">AVERAGE(AA34,AA49,AA65)</f>
        <v>1511.6666666666667</v>
      </c>
      <c r="AB14" s="61">
        <f t="shared" si="19"/>
        <v>44.6</v>
      </c>
      <c r="AC14" s="42">
        <f t="shared" si="19"/>
        <v>5.8584001050834104E-2</v>
      </c>
      <c r="AD14" s="47">
        <f t="shared" si="19"/>
        <v>0.875</v>
      </c>
      <c r="AE14" s="46">
        <f t="shared" ref="AE14:AP14" si="20">AVERAGE(AE34,AE49,AE65)</f>
        <v>1351.6666666666667</v>
      </c>
      <c r="AF14" s="61">
        <f t="shared" si="20"/>
        <v>35.93333333333333</v>
      </c>
      <c r="AG14" s="42">
        <f t="shared" si="20"/>
        <v>4.7199964972196688E-2</v>
      </c>
      <c r="AH14" s="47">
        <f t="shared" si="20"/>
        <v>0.92899999999999994</v>
      </c>
      <c r="AI14" s="46">
        <f t="shared" si="20"/>
        <v>1185</v>
      </c>
      <c r="AJ14" s="61">
        <f t="shared" si="20"/>
        <v>26.966666666666669</v>
      </c>
      <c r="AK14" s="42">
        <f t="shared" si="20"/>
        <v>3.5421866106221812E-2</v>
      </c>
      <c r="AL14" s="47">
        <f t="shared" si="20"/>
        <v>0.95166666666666666</v>
      </c>
      <c r="AM14" s="46">
        <f t="shared" si="20"/>
        <v>1041.6666666666667</v>
      </c>
      <c r="AN14" s="61">
        <f t="shared" si="20"/>
        <v>27.766666666666666</v>
      </c>
      <c r="AO14" s="42">
        <f t="shared" si="20"/>
        <v>3.6472700205788348E-2</v>
      </c>
      <c r="AP14" s="47">
        <f t="shared" si="20"/>
        <v>0.95233333333333337</v>
      </c>
      <c r="AQ14" s="46">
        <f>AVERAGE(AQ34,AQ49,AQ65)</f>
        <v>893.33333333333337</v>
      </c>
      <c r="AR14" s="61">
        <f t="shared" ref="AR14:AT14" si="21">AVERAGE(AR34,AR49,AR65)</f>
        <v>24.8</v>
      </c>
      <c r="AS14" s="42">
        <f t="shared" si="21"/>
        <v>3.2575857086562458E-2</v>
      </c>
      <c r="AT14" s="47">
        <f t="shared" si="21"/>
        <v>0.95966666666666667</v>
      </c>
    </row>
    <row r="15" spans="1:46" x14ac:dyDescent="0.2">
      <c r="B15" s="52">
        <v>6</v>
      </c>
      <c r="C15" s="46">
        <f t="shared" ref="C15:V15" si="22">AVERAGE(C35,C51,C67)</f>
        <v>1583.3333333333333</v>
      </c>
      <c r="D15" s="41">
        <f t="shared" si="22"/>
        <v>36.133333333333333</v>
      </c>
      <c r="E15" s="42">
        <f t="shared" si="22"/>
        <v>4.7462673497088319E-2</v>
      </c>
      <c r="F15" s="47">
        <f t="shared" si="22"/>
        <v>0.93033333333333335</v>
      </c>
      <c r="G15" s="46">
        <f t="shared" si="22"/>
        <v>1393.3333333333333</v>
      </c>
      <c r="H15" s="41">
        <f t="shared" si="22"/>
        <v>25.766666666666666</v>
      </c>
      <c r="I15" s="42">
        <f t="shared" si="22"/>
        <v>3.3845614956872022E-2</v>
      </c>
      <c r="J15" s="47">
        <f t="shared" si="22"/>
        <v>0.96499999999999997</v>
      </c>
      <c r="K15" s="46">
        <f t="shared" si="22"/>
        <v>1211.6666666666667</v>
      </c>
      <c r="L15" s="41">
        <f t="shared" si="22"/>
        <v>22.566666666666666</v>
      </c>
      <c r="M15" s="42">
        <f>AVERAGE(M35,M51,M67)</f>
        <v>2.9642278558605892E-2</v>
      </c>
      <c r="N15" s="47">
        <f t="shared" si="22"/>
        <v>0.97033333333333338</v>
      </c>
      <c r="O15" s="46">
        <f t="shared" si="22"/>
        <v>1043.3333333333333</v>
      </c>
      <c r="P15" s="41">
        <f t="shared" si="22"/>
        <v>22.666666666666668</v>
      </c>
      <c r="Q15" s="42">
        <f t="shared" si="22"/>
        <v>2.9773632821051711E-2</v>
      </c>
      <c r="R15" s="47">
        <f t="shared" si="22"/>
        <v>0.96799999999999997</v>
      </c>
      <c r="S15" s="46">
        <f t="shared" si="22"/>
        <v>851.66666666666663</v>
      </c>
      <c r="T15" s="41">
        <f t="shared" si="22"/>
        <v>22.400000000000002</v>
      </c>
      <c r="U15" s="42">
        <f t="shared" si="22"/>
        <v>2.9423354787862871E-2</v>
      </c>
      <c r="V15" s="47">
        <f t="shared" si="22"/>
        <v>0.96899999999999997</v>
      </c>
      <c r="Z15" s="52">
        <v>6</v>
      </c>
      <c r="AA15" s="46">
        <f t="shared" ref="AA15:AD15" si="23">AVERAGE(AA35,AA50,AA66)</f>
        <v>1583.3333333333333</v>
      </c>
      <c r="AB15" s="61">
        <f t="shared" si="23"/>
        <v>42.4</v>
      </c>
      <c r="AC15" s="42">
        <f t="shared" si="23"/>
        <v>5.5694207277026141E-2</v>
      </c>
      <c r="AD15" s="47">
        <f t="shared" si="23"/>
        <v>0.90700000000000003</v>
      </c>
      <c r="AE15" s="46">
        <f t="shared" ref="AE15:AP15" si="24">AVERAGE(AE35,AE50,AE66)</f>
        <v>1393.3333333333333</v>
      </c>
      <c r="AF15" s="61">
        <f t="shared" si="24"/>
        <v>28.733333333333331</v>
      </c>
      <c r="AG15" s="42">
        <f t="shared" si="24"/>
        <v>3.7742458076097905E-2</v>
      </c>
      <c r="AH15" s="47">
        <f t="shared" si="24"/>
        <v>0.96</v>
      </c>
      <c r="AI15" s="46">
        <f t="shared" si="24"/>
        <v>1211.6666666666667</v>
      </c>
      <c r="AJ15" s="61">
        <f t="shared" si="24"/>
        <v>25</v>
      </c>
      <c r="AK15" s="42">
        <f t="shared" si="24"/>
        <v>3.2838565611454096E-2</v>
      </c>
      <c r="AL15" s="47">
        <f t="shared" si="24"/>
        <v>0.96699999999999997</v>
      </c>
      <c r="AM15" s="46">
        <f t="shared" si="24"/>
        <v>1043.3333333333333</v>
      </c>
      <c r="AN15" s="61">
        <f t="shared" si="24"/>
        <v>25.533333333333331</v>
      </c>
      <c r="AO15" s="42">
        <f t="shared" si="24"/>
        <v>3.3539121677831775E-2</v>
      </c>
      <c r="AP15" s="47">
        <f t="shared" si="24"/>
        <v>0.96233333333333337</v>
      </c>
      <c r="AQ15" s="46">
        <f t="shared" ref="AQ15:AT15" si="25">AVERAGE(AQ35,AQ50,AQ66)</f>
        <v>851.66666666666663</v>
      </c>
      <c r="AR15" s="61">
        <f t="shared" si="25"/>
        <v>24.5</v>
      </c>
      <c r="AS15" s="42">
        <f t="shared" si="25"/>
        <v>3.2181794299225013E-2</v>
      </c>
      <c r="AT15" s="47">
        <f t="shared" si="25"/>
        <v>0.96566666666666656</v>
      </c>
    </row>
    <row r="16" spans="1:46" ht="16" thickBot="1" x14ac:dyDescent="0.25">
      <c r="B16" s="53">
        <v>7</v>
      </c>
      <c r="C16" s="48">
        <f t="shared" ref="C16:V16" si="26">AVERAGE(C36,C52,C68)</f>
        <v>955</v>
      </c>
      <c r="D16" s="49">
        <f t="shared" si="26"/>
        <v>32.766666666666666</v>
      </c>
      <c r="E16" s="50">
        <f t="shared" si="26"/>
        <v>4.3040413328079168E-2</v>
      </c>
      <c r="F16" s="51">
        <f t="shared" si="26"/>
        <v>0.92666666666666675</v>
      </c>
      <c r="G16" s="48">
        <f t="shared" si="26"/>
        <v>850</v>
      </c>
      <c r="H16" s="49">
        <f t="shared" si="26"/>
        <v>23.3</v>
      </c>
      <c r="I16" s="50">
        <f t="shared" si="26"/>
        <v>3.0605543149875219E-2</v>
      </c>
      <c r="J16" s="51">
        <f t="shared" si="26"/>
        <v>0.95633333333333326</v>
      </c>
      <c r="K16" s="48">
        <f t="shared" si="26"/>
        <v>760</v>
      </c>
      <c r="L16" s="49">
        <f t="shared" si="26"/>
        <v>22.166666666666668</v>
      </c>
      <c r="M16" s="50">
        <f t="shared" si="26"/>
        <v>2.9116861508822631E-2</v>
      </c>
      <c r="N16" s="51">
        <f t="shared" si="26"/>
        <v>0.95966666666666667</v>
      </c>
      <c r="O16" s="48">
        <f t="shared" si="26"/>
        <v>651.66666666666663</v>
      </c>
      <c r="P16" s="49">
        <f t="shared" si="26"/>
        <v>20.5</v>
      </c>
      <c r="Q16" s="50">
        <f t="shared" si="26"/>
        <v>2.6927623801392356E-2</v>
      </c>
      <c r="R16" s="51">
        <f t="shared" si="26"/>
        <v>0.96299999999999997</v>
      </c>
      <c r="S16" s="48">
        <f t="shared" si="26"/>
        <v>526.66666666666663</v>
      </c>
      <c r="T16" s="49">
        <f t="shared" si="26"/>
        <v>20.200000000000003</v>
      </c>
      <c r="U16" s="50">
        <f t="shared" si="26"/>
        <v>2.6533561014054907E-2</v>
      </c>
      <c r="V16" s="51">
        <f t="shared" si="26"/>
        <v>0.96299999999999997</v>
      </c>
      <c r="Z16" s="53">
        <v>7</v>
      </c>
      <c r="AA16" s="48">
        <f t="shared" ref="AA16:AD16" si="27">AVERAGE(AA36,AA51,AA67)</f>
        <v>955</v>
      </c>
      <c r="AB16" s="63">
        <f t="shared" si="27"/>
        <v>52.5</v>
      </c>
      <c r="AC16" s="50">
        <f t="shared" si="27"/>
        <v>6.8960987784053587E-2</v>
      </c>
      <c r="AD16" s="51">
        <f t="shared" si="27"/>
        <v>0.83266666666666656</v>
      </c>
      <c r="AE16" s="48">
        <f t="shared" ref="AE16:AP16" si="28">AVERAGE(AE36,AE51,AE67)</f>
        <v>850</v>
      </c>
      <c r="AF16" s="63">
        <f t="shared" si="28"/>
        <v>30.833333333333332</v>
      </c>
      <c r="AG16" s="50">
        <f t="shared" si="28"/>
        <v>4.0500897587460047E-2</v>
      </c>
      <c r="AH16" s="51">
        <f t="shared" si="28"/>
        <v>0.92866666666666664</v>
      </c>
      <c r="AI16" s="48">
        <f t="shared" si="28"/>
        <v>760</v>
      </c>
      <c r="AJ16" s="63">
        <f t="shared" si="28"/>
        <v>27.233333333333334</v>
      </c>
      <c r="AK16" s="50">
        <f t="shared" si="28"/>
        <v>3.5772144139410662E-2</v>
      </c>
      <c r="AL16" s="51">
        <f t="shared" si="28"/>
        <v>0.94466666666666665</v>
      </c>
      <c r="AM16" s="48">
        <f t="shared" si="28"/>
        <v>651.66666666666663</v>
      </c>
      <c r="AN16" s="63">
        <f t="shared" si="28"/>
        <v>24.666666666666668</v>
      </c>
      <c r="AO16" s="50">
        <f t="shared" si="28"/>
        <v>3.240071806996804E-2</v>
      </c>
      <c r="AP16" s="51">
        <f t="shared" si="28"/>
        <v>0.95100000000000007</v>
      </c>
      <c r="AQ16" s="48">
        <f t="shared" ref="AQ16:AT16" si="29">AVERAGE(AQ36,AQ51,AQ67)</f>
        <v>526.66666666666663</v>
      </c>
      <c r="AR16" s="63">
        <f t="shared" si="29"/>
        <v>23.966666666666669</v>
      </c>
      <c r="AS16" s="50">
        <f t="shared" si="29"/>
        <v>3.1481238232847326E-2</v>
      </c>
      <c r="AT16" s="51">
        <f t="shared" si="29"/>
        <v>0.95333333333333325</v>
      </c>
    </row>
    <row r="17" spans="1:46" ht="16" thickBot="1" x14ac:dyDescent="0.25">
      <c r="B17" s="27"/>
      <c r="C17" s="28"/>
      <c r="D17" s="28"/>
      <c r="E17" s="28"/>
      <c r="F17" s="28"/>
      <c r="G17" s="37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Z17" s="27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</row>
    <row r="18" spans="1:46" ht="16" thickBot="1" x14ac:dyDescent="0.25">
      <c r="B18" s="28" t="s">
        <v>11</v>
      </c>
      <c r="C18" s="28"/>
      <c r="D18" s="56">
        <f>AVERAGE(D38,D54,D70)</f>
        <v>32.396981227803145</v>
      </c>
      <c r="E18" s="59">
        <f t="shared" ref="E18:F18" si="30">AVERAGE(E38,E54,E70)</f>
        <v>4.2554815746490414E-2</v>
      </c>
      <c r="F18" s="57">
        <f t="shared" si="30"/>
        <v>0.94222501268391667</v>
      </c>
      <c r="G18" s="28"/>
      <c r="H18" s="56">
        <f t="shared" ref="H18:J18" si="31">AVERAGE(H38,H54,H70)</f>
        <v>25.595833333333331</v>
      </c>
      <c r="I18" s="59">
        <f t="shared" si="31"/>
        <v>3.3621218091860409E-2</v>
      </c>
      <c r="J18" s="57">
        <f t="shared" si="31"/>
        <v>0.96297460045662098</v>
      </c>
      <c r="K18" s="28"/>
      <c r="L18" s="56">
        <f t="shared" ref="L18:N18" si="32">AVERAGE(L38,L54,L70)</f>
        <v>23.546379647749507</v>
      </c>
      <c r="M18" s="59">
        <f t="shared" si="32"/>
        <v>3.092917331899318E-2</v>
      </c>
      <c r="N18" s="57">
        <f t="shared" si="32"/>
        <v>0.9683915525114154</v>
      </c>
      <c r="O18" s="28"/>
      <c r="P18" s="56">
        <f t="shared" ref="P18:R18" si="33">AVERAGE(P38,P54,P70)</f>
        <v>23.123173515981733</v>
      </c>
      <c r="Q18" s="59">
        <f t="shared" si="33"/>
        <v>3.0373274025984155E-2</v>
      </c>
      <c r="R18" s="57">
        <f t="shared" si="33"/>
        <v>0.97001027397260275</v>
      </c>
      <c r="S18" s="28"/>
      <c r="T18" s="56">
        <f>AVERAGE(T38,T54,T70)</f>
        <v>22.830479452054792</v>
      </c>
      <c r="U18" s="59">
        <f t="shared" ref="U18:V18" si="34">AVERAGE(U38,U54,U70)</f>
        <v>2.9988807897090231E-2</v>
      </c>
      <c r="V18" s="57">
        <f t="shared" si="34"/>
        <v>0.971189497716895</v>
      </c>
      <c r="Z18" s="28" t="s">
        <v>11</v>
      </c>
      <c r="AA18" s="28"/>
      <c r="AB18" s="56">
        <f>AVERAGE(AB38,AB53,AB69)</f>
        <v>38.56846778285135</v>
      </c>
      <c r="AC18" s="95">
        <f>AVERAGE(AC38,AC53,AC69)</f>
        <v>5.0661326392816695E-2</v>
      </c>
      <c r="AD18" s="95">
        <f>AVERAGE(AD38,AD53,AD69)</f>
        <v>0.91757673769660075</v>
      </c>
      <c r="AE18" s="28"/>
      <c r="AF18" s="56">
        <f>AVERAGE(AF38,AF53,AF69)</f>
        <v>29.938456050228311</v>
      </c>
      <c r="AG18" s="95">
        <f>AVERAGE(AG38,AG53,AG69)</f>
        <v>3.9325438132442291E-2</v>
      </c>
      <c r="AH18" s="95">
        <f>AVERAGE(AH38,AH53,AH69)</f>
        <v>0.95177197488584453</v>
      </c>
      <c r="AI18" s="28"/>
      <c r="AJ18" s="56">
        <f>AVERAGE(AJ38,AJ53,AJ69)</f>
        <v>26.639807566862363</v>
      </c>
      <c r="AK18" s="95">
        <f>AVERAGE(AK38,AK53,AK69)</f>
        <v>3.4992522746436834E-2</v>
      </c>
      <c r="AL18" s="95">
        <f>AVERAGE(AL38,AL53,AL69)</f>
        <v>0.96246216568819298</v>
      </c>
      <c r="AM18" s="28"/>
      <c r="AN18" s="56">
        <f>AVERAGE(AN38,AN53,AN69)</f>
        <v>26.153215372907155</v>
      </c>
      <c r="AO18" s="95">
        <f>AVERAGE(AO38,AO53,AO69)</f>
        <v>3.4353363158948054E-2</v>
      </c>
      <c r="AP18" s="95">
        <f>AVERAGE(AP38,AP53,AP69)</f>
        <v>0.96417085235920863</v>
      </c>
      <c r="AQ18" s="28"/>
      <c r="AR18" s="56">
        <f>AVERAGE(AR38,AR53,AR69)</f>
        <v>25.357465753424659</v>
      </c>
      <c r="AS18" s="95">
        <f>AVERAGE(AS38,AS53,AS69)</f>
        <v>3.330811211536143E-2</v>
      </c>
      <c r="AT18" s="95">
        <f>AVERAGE(AT38,AT53,AT69)</f>
        <v>0.96714223744292227</v>
      </c>
    </row>
    <row r="20" spans="1:46" x14ac:dyDescent="0.2">
      <c r="C20" s="24"/>
      <c r="D20" s="99">
        <f>(D18-AB18)/AB18</f>
        <v>-0.16001378612692063</v>
      </c>
      <c r="G20" s="24"/>
      <c r="H20" s="99">
        <f>(H18-AF18)/AF18</f>
        <v>-0.14505165896361788</v>
      </c>
      <c r="K20" s="24"/>
      <c r="L20" s="99">
        <f>(L18-AJ18)/AJ18</f>
        <v>-0.11612050542590309</v>
      </c>
      <c r="O20" s="24"/>
      <c r="P20" s="99">
        <f>(P18-AN18)/AN18</f>
        <v>-0.11585733584652565</v>
      </c>
      <c r="S20" s="24"/>
      <c r="T20" s="99">
        <f>(T18-AR18)/AR18</f>
        <v>-9.9654528805923126E-2</v>
      </c>
    </row>
    <row r="21" spans="1:46" ht="15.75" customHeight="1" x14ac:dyDescent="0.2">
      <c r="C21" s="1"/>
      <c r="G21" s="1"/>
    </row>
    <row r="22" spans="1:46" ht="15.75" customHeight="1" x14ac:dyDescent="0.2">
      <c r="C22" s="1"/>
      <c r="G22" s="1"/>
    </row>
    <row r="23" spans="1:46" s="32" customFormat="1" ht="15.75" customHeight="1" thickBot="1" x14ac:dyDescent="0.25">
      <c r="C23" s="34"/>
      <c r="G23" s="34"/>
      <c r="X23" s="93"/>
    </row>
    <row r="24" spans="1:46" s="32" customFormat="1" ht="15.75" customHeight="1" thickBot="1" x14ac:dyDescent="0.25">
      <c r="X24" s="93"/>
    </row>
    <row r="25" spans="1:46" s="27" customFormat="1" ht="15.75" customHeight="1" x14ac:dyDescent="0.2">
      <c r="X25" s="91"/>
    </row>
    <row r="26" spans="1:46" ht="15.75" customHeight="1" x14ac:dyDescent="0.2"/>
    <row r="27" spans="1:46" ht="15.75" customHeight="1" x14ac:dyDescent="0.2">
      <c r="A27" s="1" t="s">
        <v>23</v>
      </c>
      <c r="D27" s="134">
        <v>0.1</v>
      </c>
      <c r="E27" s="133"/>
      <c r="F27" s="133"/>
      <c r="G27" s="2"/>
      <c r="H27" s="134">
        <v>0.2</v>
      </c>
      <c r="I27" s="133"/>
      <c r="J27" s="133"/>
      <c r="K27" s="2"/>
      <c r="L27" s="134">
        <v>0.3</v>
      </c>
      <c r="M27" s="133"/>
      <c r="N27" s="133"/>
      <c r="O27" s="2"/>
      <c r="P27" s="134">
        <v>0.4</v>
      </c>
      <c r="Q27" s="133"/>
      <c r="R27" s="133"/>
      <c r="S27" s="2"/>
      <c r="T27" s="134">
        <v>0.5</v>
      </c>
      <c r="U27" s="133"/>
      <c r="V27" s="133"/>
      <c r="Y27" s="1" t="s">
        <v>23</v>
      </c>
      <c r="AB27" s="134">
        <v>0.1</v>
      </c>
      <c r="AC27" s="133"/>
      <c r="AD27" s="133"/>
      <c r="AE27" s="2"/>
      <c r="AF27" s="134">
        <v>0.2</v>
      </c>
      <c r="AG27" s="133"/>
      <c r="AH27" s="133"/>
      <c r="AI27" s="2"/>
      <c r="AJ27" s="134">
        <v>0.3</v>
      </c>
      <c r="AK27" s="133"/>
      <c r="AL27" s="133"/>
      <c r="AM27" s="2"/>
      <c r="AN27" s="134">
        <v>0.4</v>
      </c>
      <c r="AO27" s="133"/>
      <c r="AP27" s="133"/>
      <c r="AQ27" s="2"/>
      <c r="AR27" s="134">
        <v>0.5</v>
      </c>
      <c r="AS27" s="133"/>
      <c r="AT27" s="133"/>
    </row>
    <row r="28" spans="1:46" ht="15.75" customHeight="1" thickBot="1" x14ac:dyDescent="0.25">
      <c r="B28" s="13" t="s">
        <v>8</v>
      </c>
      <c r="C28" s="22" t="s">
        <v>22</v>
      </c>
      <c r="D28" s="14" t="s">
        <v>7</v>
      </c>
      <c r="E28" s="13" t="s">
        <v>9</v>
      </c>
      <c r="F28" s="13" t="s">
        <v>10</v>
      </c>
      <c r="G28" s="22" t="s">
        <v>22</v>
      </c>
      <c r="H28" s="14" t="s">
        <v>7</v>
      </c>
      <c r="I28" s="13" t="s">
        <v>9</v>
      </c>
      <c r="J28" s="13" t="s">
        <v>10</v>
      </c>
      <c r="K28" s="22" t="s">
        <v>22</v>
      </c>
      <c r="L28" s="13" t="s">
        <v>7</v>
      </c>
      <c r="M28" s="13" t="s">
        <v>9</v>
      </c>
      <c r="N28" s="13" t="s">
        <v>10</v>
      </c>
      <c r="O28" s="22" t="s">
        <v>22</v>
      </c>
      <c r="P28" s="13" t="s">
        <v>7</v>
      </c>
      <c r="Q28" s="13" t="s">
        <v>9</v>
      </c>
      <c r="R28" s="13" t="s">
        <v>10</v>
      </c>
      <c r="S28" s="22" t="s">
        <v>22</v>
      </c>
      <c r="T28" s="13" t="s">
        <v>7</v>
      </c>
      <c r="U28" s="13" t="s">
        <v>9</v>
      </c>
      <c r="V28" s="13" t="s">
        <v>10</v>
      </c>
      <c r="Z28" s="13" t="s">
        <v>8</v>
      </c>
      <c r="AA28" s="22" t="s">
        <v>22</v>
      </c>
      <c r="AB28" s="14" t="s">
        <v>7</v>
      </c>
      <c r="AC28" s="13" t="s">
        <v>9</v>
      </c>
      <c r="AD28" s="13" t="s">
        <v>10</v>
      </c>
      <c r="AE28" s="22" t="s">
        <v>22</v>
      </c>
      <c r="AF28" s="14" t="s">
        <v>7</v>
      </c>
      <c r="AG28" s="13" t="s">
        <v>9</v>
      </c>
      <c r="AH28" s="13" t="s">
        <v>10</v>
      </c>
      <c r="AI28" s="22" t="s">
        <v>22</v>
      </c>
      <c r="AJ28" s="13" t="s">
        <v>7</v>
      </c>
      <c r="AK28" s="13" t="s">
        <v>9</v>
      </c>
      <c r="AL28" s="13" t="s">
        <v>10</v>
      </c>
      <c r="AM28" s="22" t="s">
        <v>22</v>
      </c>
      <c r="AN28" s="13" t="s">
        <v>7</v>
      </c>
      <c r="AO28" s="13" t="s">
        <v>9</v>
      </c>
      <c r="AP28" s="13" t="s">
        <v>10</v>
      </c>
      <c r="AQ28" s="22" t="s">
        <v>22</v>
      </c>
      <c r="AR28" s="13" t="s">
        <v>7</v>
      </c>
      <c r="AS28" s="13" t="s">
        <v>9</v>
      </c>
      <c r="AT28" s="13" t="s">
        <v>10</v>
      </c>
    </row>
    <row r="29" spans="1:46" ht="15.75" customHeight="1" x14ac:dyDescent="0.2">
      <c r="B29" s="1">
        <v>0</v>
      </c>
      <c r="C29" s="23">
        <v>1900</v>
      </c>
      <c r="D29" s="17">
        <v>46.6</v>
      </c>
      <c r="E29" s="16">
        <f t="shared" ref="E29:E36" si="35">D29/$A$5</f>
        <v>6.1211086299750431E-2</v>
      </c>
      <c r="F29" s="28">
        <v>0.90600000000000003</v>
      </c>
      <c r="G29" s="17">
        <v>1710</v>
      </c>
      <c r="H29" s="17">
        <v>26.8</v>
      </c>
      <c r="I29" s="16">
        <f t="shared" ref="I29:I36" si="36">H29/$A$5</f>
        <v>3.5202942335478792E-2</v>
      </c>
      <c r="J29" s="28">
        <v>0.97099999999999997</v>
      </c>
      <c r="K29" s="23">
        <v>1500</v>
      </c>
      <c r="L29" s="28">
        <v>23.3</v>
      </c>
      <c r="M29" s="16">
        <f t="shared" ref="M29:M36" si="37">L29/$A$5</f>
        <v>3.0605543149875215E-2</v>
      </c>
      <c r="N29" s="28">
        <v>0.97699999999999998</v>
      </c>
      <c r="O29" s="23">
        <v>1275</v>
      </c>
      <c r="P29" s="28">
        <v>24.6</v>
      </c>
      <c r="Q29" s="16">
        <f t="shared" ref="Q29:Q36" si="38">P29/$A$5</f>
        <v>3.2313148561670828E-2</v>
      </c>
      <c r="R29" s="28">
        <v>0.97499999999999998</v>
      </c>
      <c r="S29" s="23">
        <v>1095</v>
      </c>
      <c r="T29" s="28">
        <v>24.2</v>
      </c>
      <c r="U29" s="16">
        <f t="shared" ref="U29:U36" si="39">T29/$A$5</f>
        <v>3.178773151188756E-2</v>
      </c>
      <c r="V29" s="28">
        <v>0.97399999999999998</v>
      </c>
      <c r="Z29" s="1">
        <v>0</v>
      </c>
      <c r="AA29" s="23">
        <v>1900</v>
      </c>
      <c r="AB29" s="17">
        <v>52.5</v>
      </c>
      <c r="AC29" s="16">
        <f t="shared" ref="AC29:AC36" si="40">AB29/$A$5</f>
        <v>6.8960987784053601E-2</v>
      </c>
      <c r="AD29" s="28">
        <v>0.89100000000000001</v>
      </c>
      <c r="AE29" s="17">
        <v>1710</v>
      </c>
      <c r="AF29" s="17">
        <v>31.4</v>
      </c>
      <c r="AG29" s="16">
        <f t="shared" ref="AG29:AG34" si="41">AF29/$A$5</f>
        <v>4.1245238407986343E-2</v>
      </c>
      <c r="AH29" s="28">
        <v>0.96399999999999997</v>
      </c>
      <c r="AI29" s="23">
        <v>1500</v>
      </c>
      <c r="AJ29" s="17">
        <v>26.3</v>
      </c>
      <c r="AK29" s="16">
        <f t="shared" ref="AK29:AK34" si="42">AJ29/$A$5</f>
        <v>3.4546171023249708E-2</v>
      </c>
      <c r="AL29" s="28">
        <v>0.97299999999999998</v>
      </c>
      <c r="AM29" s="23">
        <v>1275</v>
      </c>
      <c r="AN29" s="17">
        <v>27.4</v>
      </c>
      <c r="AO29" s="16">
        <f t="shared" ref="AO29:AO34" si="43">AN29/$A$5</f>
        <v>3.5991067910153683E-2</v>
      </c>
      <c r="AP29" s="28">
        <v>0.97</v>
      </c>
      <c r="AQ29" s="23">
        <v>1095</v>
      </c>
      <c r="AR29" s="17">
        <v>26.8</v>
      </c>
      <c r="AS29" s="16">
        <f t="shared" ref="AS29:AS34" si="44">AR29/$A$5</f>
        <v>3.5202942335478792E-2</v>
      </c>
      <c r="AT29" s="28">
        <v>0.97</v>
      </c>
    </row>
    <row r="30" spans="1:46" ht="15.75" customHeight="1" x14ac:dyDescent="0.2">
      <c r="B30" s="1">
        <v>1</v>
      </c>
      <c r="C30" s="23">
        <v>2520</v>
      </c>
      <c r="D30" s="17">
        <v>34.4</v>
      </c>
      <c r="E30" s="16">
        <f t="shared" si="35"/>
        <v>4.5185866281360829E-2</v>
      </c>
      <c r="F30" s="28">
        <v>0.96399999999999997</v>
      </c>
      <c r="G30" s="17">
        <v>2270</v>
      </c>
      <c r="H30" s="17">
        <v>26.2</v>
      </c>
      <c r="I30" s="16">
        <f t="shared" si="36"/>
        <v>3.4414816760803886E-2</v>
      </c>
      <c r="J30" s="28">
        <v>0.97599999999999998</v>
      </c>
      <c r="K30" s="23">
        <v>1995</v>
      </c>
      <c r="L30" s="28">
        <v>25.9</v>
      </c>
      <c r="M30" s="16">
        <f t="shared" si="37"/>
        <v>3.402075397346644E-2</v>
      </c>
      <c r="N30" s="28">
        <v>0.97599999999999998</v>
      </c>
      <c r="O30" s="23">
        <v>1695</v>
      </c>
      <c r="P30" s="28">
        <v>24.7</v>
      </c>
      <c r="Q30" s="16">
        <f t="shared" si="38"/>
        <v>3.2444502824116643E-2</v>
      </c>
      <c r="R30" s="28">
        <v>0.98</v>
      </c>
      <c r="S30" s="23">
        <v>1385</v>
      </c>
      <c r="T30" s="28">
        <v>26</v>
      </c>
      <c r="U30" s="16">
        <f t="shared" si="39"/>
        <v>3.4152108235912255E-2</v>
      </c>
      <c r="V30" s="28">
        <v>0.97699999999999998</v>
      </c>
      <c r="Z30" s="1">
        <v>1</v>
      </c>
      <c r="AA30" s="23">
        <v>2520</v>
      </c>
      <c r="AB30" s="17">
        <v>27.5</v>
      </c>
      <c r="AC30" s="16">
        <f t="shared" si="40"/>
        <v>3.6122422172599505E-2</v>
      </c>
      <c r="AD30" s="28">
        <v>0.95899999999999996</v>
      </c>
      <c r="AE30" s="17">
        <v>2270</v>
      </c>
      <c r="AF30" s="17">
        <v>28.7</v>
      </c>
      <c r="AG30" s="16">
        <f t="shared" si="41"/>
        <v>3.7698673321949296E-2</v>
      </c>
      <c r="AH30" s="28">
        <v>0.97299999999999998</v>
      </c>
      <c r="AI30" s="23">
        <v>1995</v>
      </c>
      <c r="AJ30" s="17">
        <v>28.6</v>
      </c>
      <c r="AK30" s="16">
        <f t="shared" si="42"/>
        <v>3.7567319059503487E-2</v>
      </c>
      <c r="AL30" s="28">
        <v>0.97299999999999998</v>
      </c>
      <c r="AM30" s="23">
        <v>1695</v>
      </c>
      <c r="AN30" s="17">
        <v>27.5</v>
      </c>
      <c r="AO30" s="16">
        <f t="shared" si="43"/>
        <v>3.6122422172599505E-2</v>
      </c>
      <c r="AP30" s="28">
        <v>0.97599999999999998</v>
      </c>
      <c r="AQ30" s="23">
        <v>1385</v>
      </c>
      <c r="AR30" s="17">
        <v>27.1</v>
      </c>
      <c r="AS30" s="16">
        <f t="shared" si="44"/>
        <v>3.5597005122816237E-2</v>
      </c>
      <c r="AT30" s="28">
        <v>0.97599999999999998</v>
      </c>
    </row>
    <row r="31" spans="1:46" ht="15.75" customHeight="1" x14ac:dyDescent="0.2">
      <c r="B31" s="1">
        <v>2</v>
      </c>
      <c r="C31" s="23">
        <v>1680</v>
      </c>
      <c r="D31" s="17">
        <v>36.700000000000003</v>
      </c>
      <c r="E31" s="16">
        <f t="shared" si="35"/>
        <v>4.8207014317614615E-2</v>
      </c>
      <c r="F31" s="28">
        <v>0.95799999999999996</v>
      </c>
      <c r="G31" s="17">
        <v>1485</v>
      </c>
      <c r="H31" s="17">
        <v>30.5</v>
      </c>
      <c r="I31" s="16">
        <f t="shared" si="36"/>
        <v>4.0063050045973991E-2</v>
      </c>
      <c r="J31" s="28">
        <v>0.97099999999999997</v>
      </c>
      <c r="K31" s="23">
        <v>1315</v>
      </c>
      <c r="L31" s="28">
        <v>30.2</v>
      </c>
      <c r="M31" s="16">
        <f t="shared" si="37"/>
        <v>3.9668987258636546E-2</v>
      </c>
      <c r="N31" s="28">
        <v>0.97</v>
      </c>
      <c r="O31" s="23">
        <v>1140</v>
      </c>
      <c r="P31" s="28">
        <v>28.8</v>
      </c>
      <c r="Q31" s="16">
        <f t="shared" si="38"/>
        <v>3.7830027584395118E-2</v>
      </c>
      <c r="R31" s="28">
        <v>0.97</v>
      </c>
      <c r="S31" s="23">
        <v>960</v>
      </c>
      <c r="T31" s="28">
        <v>29.4</v>
      </c>
      <c r="U31" s="16">
        <f t="shared" si="39"/>
        <v>3.8618153159070009E-2</v>
      </c>
      <c r="V31" s="28">
        <v>0.97</v>
      </c>
      <c r="Z31" s="1">
        <v>2</v>
      </c>
      <c r="AA31" s="23">
        <v>1680</v>
      </c>
      <c r="AB31" s="17">
        <v>45.4</v>
      </c>
      <c r="AC31" s="16">
        <f t="shared" si="40"/>
        <v>5.9634835150400634E-2</v>
      </c>
      <c r="AD31" s="28">
        <v>0.94599999999999995</v>
      </c>
      <c r="AE31" s="17">
        <v>1485</v>
      </c>
      <c r="AF31" s="17">
        <v>35.200000000000003</v>
      </c>
      <c r="AG31" s="16">
        <f t="shared" si="41"/>
        <v>4.6236700380927365E-2</v>
      </c>
      <c r="AH31" s="28">
        <v>0.96299999999999997</v>
      </c>
      <c r="AI31" s="23">
        <v>1315</v>
      </c>
      <c r="AJ31" s="17">
        <v>33.299999999999997</v>
      </c>
      <c r="AK31" s="16">
        <f t="shared" si="42"/>
        <v>4.3740969394456847E-2</v>
      </c>
      <c r="AL31" s="28">
        <v>0.96399999999999997</v>
      </c>
      <c r="AM31" s="23">
        <v>1140</v>
      </c>
      <c r="AN31" s="17">
        <v>30.9</v>
      </c>
      <c r="AO31" s="16">
        <f t="shared" si="43"/>
        <v>4.0588467095757259E-2</v>
      </c>
      <c r="AP31" s="28">
        <v>0.96799999999999997</v>
      </c>
      <c r="AQ31" s="23">
        <v>960</v>
      </c>
      <c r="AR31" s="17">
        <v>32.1</v>
      </c>
      <c r="AS31" s="16">
        <f t="shared" si="44"/>
        <v>4.2164718245107057E-2</v>
      </c>
      <c r="AT31" s="28">
        <v>0.96699999999999997</v>
      </c>
    </row>
    <row r="32" spans="1:46" ht="15.75" customHeight="1" x14ac:dyDescent="0.2">
      <c r="B32" s="1">
        <v>3</v>
      </c>
      <c r="C32" s="23">
        <v>850</v>
      </c>
      <c r="D32" s="17">
        <v>36.1</v>
      </c>
      <c r="E32" s="16">
        <f t="shared" si="35"/>
        <v>4.7418888742939716E-2</v>
      </c>
      <c r="F32" s="28">
        <v>0.96299999999999997</v>
      </c>
      <c r="G32" s="17">
        <v>765</v>
      </c>
      <c r="H32" s="17">
        <v>29.1</v>
      </c>
      <c r="I32" s="16">
        <f t="shared" si="36"/>
        <v>3.8224090371732564E-2</v>
      </c>
      <c r="J32" s="28">
        <v>0.97599999999999998</v>
      </c>
      <c r="K32" s="23">
        <v>660</v>
      </c>
      <c r="L32" s="28">
        <v>26.2</v>
      </c>
      <c r="M32" s="16">
        <f t="shared" si="37"/>
        <v>3.4414816760803886E-2</v>
      </c>
      <c r="N32" s="28">
        <v>0.98</v>
      </c>
      <c r="O32" s="23">
        <v>520</v>
      </c>
      <c r="P32" s="28">
        <v>24.5</v>
      </c>
      <c r="Q32" s="16">
        <f t="shared" si="38"/>
        <v>3.2181794299225013E-2</v>
      </c>
      <c r="R32" s="28">
        <v>0.98299999999999998</v>
      </c>
      <c r="S32" s="23">
        <v>410</v>
      </c>
      <c r="T32" s="28">
        <v>20.100000000000001</v>
      </c>
      <c r="U32" s="16">
        <f t="shared" si="39"/>
        <v>2.6402206751609092E-2</v>
      </c>
      <c r="V32" s="28">
        <v>0.98899999999999999</v>
      </c>
      <c r="Z32" s="1">
        <v>3</v>
      </c>
      <c r="AA32" s="23">
        <v>850</v>
      </c>
      <c r="AB32" s="17">
        <v>39.4</v>
      </c>
      <c r="AC32" s="16">
        <f t="shared" si="40"/>
        <v>5.1753579403651648E-2</v>
      </c>
      <c r="AD32" s="28">
        <v>0.95599999999999996</v>
      </c>
      <c r="AE32" s="17">
        <v>765</v>
      </c>
      <c r="AF32" s="17">
        <v>32.9</v>
      </c>
      <c r="AG32" s="16">
        <f t="shared" si="41"/>
        <v>4.3215552344673586E-2</v>
      </c>
      <c r="AH32" s="28">
        <v>0.97</v>
      </c>
      <c r="AI32" s="23">
        <v>660</v>
      </c>
      <c r="AJ32" s="17">
        <v>29.5</v>
      </c>
      <c r="AK32" s="16">
        <f t="shared" si="42"/>
        <v>3.8749507421515832E-2</v>
      </c>
      <c r="AL32" s="28">
        <v>0.97599999999999998</v>
      </c>
      <c r="AM32" s="23">
        <v>520</v>
      </c>
      <c r="AN32" s="17">
        <v>28.4</v>
      </c>
      <c r="AO32" s="16">
        <f t="shared" si="43"/>
        <v>3.730461053461185E-2</v>
      </c>
      <c r="AP32" s="28">
        <v>0.97799999999999998</v>
      </c>
      <c r="AQ32" s="23">
        <v>410</v>
      </c>
      <c r="AR32" s="17">
        <v>23.7</v>
      </c>
      <c r="AS32" s="16">
        <f t="shared" si="44"/>
        <v>3.113096019965848E-2</v>
      </c>
      <c r="AT32" s="28">
        <v>0.98499999999999999</v>
      </c>
    </row>
    <row r="33" spans="1:46" ht="15.75" customHeight="1" x14ac:dyDescent="0.2">
      <c r="B33" s="1">
        <v>4</v>
      </c>
      <c r="C33" s="23">
        <v>2190</v>
      </c>
      <c r="D33" s="17">
        <v>30.9</v>
      </c>
      <c r="E33" s="16">
        <f t="shared" si="35"/>
        <v>4.0588467095757259E-2</v>
      </c>
      <c r="F33" s="28">
        <v>0.97</v>
      </c>
      <c r="G33" s="17">
        <v>1910</v>
      </c>
      <c r="H33" s="17">
        <v>24.7</v>
      </c>
      <c r="I33" s="16">
        <f t="shared" si="36"/>
        <v>3.2444502824116643E-2</v>
      </c>
      <c r="J33" s="28">
        <v>0.98099999999999998</v>
      </c>
      <c r="K33" s="23">
        <v>1650</v>
      </c>
      <c r="L33" s="28">
        <v>22.8</v>
      </c>
      <c r="M33" s="16">
        <f t="shared" si="37"/>
        <v>2.9948771837646136E-2</v>
      </c>
      <c r="N33" s="28">
        <v>0.98399999999999999</v>
      </c>
      <c r="O33" s="23">
        <v>1405</v>
      </c>
      <c r="P33" s="28">
        <v>23.5</v>
      </c>
      <c r="Q33" s="16">
        <f t="shared" si="38"/>
        <v>3.0868251674766849E-2</v>
      </c>
      <c r="R33" s="28">
        <v>0.98299999999999998</v>
      </c>
      <c r="S33" s="23">
        <v>1195</v>
      </c>
      <c r="T33" s="28">
        <v>23</v>
      </c>
      <c r="U33" s="16">
        <f t="shared" si="39"/>
        <v>3.0211480362537766E-2</v>
      </c>
      <c r="V33" s="28">
        <v>0.98399999999999999</v>
      </c>
      <c r="Z33" s="1">
        <v>4</v>
      </c>
      <c r="AA33" s="23">
        <v>2190</v>
      </c>
      <c r="AB33" s="17">
        <v>34.9</v>
      </c>
      <c r="AC33" s="16">
        <f t="shared" si="40"/>
        <v>4.5842637593589912E-2</v>
      </c>
      <c r="AD33" s="28">
        <v>0.96499999999999997</v>
      </c>
      <c r="AE33" s="17">
        <v>1910</v>
      </c>
      <c r="AF33" s="17">
        <v>28.6</v>
      </c>
      <c r="AG33" s="16">
        <f t="shared" si="41"/>
        <v>3.7567319059503487E-2</v>
      </c>
      <c r="AH33" s="28">
        <v>0.97699999999999998</v>
      </c>
      <c r="AI33" s="23">
        <v>1650</v>
      </c>
      <c r="AJ33" s="17">
        <v>26.5</v>
      </c>
      <c r="AK33" s="16">
        <f t="shared" si="42"/>
        <v>3.4808879548141339E-2</v>
      </c>
      <c r="AL33" s="28">
        <v>0.97899999999999998</v>
      </c>
      <c r="AM33" s="23">
        <v>1405</v>
      </c>
      <c r="AN33" s="17">
        <v>26.6</v>
      </c>
      <c r="AO33" s="16">
        <f t="shared" si="43"/>
        <v>3.4940233810587154E-2</v>
      </c>
      <c r="AP33" s="28">
        <v>0.97899999999999998</v>
      </c>
      <c r="AQ33" s="23">
        <v>1195</v>
      </c>
      <c r="AR33" s="17">
        <v>27.3</v>
      </c>
      <c r="AS33" s="16">
        <f t="shared" si="44"/>
        <v>3.5859713647707868E-2</v>
      </c>
      <c r="AT33" s="28">
        <v>0.97799999999999998</v>
      </c>
    </row>
    <row r="34" spans="1:46" ht="15.75" customHeight="1" x14ac:dyDescent="0.2">
      <c r="B34" s="1">
        <v>5</v>
      </c>
      <c r="C34" s="23">
        <v>1260</v>
      </c>
      <c r="D34" s="17">
        <v>20.7</v>
      </c>
      <c r="E34" s="16">
        <f t="shared" si="35"/>
        <v>2.7190332326283987E-2</v>
      </c>
      <c r="F34" s="28">
        <v>0.90200000000000002</v>
      </c>
      <c r="G34" s="17">
        <v>1135</v>
      </c>
      <c r="H34" s="17">
        <v>21.6</v>
      </c>
      <c r="I34" s="16">
        <f t="shared" si="36"/>
        <v>2.8372520688296338E-2</v>
      </c>
      <c r="J34" s="28">
        <v>0.92</v>
      </c>
      <c r="K34" s="23">
        <v>995</v>
      </c>
      <c r="L34" s="28">
        <v>18</v>
      </c>
      <c r="M34" s="16">
        <f t="shared" si="37"/>
        <v>2.3643767240246947E-2</v>
      </c>
      <c r="N34" s="28">
        <v>0.94399999999999995</v>
      </c>
      <c r="O34" s="23">
        <v>890</v>
      </c>
      <c r="P34" s="28">
        <v>18.3</v>
      </c>
      <c r="Q34" s="16">
        <f t="shared" si="38"/>
        <v>2.4037830027584396E-2</v>
      </c>
      <c r="R34" s="28">
        <v>0.94199999999999995</v>
      </c>
      <c r="S34" s="23">
        <v>765</v>
      </c>
      <c r="T34" s="28">
        <v>17.5</v>
      </c>
      <c r="U34" s="16">
        <f t="shared" si="39"/>
        <v>2.2986995928017867E-2</v>
      </c>
      <c r="V34" s="28">
        <v>0.94399999999999995</v>
      </c>
      <c r="Z34" s="1">
        <v>5</v>
      </c>
      <c r="AA34" s="23">
        <v>1260</v>
      </c>
      <c r="AB34" s="17">
        <v>27.9</v>
      </c>
      <c r="AC34" s="16">
        <f t="shared" si="40"/>
        <v>3.6647839222382766E-2</v>
      </c>
      <c r="AD34" s="28">
        <v>0.82099999999999995</v>
      </c>
      <c r="AE34" s="17">
        <v>1135</v>
      </c>
      <c r="AF34" s="17">
        <v>25.4</v>
      </c>
      <c r="AG34" s="16">
        <f t="shared" si="41"/>
        <v>3.3363982661237357E-2</v>
      </c>
      <c r="AH34" s="28">
        <v>0.90100000000000002</v>
      </c>
      <c r="AI34" s="23">
        <v>995</v>
      </c>
      <c r="AJ34" s="17">
        <v>22</v>
      </c>
      <c r="AK34" s="16">
        <f t="shared" si="42"/>
        <v>2.8897937738079603E-2</v>
      </c>
      <c r="AL34" s="28">
        <v>0.92200000000000004</v>
      </c>
      <c r="AM34" s="23">
        <v>890</v>
      </c>
      <c r="AN34" s="17">
        <v>21.7</v>
      </c>
      <c r="AO34" s="16">
        <f t="shared" si="43"/>
        <v>2.8503874950742154E-2</v>
      </c>
      <c r="AP34" s="28">
        <v>0.92300000000000004</v>
      </c>
      <c r="AQ34" s="23">
        <v>765</v>
      </c>
      <c r="AR34" s="17">
        <v>20.8</v>
      </c>
      <c r="AS34" s="16">
        <f t="shared" si="44"/>
        <v>2.7321686588729806E-2</v>
      </c>
      <c r="AT34" s="28">
        <v>0.92900000000000005</v>
      </c>
    </row>
    <row r="35" spans="1:46" ht="15.75" customHeight="1" x14ac:dyDescent="0.2">
      <c r="B35" s="1">
        <v>6</v>
      </c>
      <c r="C35" s="23">
        <v>1970</v>
      </c>
      <c r="D35" s="17">
        <v>27.3</v>
      </c>
      <c r="E35" s="16">
        <f t="shared" si="35"/>
        <v>3.5859713647707868E-2</v>
      </c>
      <c r="F35" s="28">
        <v>0.97</v>
      </c>
      <c r="G35" s="17">
        <v>1730</v>
      </c>
      <c r="H35" s="17">
        <v>21.3</v>
      </c>
      <c r="I35" s="16">
        <f t="shared" si="36"/>
        <v>2.7978457900958889E-2</v>
      </c>
      <c r="J35" s="28">
        <v>0.98399999999999999</v>
      </c>
      <c r="K35" s="23">
        <v>1530</v>
      </c>
      <c r="L35" s="28">
        <v>20.3</v>
      </c>
      <c r="M35" s="16">
        <f t="shared" si="37"/>
        <v>2.6664915276500726E-2</v>
      </c>
      <c r="N35" s="28">
        <v>0.98399999999999999</v>
      </c>
      <c r="O35" s="23">
        <v>1335</v>
      </c>
      <c r="P35" s="28">
        <v>21.2</v>
      </c>
      <c r="Q35" s="16">
        <f t="shared" si="38"/>
        <v>2.784710363851307E-2</v>
      </c>
      <c r="R35" s="28">
        <v>0.98299999999999998</v>
      </c>
      <c r="S35" s="23">
        <v>1070</v>
      </c>
      <c r="T35" s="28">
        <v>21.3</v>
      </c>
      <c r="U35" s="16">
        <f t="shared" si="39"/>
        <v>2.7978457900958889E-2</v>
      </c>
      <c r="V35" s="28">
        <v>0.98199999999999998</v>
      </c>
      <c r="Z35" s="1">
        <v>6</v>
      </c>
      <c r="AA35" s="23">
        <v>1970</v>
      </c>
      <c r="AB35" s="17">
        <v>30.9</v>
      </c>
      <c r="AC35" s="16">
        <f>AB35/$A$5</f>
        <v>4.0588467095757259E-2</v>
      </c>
      <c r="AD35" s="28">
        <v>0.96099999999999997</v>
      </c>
      <c r="AE35" s="17">
        <v>1730</v>
      </c>
      <c r="AF35" s="17">
        <v>24.2</v>
      </c>
      <c r="AG35" s="16">
        <f>AF35/$A$5</f>
        <v>3.178773151188756E-2</v>
      </c>
      <c r="AH35" s="28">
        <v>0.98</v>
      </c>
      <c r="AI35" s="23">
        <v>1530</v>
      </c>
      <c r="AJ35" s="17">
        <v>22.5</v>
      </c>
      <c r="AK35" s="16">
        <f>AJ35/$A$5</f>
        <v>2.9554709050308683E-2</v>
      </c>
      <c r="AL35" s="28">
        <v>0.98199999999999998</v>
      </c>
      <c r="AM35" s="23">
        <v>1335</v>
      </c>
      <c r="AN35" s="17">
        <v>24.1</v>
      </c>
      <c r="AO35" s="16">
        <f>AN35/$A$5</f>
        <v>3.1656377249441751E-2</v>
      </c>
      <c r="AP35" s="28">
        <v>0.97899999999999998</v>
      </c>
      <c r="AQ35" s="23">
        <v>1070</v>
      </c>
      <c r="AR35" s="17">
        <v>23</v>
      </c>
      <c r="AS35" s="16">
        <f>AR35/$A$5</f>
        <v>3.0211480362537766E-2</v>
      </c>
      <c r="AT35" s="28">
        <v>0.98</v>
      </c>
    </row>
    <row r="36" spans="1:46" ht="15.75" customHeight="1" x14ac:dyDescent="0.2">
      <c r="B36" s="1">
        <v>7</v>
      </c>
      <c r="C36" s="23">
        <v>770</v>
      </c>
      <c r="D36" s="17">
        <v>25.1</v>
      </c>
      <c r="E36" s="16">
        <f t="shared" si="35"/>
        <v>3.2969919873899911E-2</v>
      </c>
      <c r="F36" s="28">
        <v>0.93100000000000005</v>
      </c>
      <c r="G36" s="17">
        <v>675</v>
      </c>
      <c r="H36" s="17">
        <v>20.6</v>
      </c>
      <c r="I36" s="16">
        <f t="shared" si="36"/>
        <v>2.7058978063838175E-2</v>
      </c>
      <c r="J36" s="28">
        <v>0.94499999999999995</v>
      </c>
      <c r="K36" s="23">
        <v>575</v>
      </c>
      <c r="L36" s="28">
        <v>20.8</v>
      </c>
      <c r="M36" s="16">
        <f t="shared" si="37"/>
        <v>2.7321686588729806E-2</v>
      </c>
      <c r="N36" s="28">
        <v>0.94399999999999995</v>
      </c>
      <c r="O36" s="23">
        <v>500</v>
      </c>
      <c r="P36" s="28">
        <v>20</v>
      </c>
      <c r="Q36" s="16">
        <f t="shared" si="38"/>
        <v>2.6270852489163277E-2</v>
      </c>
      <c r="R36" s="28">
        <v>0.94299999999999995</v>
      </c>
      <c r="S36" s="23">
        <v>420</v>
      </c>
      <c r="T36" s="28">
        <v>19.8</v>
      </c>
      <c r="U36" s="16">
        <f t="shared" si="39"/>
        <v>2.6008143964271643E-2</v>
      </c>
      <c r="V36" s="28">
        <v>0.93799999999999994</v>
      </c>
      <c r="Z36" s="1">
        <v>7</v>
      </c>
      <c r="AA36" s="23">
        <v>770</v>
      </c>
      <c r="AB36" s="17">
        <v>52.7</v>
      </c>
      <c r="AC36" s="16">
        <f t="shared" si="40"/>
        <v>6.9223696308945232E-2</v>
      </c>
      <c r="AD36" s="28">
        <v>0.747</v>
      </c>
      <c r="AE36" s="17">
        <v>675</v>
      </c>
      <c r="AF36" s="17">
        <v>29.7</v>
      </c>
      <c r="AG36" s="16">
        <f t="shared" ref="AG36" si="45">AF36/$A$5</f>
        <v>3.9012215946407462E-2</v>
      </c>
      <c r="AH36" s="28">
        <v>0.89700000000000002</v>
      </c>
      <c r="AI36" s="23">
        <v>575</v>
      </c>
      <c r="AJ36" s="17">
        <v>23.8</v>
      </c>
      <c r="AK36" s="16">
        <f t="shared" ref="AK36" si="46">AJ36/$A$5</f>
        <v>3.1262314462104299E-2</v>
      </c>
      <c r="AL36" s="28">
        <v>0.92700000000000005</v>
      </c>
      <c r="AM36" s="23">
        <v>500</v>
      </c>
      <c r="AN36" s="17">
        <v>24.7</v>
      </c>
      <c r="AO36" s="16">
        <f t="shared" ref="AO36" si="47">AN36/$A$5</f>
        <v>3.2444502824116643E-2</v>
      </c>
      <c r="AP36" s="28">
        <v>0.91800000000000004</v>
      </c>
      <c r="AQ36" s="23">
        <v>420</v>
      </c>
      <c r="AR36" s="17">
        <v>24.8</v>
      </c>
      <c r="AS36" s="16">
        <f t="shared" ref="AS36" si="48">AR36/$A$5</f>
        <v>3.2575857086562465E-2</v>
      </c>
      <c r="AT36" s="28">
        <v>0.91600000000000004</v>
      </c>
    </row>
    <row r="37" spans="1:46" ht="15.75" customHeight="1" x14ac:dyDescent="0.2">
      <c r="C37" s="23"/>
      <c r="D37" s="17"/>
      <c r="G37" s="17"/>
      <c r="H37" s="17"/>
      <c r="K37" s="23"/>
      <c r="O37" s="23"/>
      <c r="S37" s="23"/>
      <c r="AA37" s="23"/>
      <c r="AB37" s="17"/>
      <c r="AE37" s="17"/>
      <c r="AF37" s="17"/>
      <c r="AI37" s="23"/>
      <c r="AJ37" s="17"/>
      <c r="AM37" s="23"/>
      <c r="AN37" s="17"/>
      <c r="AQ37" s="23"/>
      <c r="AR37" s="17"/>
    </row>
    <row r="38" spans="1:46" ht="15.75" customHeight="1" x14ac:dyDescent="0.2">
      <c r="B38" s="1" t="s">
        <v>11</v>
      </c>
      <c r="C38" s="23"/>
      <c r="D38" s="7">
        <f>SUMPRODUCT(C29:C36,D29:D36)/SUM(C29:C36)</f>
        <v>33.061643835616437</v>
      </c>
      <c r="E38" s="20">
        <f>SUMPRODUCT(C29:C36,E29:E36)/SUM(C29:C36)</f>
        <v>4.3427878412736681E-2</v>
      </c>
      <c r="F38" s="20">
        <f>SUMPRODUCT(C29:C36,F29:F36)/SUM(C29:C36)</f>
        <v>0.94880213089802135</v>
      </c>
      <c r="G38" s="17"/>
      <c r="H38" s="7">
        <f>SUMPRODUCT(G29:G36,H29:H36)/SUM(G29:G36)</f>
        <v>25.28279109589041</v>
      </c>
      <c r="I38" s="20">
        <f>SUMPRODUCT(G29:G36,I29:I36)/SUM(G29:G36)</f>
        <v>3.3210023769723374E-2</v>
      </c>
      <c r="J38" s="20">
        <f>SUMPRODUCT(G29:G36,J29:J36)/SUM(G29:G36)</f>
        <v>0.9694015410958905</v>
      </c>
      <c r="K38" s="23"/>
      <c r="L38" s="7">
        <f>SUMPRODUCT(K29:K36,L29:L36)/SUM(K29:K36)</f>
        <v>23.696135029354206</v>
      </c>
      <c r="M38" s="20">
        <f>SUMPRODUCT(K29:K36,M29:M36)/SUM(K29:K36)</f>
        <v>3.1125883395972949E-2</v>
      </c>
      <c r="N38" s="20">
        <f>SUMPRODUCT(K29:K36,N29:N36)/SUM(K29:K36)</f>
        <v>0.97320645792563587</v>
      </c>
      <c r="O38" s="23"/>
      <c r="P38" s="7">
        <f>SUMPRODUCT(O29:O36,P29:P36)/SUM(O29:O36)</f>
        <v>23.562785388127853</v>
      </c>
      <c r="Q38" s="20">
        <f>SUMPRODUCT(O29:O36,Q29:Q36)/SUM(O29:O36)</f>
        <v>3.0950722958265928E-2</v>
      </c>
      <c r="R38" s="20">
        <f>SUMPRODUCT(O29:O36,R29:R36)/SUM(O29:O36)</f>
        <v>0.97311472602739735</v>
      </c>
      <c r="S38" s="23"/>
      <c r="T38" s="7">
        <f>SUMPRODUCT(S29:S36,T29:T36)/SUM(S29:S36)</f>
        <v>23.418287671232878</v>
      </c>
      <c r="U38" s="20">
        <f>SUMPRODUCT(S29:S36,U29:U36)/SUM(S29:S36)</f>
        <v>3.0760919047987494E-2</v>
      </c>
      <c r="V38" s="20">
        <f>SUMPRODUCT(S29:S36,V29:V36)/SUM(S29:S36)</f>
        <v>0.97248013698630131</v>
      </c>
      <c r="Z38" s="1" t="s">
        <v>11</v>
      </c>
      <c r="AA38" s="23"/>
      <c r="AB38" s="7">
        <f>SUMPRODUCT(AA29:AA36,AB29:AB36)/SUM(AA29:AA36)</f>
        <v>37.431430745814311</v>
      </c>
      <c r="AC38" s="20">
        <f>SUMPRODUCT(AA29:AA36,AC29:AC36)/SUM(AA29:AA36)</f>
        <v>4.9167779779080927E-2</v>
      </c>
      <c r="AD38" s="20">
        <f>SUMPRODUCT(AA29:AA36,AD29:AD36)/SUM(AA29:AA36)</f>
        <v>0.92295509893455108</v>
      </c>
      <c r="AE38" s="17"/>
      <c r="AF38" s="7">
        <f>SUMPRODUCT(AE29:AE36,AF29:AF36)/SUM(AE29:AE36)</f>
        <v>29.251027397260273</v>
      </c>
      <c r="AG38" s="20">
        <f>SUMPRODUCT(AE29:AE36,AG29:AG36)/SUM(AE29:AE36)</f>
        <v>3.8422471295494906E-2</v>
      </c>
      <c r="AH38" s="20">
        <f>SUMPRODUCT(AE29:AE36,AH29:AH36)/SUM(AE29:AE36)</f>
        <v>0.96051669520547933</v>
      </c>
      <c r="AI38" s="23"/>
      <c r="AJ38" s="7">
        <f>SUMPRODUCT(AI29:AI36,AJ29:AJ36)/SUM(AI29:AI36)</f>
        <v>26.760420743639923</v>
      </c>
      <c r="AK38" s="20">
        <f>SUMPRODUCT(AI29:AI36,AK29:AK36)/SUM(AI29:AI36)</f>
        <v>3.5150953295205463E-2</v>
      </c>
      <c r="AL38" s="20">
        <f>SUMPRODUCT(AI29:AI36,AL29:AL36)/SUM(AI29:AI36)</f>
        <v>0.96679843444227009</v>
      </c>
      <c r="AM38" s="23"/>
      <c r="AN38" s="7">
        <f>SUMPRODUCT(AM29:AM36,AN29:AN36)/SUM(AM29:AM36)</f>
        <v>26.56974885844749</v>
      </c>
      <c r="AO38" s="20">
        <f>SUMPRODUCT(AM29:AM36,AO29:AO36)/SUM(AM29:AM36)</f>
        <v>3.490049764671941E-2</v>
      </c>
      <c r="AP38" s="20">
        <f>SUMPRODUCT(AM29:AM36,AP29:AP36)/SUM(AM29:AM36)</f>
        <v>0.96644748858447482</v>
      </c>
      <c r="AQ38" s="23"/>
      <c r="AR38" s="7">
        <f>SUMPRODUCT(AQ29:AQ36,AR29:AR36)/SUM(AQ29:AQ36)</f>
        <v>26.160821917808221</v>
      </c>
      <c r="AS38" s="20">
        <f>SUMPRODUCT(AQ29:AQ36,AS29:AS36)/SUM(AQ29:AQ36)</f>
        <v>3.4363354679900461E-2</v>
      </c>
      <c r="AT38" s="20">
        <f>SUMPRODUCT(AQ29:AQ36,AT29:AT36)/SUM(AQ29:AQ36)</f>
        <v>0.96695821917808211</v>
      </c>
    </row>
    <row r="39" spans="1:46" ht="15.75" customHeight="1" x14ac:dyDescent="0.2">
      <c r="E39">
        <v>5.16</v>
      </c>
      <c r="I39">
        <v>4.1900000000000004</v>
      </c>
      <c r="M39">
        <v>3.97</v>
      </c>
      <c r="Q39">
        <v>3.81</v>
      </c>
      <c r="U39">
        <v>3.81</v>
      </c>
    </row>
    <row r="40" spans="1:46" ht="15.75" customHeight="1" x14ac:dyDescent="0.2">
      <c r="C40" s="1">
        <f>SUM(C29:C36)</f>
        <v>13140</v>
      </c>
      <c r="G40" s="1">
        <f>SUM(G29:G36)</f>
        <v>11680</v>
      </c>
      <c r="K40" s="1">
        <f>SUM(K29:K36)</f>
        <v>10220</v>
      </c>
      <c r="O40" s="1">
        <f>SUM(O29:O36)</f>
        <v>8760</v>
      </c>
      <c r="S40" s="1">
        <f>SUM(S29:S36)</f>
        <v>7300</v>
      </c>
      <c r="AA40" s="1"/>
      <c r="AE40" s="1"/>
      <c r="AI40" s="1"/>
      <c r="AM40" s="1"/>
      <c r="AQ40" s="1"/>
    </row>
    <row r="41" spans="1:46" ht="15.75" customHeight="1" x14ac:dyDescent="0.2"/>
    <row r="42" spans="1:46" ht="15.75" customHeight="1" x14ac:dyDescent="0.2">
      <c r="Y42" s="1" t="s">
        <v>24</v>
      </c>
      <c r="AB42" s="134">
        <v>0.1</v>
      </c>
      <c r="AC42" s="133"/>
      <c r="AD42" s="133"/>
      <c r="AE42" s="2"/>
      <c r="AF42" s="134">
        <v>0.2</v>
      </c>
      <c r="AG42" s="133"/>
      <c r="AH42" s="133"/>
      <c r="AI42" s="2"/>
      <c r="AJ42" s="134">
        <v>0.3</v>
      </c>
      <c r="AK42" s="133"/>
      <c r="AL42" s="133"/>
      <c r="AM42" s="2"/>
      <c r="AN42" s="134">
        <v>0.4</v>
      </c>
      <c r="AO42" s="133"/>
      <c r="AP42" s="133"/>
      <c r="AQ42" s="2"/>
      <c r="AR42" s="134">
        <v>0.5</v>
      </c>
      <c r="AS42" s="133"/>
      <c r="AT42" s="133"/>
    </row>
    <row r="43" spans="1:46" ht="15.75" customHeight="1" thickBot="1" x14ac:dyDescent="0.25">
      <c r="A43" s="1" t="s">
        <v>24</v>
      </c>
      <c r="D43" s="134">
        <v>0.1</v>
      </c>
      <c r="E43" s="133"/>
      <c r="F43" s="133"/>
      <c r="G43" s="2"/>
      <c r="H43" s="134">
        <v>0.2</v>
      </c>
      <c r="I43" s="133"/>
      <c r="J43" s="133"/>
      <c r="K43" s="2"/>
      <c r="L43" s="134">
        <v>0.3</v>
      </c>
      <c r="M43" s="133"/>
      <c r="N43" s="133"/>
      <c r="O43" s="2"/>
      <c r="P43" s="134">
        <v>0.4</v>
      </c>
      <c r="Q43" s="133"/>
      <c r="R43" s="133"/>
      <c r="S43" s="2"/>
      <c r="T43" s="134">
        <v>0.5</v>
      </c>
      <c r="U43" s="133"/>
      <c r="V43" s="133"/>
      <c r="Z43" s="13" t="s">
        <v>8</v>
      </c>
      <c r="AA43" s="22" t="s">
        <v>22</v>
      </c>
      <c r="AB43" s="14" t="s">
        <v>7</v>
      </c>
      <c r="AC43" s="13" t="s">
        <v>9</v>
      </c>
      <c r="AD43" s="13" t="s">
        <v>10</v>
      </c>
      <c r="AE43" s="22" t="s">
        <v>22</v>
      </c>
      <c r="AF43" s="14" t="s">
        <v>7</v>
      </c>
      <c r="AG43" s="13" t="s">
        <v>9</v>
      </c>
      <c r="AH43" s="13" t="s">
        <v>10</v>
      </c>
      <c r="AI43" s="22" t="s">
        <v>22</v>
      </c>
      <c r="AJ43" s="13" t="s">
        <v>7</v>
      </c>
      <c r="AK43" s="13" t="s">
        <v>9</v>
      </c>
      <c r="AL43" s="13" t="s">
        <v>10</v>
      </c>
      <c r="AM43" s="22" t="s">
        <v>22</v>
      </c>
      <c r="AN43" s="13" t="s">
        <v>7</v>
      </c>
      <c r="AO43" s="13" t="s">
        <v>9</v>
      </c>
      <c r="AP43" s="13" t="s">
        <v>10</v>
      </c>
      <c r="AQ43" s="22" t="s">
        <v>22</v>
      </c>
      <c r="AR43" s="13" t="s">
        <v>7</v>
      </c>
      <c r="AS43" s="13" t="s">
        <v>9</v>
      </c>
      <c r="AT43" s="13" t="s">
        <v>10</v>
      </c>
    </row>
    <row r="44" spans="1:46" ht="15.75" customHeight="1" thickBot="1" x14ac:dyDescent="0.25">
      <c r="B44" s="13" t="s">
        <v>8</v>
      </c>
      <c r="C44" s="22" t="s">
        <v>22</v>
      </c>
      <c r="D44" s="14" t="s">
        <v>7</v>
      </c>
      <c r="E44" s="13" t="s">
        <v>9</v>
      </c>
      <c r="F44" s="13" t="s">
        <v>10</v>
      </c>
      <c r="G44" s="22" t="s">
        <v>22</v>
      </c>
      <c r="H44" s="14" t="s">
        <v>7</v>
      </c>
      <c r="I44" s="13" t="s">
        <v>9</v>
      </c>
      <c r="J44" s="13" t="s">
        <v>10</v>
      </c>
      <c r="K44" s="22" t="s">
        <v>22</v>
      </c>
      <c r="L44" s="13" t="s">
        <v>7</v>
      </c>
      <c r="M44" s="13" t="s">
        <v>9</v>
      </c>
      <c r="N44" s="13" t="s">
        <v>10</v>
      </c>
      <c r="O44" s="22" t="s">
        <v>22</v>
      </c>
      <c r="P44" s="13" t="s">
        <v>7</v>
      </c>
      <c r="Q44" s="13" t="s">
        <v>9</v>
      </c>
      <c r="R44" s="13" t="s">
        <v>10</v>
      </c>
      <c r="S44" s="22" t="s">
        <v>22</v>
      </c>
      <c r="T44" s="13" t="s">
        <v>7</v>
      </c>
      <c r="U44" s="13" t="s">
        <v>9</v>
      </c>
      <c r="V44" s="13" t="s">
        <v>10</v>
      </c>
      <c r="Z44" s="1">
        <v>0</v>
      </c>
      <c r="AA44" s="23">
        <v>2245</v>
      </c>
      <c r="AB44" s="17">
        <v>35.4</v>
      </c>
      <c r="AC44" s="16">
        <f t="shared" ref="AC44:AC49" si="49">AB44/$A$5</f>
        <v>4.6499408905818995E-2</v>
      </c>
      <c r="AD44" s="28">
        <v>0.95899999999999996</v>
      </c>
      <c r="AE44" s="17">
        <v>1975</v>
      </c>
      <c r="AF44" s="17">
        <v>34.4</v>
      </c>
      <c r="AG44" s="16">
        <f t="shared" ref="AG44:AG49" si="50">AF44/$A$5</f>
        <v>4.5185866281360829E-2</v>
      </c>
      <c r="AH44" s="28">
        <v>0.96</v>
      </c>
      <c r="AI44" s="23">
        <v>1705</v>
      </c>
      <c r="AJ44" s="17">
        <v>32.6</v>
      </c>
      <c r="AK44" s="16">
        <f t="shared" ref="AK44:AK49" si="51">AJ44/$A$5</f>
        <v>4.282148955733614E-2</v>
      </c>
      <c r="AL44" s="28">
        <v>0.96699999999999997</v>
      </c>
      <c r="AM44" s="23">
        <v>1420</v>
      </c>
      <c r="AN44" s="17">
        <v>30</v>
      </c>
      <c r="AO44" s="16">
        <f t="shared" ref="AO44:AO49" si="52">AN44/$A$5</f>
        <v>3.9406278733744915E-2</v>
      </c>
      <c r="AP44" s="28">
        <v>0.97199999999999998</v>
      </c>
      <c r="AQ44" s="23">
        <v>1180</v>
      </c>
      <c r="AR44" s="17">
        <v>28.4</v>
      </c>
      <c r="AS44" s="16">
        <f t="shared" ref="AS44:AS49" si="53">AR44/$A$5</f>
        <v>3.730461053461185E-2</v>
      </c>
      <c r="AT44" s="28">
        <v>0.97499999999999998</v>
      </c>
    </row>
    <row r="45" spans="1:46" ht="15.75" customHeight="1" x14ac:dyDescent="0.2">
      <c r="B45" s="1">
        <v>0</v>
      </c>
      <c r="C45" s="23">
        <v>2245</v>
      </c>
      <c r="D45" s="17">
        <v>33.6</v>
      </c>
      <c r="E45" s="16">
        <f t="shared" ref="E45:E52" si="54">D45/$A$5</f>
        <v>4.4135032181794306E-2</v>
      </c>
      <c r="F45" s="28">
        <v>0.96199999999999997</v>
      </c>
      <c r="G45" s="17">
        <v>1975</v>
      </c>
      <c r="H45" s="17">
        <v>33.1</v>
      </c>
      <c r="I45" s="16">
        <f t="shared" ref="I45:I52" si="55">H45/$A$5</f>
        <v>4.3478260869565223E-2</v>
      </c>
      <c r="J45" s="28">
        <v>0.96</v>
      </c>
      <c r="K45" s="23">
        <v>1705</v>
      </c>
      <c r="L45" s="28">
        <v>29.6</v>
      </c>
      <c r="M45" s="16">
        <f t="shared" ref="M45:M52" si="56">L45/$A$5</f>
        <v>3.8880861683961647E-2</v>
      </c>
      <c r="N45" s="28">
        <v>0.97</v>
      </c>
      <c r="O45" s="23">
        <v>1420</v>
      </c>
      <c r="P45" s="28">
        <v>27.3</v>
      </c>
      <c r="Q45" s="16">
        <f t="shared" ref="Q45:Q52" si="57">P45/$A$5</f>
        <v>3.5859713647707868E-2</v>
      </c>
      <c r="R45" s="28">
        <v>0.97499999999999998</v>
      </c>
      <c r="S45" s="23">
        <v>1180</v>
      </c>
      <c r="T45" s="28">
        <v>26</v>
      </c>
      <c r="U45" s="16">
        <f t="shared" ref="U45:U52" si="58">T45/$A$5</f>
        <v>3.4152108235912255E-2</v>
      </c>
      <c r="V45" s="28">
        <v>0.97699999999999998</v>
      </c>
      <c r="Z45" s="1">
        <v>1</v>
      </c>
      <c r="AA45" s="23">
        <v>2475</v>
      </c>
      <c r="AB45" s="17">
        <v>28.9</v>
      </c>
      <c r="AC45" s="16">
        <f t="shared" si="49"/>
        <v>3.7961381846840933E-2</v>
      </c>
      <c r="AD45" s="28">
        <v>0.97599999999999998</v>
      </c>
      <c r="AE45" s="17">
        <v>2210</v>
      </c>
      <c r="AF45" s="17">
        <v>23.9</v>
      </c>
      <c r="AG45" s="16">
        <f t="shared" si="50"/>
        <v>3.1393668724550114E-2</v>
      </c>
      <c r="AH45" s="28">
        <v>0.98299999999999998</v>
      </c>
      <c r="AI45" s="23">
        <v>1965</v>
      </c>
      <c r="AJ45" s="17">
        <v>21.5</v>
      </c>
      <c r="AK45" s="16">
        <f t="shared" si="51"/>
        <v>2.824116642585052E-2</v>
      </c>
      <c r="AL45" s="28">
        <v>0.98499999999999999</v>
      </c>
      <c r="AM45" s="23">
        <v>1660</v>
      </c>
      <c r="AN45" s="17">
        <v>22.2</v>
      </c>
      <c r="AO45" s="16">
        <f t="shared" si="52"/>
        <v>2.9160646262971233E-2</v>
      </c>
      <c r="AP45" s="28">
        <v>0.98399999999999999</v>
      </c>
      <c r="AQ45" s="23">
        <v>1405</v>
      </c>
      <c r="AR45" s="17">
        <v>20.7</v>
      </c>
      <c r="AS45" s="16">
        <f t="shared" si="53"/>
        <v>2.7190332326283987E-2</v>
      </c>
      <c r="AT45" s="28">
        <v>0.98599999999999999</v>
      </c>
    </row>
    <row r="46" spans="1:46" ht="15.75" customHeight="1" x14ac:dyDescent="0.2">
      <c r="B46" s="1">
        <v>1</v>
      </c>
      <c r="C46" s="23">
        <v>2475</v>
      </c>
      <c r="D46" s="17">
        <v>24.1</v>
      </c>
      <c r="E46" s="16">
        <f t="shared" si="54"/>
        <v>3.1656377249441751E-2</v>
      </c>
      <c r="F46" s="28">
        <v>0.98199999999999998</v>
      </c>
      <c r="G46" s="17">
        <v>2210</v>
      </c>
      <c r="H46" s="17">
        <v>20.3</v>
      </c>
      <c r="I46" s="16">
        <f t="shared" si="55"/>
        <v>2.6664915276500726E-2</v>
      </c>
      <c r="J46" s="28">
        <v>0.98599999999999999</v>
      </c>
      <c r="K46" s="23">
        <v>1965</v>
      </c>
      <c r="L46" s="28">
        <v>19.100000000000001</v>
      </c>
      <c r="M46" s="16">
        <f t="shared" si="56"/>
        <v>2.5088664127150929E-2</v>
      </c>
      <c r="N46" s="28">
        <v>0.98699999999999999</v>
      </c>
      <c r="O46" s="23">
        <v>1660</v>
      </c>
      <c r="P46" s="28">
        <v>19.8</v>
      </c>
      <c r="Q46" s="16">
        <f t="shared" si="57"/>
        <v>2.6008143964271643E-2</v>
      </c>
      <c r="R46" s="28">
        <v>0.98699999999999999</v>
      </c>
      <c r="S46" s="23">
        <v>1405</v>
      </c>
      <c r="T46" s="28">
        <v>19.5</v>
      </c>
      <c r="U46" s="16">
        <f t="shared" si="58"/>
        <v>2.5614081176934193E-2</v>
      </c>
      <c r="V46" s="28">
        <v>0.98699999999999999</v>
      </c>
      <c r="Z46" s="1">
        <v>2</v>
      </c>
      <c r="AA46" s="23">
        <v>1370</v>
      </c>
      <c r="AB46" s="17">
        <v>34</v>
      </c>
      <c r="AC46" s="16">
        <f t="shared" si="49"/>
        <v>4.4660449231577568E-2</v>
      </c>
      <c r="AD46" s="28">
        <v>0.78100000000000003</v>
      </c>
      <c r="AE46" s="17">
        <v>1215</v>
      </c>
      <c r="AF46" s="17">
        <v>31.1</v>
      </c>
      <c r="AG46" s="16">
        <f t="shared" si="50"/>
        <v>4.0851175620648897E-2</v>
      </c>
      <c r="AH46" s="28">
        <v>0.79500000000000004</v>
      </c>
      <c r="AI46" s="23">
        <v>1095</v>
      </c>
      <c r="AJ46" s="17">
        <v>25.7</v>
      </c>
      <c r="AK46" s="16">
        <f t="shared" si="51"/>
        <v>3.375804544857481E-2</v>
      </c>
      <c r="AL46" s="28">
        <v>0.88400000000000001</v>
      </c>
      <c r="AM46" s="23">
        <v>930</v>
      </c>
      <c r="AN46" s="17">
        <v>23.1</v>
      </c>
      <c r="AO46" s="16">
        <f t="shared" si="52"/>
        <v>3.0342834624983585E-2</v>
      </c>
      <c r="AP46" s="28">
        <v>0.90400000000000003</v>
      </c>
      <c r="AQ46" s="23">
        <v>735</v>
      </c>
      <c r="AR46" s="17">
        <v>21</v>
      </c>
      <c r="AS46" s="16">
        <f t="shared" si="53"/>
        <v>2.758439511362144E-2</v>
      </c>
      <c r="AT46" s="28">
        <v>0.91700000000000004</v>
      </c>
    </row>
    <row r="47" spans="1:46" ht="15.75" customHeight="1" x14ac:dyDescent="0.2">
      <c r="B47" s="1">
        <v>2</v>
      </c>
      <c r="C47" s="23">
        <v>1370</v>
      </c>
      <c r="D47" s="17">
        <v>27.7</v>
      </c>
      <c r="E47" s="16">
        <f t="shared" si="54"/>
        <v>3.6385130697491136E-2</v>
      </c>
      <c r="F47" s="28">
        <v>0.85699999999999998</v>
      </c>
      <c r="G47" s="17">
        <v>1215</v>
      </c>
      <c r="H47" s="17">
        <v>22.8</v>
      </c>
      <c r="I47" s="16">
        <f t="shared" si="55"/>
        <v>2.9948771837646136E-2</v>
      </c>
      <c r="J47" s="28">
        <v>0.88300000000000001</v>
      </c>
      <c r="K47" s="23">
        <v>1095</v>
      </c>
      <c r="L47" s="28">
        <v>21.6</v>
      </c>
      <c r="M47" s="16">
        <f t="shared" si="56"/>
        <v>2.8372520688296338E-2</v>
      </c>
      <c r="N47" s="28">
        <v>0.91200000000000003</v>
      </c>
      <c r="O47" s="23">
        <v>930</v>
      </c>
      <c r="P47" s="28">
        <v>20.399999999999999</v>
      </c>
      <c r="Q47" s="16">
        <f t="shared" si="57"/>
        <v>2.6796269538946538E-2</v>
      </c>
      <c r="R47" s="28">
        <v>0.92100000000000004</v>
      </c>
      <c r="S47" s="23">
        <v>735</v>
      </c>
      <c r="T47" s="28">
        <v>19</v>
      </c>
      <c r="U47" s="16">
        <f t="shared" si="58"/>
        <v>2.495730986470511E-2</v>
      </c>
      <c r="V47" s="28">
        <v>0.92900000000000005</v>
      </c>
      <c r="Z47" s="1">
        <v>3</v>
      </c>
      <c r="AA47" s="23">
        <v>1890</v>
      </c>
      <c r="AB47" s="17">
        <v>32</v>
      </c>
      <c r="AC47" s="16">
        <f t="shared" si="49"/>
        <v>4.2033363982661241E-2</v>
      </c>
      <c r="AD47" s="28">
        <v>0.97</v>
      </c>
      <c r="AE47" s="17">
        <v>1750</v>
      </c>
      <c r="AF47" s="17">
        <v>27.7</v>
      </c>
      <c r="AG47" s="16">
        <f t="shared" si="50"/>
        <v>3.6385130697491136E-2</v>
      </c>
      <c r="AH47" s="28">
        <v>0.97799999999999998</v>
      </c>
      <c r="AI47" s="23">
        <v>1510</v>
      </c>
      <c r="AJ47" s="17">
        <v>24.3</v>
      </c>
      <c r="AK47" s="16">
        <f t="shared" si="51"/>
        <v>3.1919085774333382E-2</v>
      </c>
      <c r="AL47" s="28">
        <v>0.98099999999999998</v>
      </c>
      <c r="AM47" s="23">
        <v>1335</v>
      </c>
      <c r="AN47" s="17">
        <v>24.8</v>
      </c>
      <c r="AO47" s="16">
        <f t="shared" si="52"/>
        <v>3.2575857086562465E-2</v>
      </c>
      <c r="AP47" s="28">
        <v>0.97899999999999998</v>
      </c>
      <c r="AQ47" s="23">
        <v>1155</v>
      </c>
      <c r="AR47" s="17">
        <v>27.1</v>
      </c>
      <c r="AS47" s="16">
        <f t="shared" si="53"/>
        <v>3.5597005122816237E-2</v>
      </c>
      <c r="AT47" s="28">
        <v>0.97599999999999998</v>
      </c>
    </row>
    <row r="48" spans="1:46" ht="15.75" customHeight="1" x14ac:dyDescent="0.2">
      <c r="B48" s="1">
        <v>3</v>
      </c>
      <c r="C48" s="23">
        <v>1890</v>
      </c>
      <c r="D48" s="17">
        <v>28.6</v>
      </c>
      <c r="E48" s="16">
        <f t="shared" si="54"/>
        <v>3.7567319059503487E-2</v>
      </c>
      <c r="F48" s="28">
        <v>0.97499999999999998</v>
      </c>
      <c r="G48" s="17">
        <v>1750</v>
      </c>
      <c r="H48" s="17">
        <v>22.3</v>
      </c>
      <c r="I48" s="16">
        <f t="shared" si="55"/>
        <v>2.9292000525417052E-2</v>
      </c>
      <c r="J48" s="28">
        <v>0.98399999999999999</v>
      </c>
      <c r="K48" s="23">
        <v>1510</v>
      </c>
      <c r="L48" s="28">
        <v>22.2</v>
      </c>
      <c r="M48" s="16">
        <f t="shared" si="56"/>
        <v>2.9160646262971233E-2</v>
      </c>
      <c r="N48" s="28">
        <v>0.98299999999999998</v>
      </c>
      <c r="O48" s="23">
        <v>1335</v>
      </c>
      <c r="P48" s="28">
        <v>21.9</v>
      </c>
      <c r="Q48" s="16">
        <f t="shared" si="57"/>
        <v>2.8766583475633784E-2</v>
      </c>
      <c r="R48" s="28">
        <v>0.98299999999999998</v>
      </c>
      <c r="S48" s="23">
        <v>1155</v>
      </c>
      <c r="T48" s="28">
        <v>24.1</v>
      </c>
      <c r="U48" s="16">
        <f t="shared" si="58"/>
        <v>3.1656377249441751E-2</v>
      </c>
      <c r="V48" s="28">
        <v>0.98</v>
      </c>
      <c r="Z48" s="1">
        <v>4</v>
      </c>
      <c r="AA48" s="23">
        <v>640</v>
      </c>
      <c r="AB48" s="17">
        <v>48.6</v>
      </c>
      <c r="AC48" s="16">
        <f t="shared" si="49"/>
        <v>6.3838171548666764E-2</v>
      </c>
      <c r="AD48" s="28">
        <v>0.93700000000000006</v>
      </c>
      <c r="AE48" s="17">
        <v>535</v>
      </c>
      <c r="AF48" s="17">
        <v>36.1</v>
      </c>
      <c r="AG48" s="16">
        <f t="shared" si="50"/>
        <v>4.7418888742939716E-2</v>
      </c>
      <c r="AH48" s="28">
        <v>0.96499999999999997</v>
      </c>
      <c r="AI48" s="23">
        <v>420</v>
      </c>
      <c r="AJ48" s="17">
        <v>35.5</v>
      </c>
      <c r="AK48" s="16">
        <f t="shared" si="51"/>
        <v>4.663076316826481E-2</v>
      </c>
      <c r="AL48" s="28">
        <v>0.96499999999999997</v>
      </c>
      <c r="AM48" s="23">
        <v>355</v>
      </c>
      <c r="AN48" s="17">
        <v>33.1</v>
      </c>
      <c r="AO48" s="16">
        <f t="shared" si="52"/>
        <v>4.3478260869565223E-2</v>
      </c>
      <c r="AP48" s="28">
        <v>0.96799999999999997</v>
      </c>
      <c r="AQ48" s="23">
        <v>300</v>
      </c>
      <c r="AR48" s="17">
        <v>34</v>
      </c>
      <c r="AS48" s="16">
        <f t="shared" si="53"/>
        <v>4.4660449231577568E-2</v>
      </c>
      <c r="AT48" s="28">
        <v>0.96799999999999997</v>
      </c>
    </row>
    <row r="49" spans="1:46" ht="15.75" customHeight="1" x14ac:dyDescent="0.2">
      <c r="B49" s="1">
        <v>4</v>
      </c>
      <c r="C49" s="23">
        <v>640</v>
      </c>
      <c r="D49" s="17">
        <v>39.299999999999997</v>
      </c>
      <c r="E49" s="16">
        <f t="shared" si="54"/>
        <v>5.1622225141205832E-2</v>
      </c>
      <c r="F49" s="28">
        <v>0.95899999999999996</v>
      </c>
      <c r="G49" s="17">
        <v>535</v>
      </c>
      <c r="H49" s="17">
        <v>31.3</v>
      </c>
      <c r="I49" s="16">
        <f t="shared" si="55"/>
        <v>4.1113884145540527E-2</v>
      </c>
      <c r="J49" s="28">
        <v>0.97199999999999998</v>
      </c>
      <c r="K49" s="23">
        <v>420</v>
      </c>
      <c r="L49" s="28">
        <v>29.5</v>
      </c>
      <c r="M49" s="16">
        <f t="shared" si="56"/>
        <v>3.8749507421515832E-2</v>
      </c>
      <c r="N49" s="28">
        <v>0.97299999999999998</v>
      </c>
      <c r="O49" s="23">
        <v>355</v>
      </c>
      <c r="P49" s="28">
        <v>26.8</v>
      </c>
      <c r="Q49" s="16">
        <f t="shared" si="57"/>
        <v>3.5202942335478792E-2</v>
      </c>
      <c r="R49" s="28">
        <v>0.97599999999999998</v>
      </c>
      <c r="S49" s="23">
        <v>300</v>
      </c>
      <c r="T49" s="28">
        <v>26.4</v>
      </c>
      <c r="U49" s="16">
        <f t="shared" si="58"/>
        <v>3.4677525285695524E-2</v>
      </c>
      <c r="V49" s="28">
        <v>0.97699999999999998</v>
      </c>
      <c r="Z49" s="1">
        <v>5</v>
      </c>
      <c r="AA49" s="23">
        <v>2455</v>
      </c>
      <c r="AB49" s="17">
        <v>32.9</v>
      </c>
      <c r="AC49" s="16">
        <f t="shared" si="49"/>
        <v>4.3215552344673586E-2</v>
      </c>
      <c r="AD49" s="28">
        <v>0.97099999999999997</v>
      </c>
      <c r="AE49" s="17">
        <v>2190</v>
      </c>
      <c r="AF49" s="17">
        <v>27.7</v>
      </c>
      <c r="AG49" s="16">
        <f t="shared" si="50"/>
        <v>3.6385130697491136E-2</v>
      </c>
      <c r="AH49" s="28">
        <v>0.97899999999999998</v>
      </c>
      <c r="AI49" s="23">
        <v>1925</v>
      </c>
      <c r="AJ49" s="17">
        <v>21</v>
      </c>
      <c r="AK49" s="16">
        <f t="shared" si="51"/>
        <v>2.758439511362144E-2</v>
      </c>
      <c r="AL49" s="28">
        <v>0.98599999999999999</v>
      </c>
      <c r="AM49" s="23">
        <v>1690</v>
      </c>
      <c r="AN49" s="17">
        <v>23.7</v>
      </c>
      <c r="AO49" s="16">
        <f t="shared" si="52"/>
        <v>3.113096019965848E-2</v>
      </c>
      <c r="AP49" s="28">
        <v>0.98299999999999998</v>
      </c>
      <c r="AQ49" s="23">
        <v>1450</v>
      </c>
      <c r="AR49" s="17">
        <v>22.2</v>
      </c>
      <c r="AS49" s="16">
        <f t="shared" si="53"/>
        <v>2.9160646262971233E-2</v>
      </c>
      <c r="AT49" s="28">
        <v>0.98399999999999999</v>
      </c>
    </row>
    <row r="50" spans="1:46" ht="15.75" customHeight="1" x14ac:dyDescent="0.2">
      <c r="B50" s="1">
        <v>5</v>
      </c>
      <c r="C50" s="23">
        <v>2455</v>
      </c>
      <c r="D50" s="17">
        <v>27.3</v>
      </c>
      <c r="E50" s="16">
        <f t="shared" si="54"/>
        <v>3.5859713647707868E-2</v>
      </c>
      <c r="F50" s="28">
        <v>0.97899999999999998</v>
      </c>
      <c r="G50" s="17">
        <v>2190</v>
      </c>
      <c r="H50" s="17">
        <v>21</v>
      </c>
      <c r="I50" s="16">
        <f t="shared" si="55"/>
        <v>2.758439511362144E-2</v>
      </c>
      <c r="J50" s="28">
        <v>0.98699999999999999</v>
      </c>
      <c r="K50" s="23">
        <v>1925</v>
      </c>
      <c r="L50" s="28">
        <v>18.899999999999999</v>
      </c>
      <c r="M50" s="16">
        <f t="shared" si="56"/>
        <v>2.4825955602259291E-2</v>
      </c>
      <c r="N50" s="28">
        <v>0.98799999999999999</v>
      </c>
      <c r="O50" s="23">
        <v>1690</v>
      </c>
      <c r="P50" s="28">
        <v>19.8</v>
      </c>
      <c r="Q50" s="16">
        <f t="shared" si="57"/>
        <v>2.6008143964271643E-2</v>
      </c>
      <c r="R50" s="28">
        <v>0.98699999999999999</v>
      </c>
      <c r="S50" s="23">
        <v>1450</v>
      </c>
      <c r="T50" s="28">
        <v>21</v>
      </c>
      <c r="U50" s="16">
        <f t="shared" si="58"/>
        <v>2.758439511362144E-2</v>
      </c>
      <c r="V50" s="28">
        <v>0.98499999999999999</v>
      </c>
      <c r="Z50" s="1">
        <v>6</v>
      </c>
      <c r="AA50" s="23">
        <v>915</v>
      </c>
      <c r="AB50" s="17">
        <v>52.5</v>
      </c>
      <c r="AC50" s="16">
        <f>AB50/$A$5</f>
        <v>6.8960987784053601E-2</v>
      </c>
      <c r="AD50" s="28">
        <v>0.82899999999999996</v>
      </c>
      <c r="AE50" s="17">
        <v>785</v>
      </c>
      <c r="AF50" s="17">
        <v>33.6</v>
      </c>
      <c r="AG50" s="16">
        <f>AF50/$A$5</f>
        <v>4.4135032181794306E-2</v>
      </c>
      <c r="AH50" s="28">
        <v>0.93200000000000005</v>
      </c>
      <c r="AI50" s="23">
        <v>665</v>
      </c>
      <c r="AJ50" s="17">
        <v>27.7</v>
      </c>
      <c r="AK50" s="16">
        <f>AJ50/$A$5</f>
        <v>3.6385130697491136E-2</v>
      </c>
      <c r="AL50" s="28">
        <v>0.94399999999999995</v>
      </c>
      <c r="AM50" s="23">
        <v>580</v>
      </c>
      <c r="AN50" s="17">
        <v>26.6</v>
      </c>
      <c r="AO50" s="16">
        <f>AN50/$A$5</f>
        <v>3.4940233810587154E-2</v>
      </c>
      <c r="AP50" s="28">
        <v>0.93600000000000005</v>
      </c>
      <c r="AQ50" s="23">
        <v>460</v>
      </c>
      <c r="AR50" s="17">
        <v>24.9</v>
      </c>
      <c r="AS50" s="16">
        <f>AR50/$A$5</f>
        <v>3.2707211349008274E-2</v>
      </c>
      <c r="AT50" s="28">
        <v>0.94499999999999995</v>
      </c>
    </row>
    <row r="51" spans="1:46" ht="15.75" customHeight="1" x14ac:dyDescent="0.2">
      <c r="B51" s="1">
        <v>6</v>
      </c>
      <c r="C51" s="23">
        <v>915</v>
      </c>
      <c r="D51" s="17">
        <v>43.9</v>
      </c>
      <c r="E51" s="16">
        <f t="shared" si="54"/>
        <v>5.7664521213713384E-2</v>
      </c>
      <c r="F51" s="28">
        <v>0.877</v>
      </c>
      <c r="G51" s="17">
        <v>785</v>
      </c>
      <c r="H51" s="17">
        <v>29.2</v>
      </c>
      <c r="I51" s="16">
        <f t="shared" si="55"/>
        <v>3.8355444634178379E-2</v>
      </c>
      <c r="J51" s="28">
        <v>0.94</v>
      </c>
      <c r="K51" s="23">
        <v>665</v>
      </c>
      <c r="L51" s="28">
        <v>24.2</v>
      </c>
      <c r="M51" s="16">
        <f t="shared" si="56"/>
        <v>3.178773151188756E-2</v>
      </c>
      <c r="N51" s="28">
        <v>0.95</v>
      </c>
      <c r="O51" s="23">
        <v>580</v>
      </c>
      <c r="P51" s="28">
        <v>23</v>
      </c>
      <c r="Q51" s="16">
        <f t="shared" si="57"/>
        <v>3.0211480362537766E-2</v>
      </c>
      <c r="R51" s="28">
        <v>0.94599999999999995</v>
      </c>
      <c r="S51" s="23">
        <v>460</v>
      </c>
      <c r="T51" s="28">
        <v>22.1</v>
      </c>
      <c r="U51" s="16">
        <f t="shared" si="58"/>
        <v>2.9029292000525422E-2</v>
      </c>
      <c r="V51" s="28">
        <v>0.95099999999999996</v>
      </c>
      <c r="Z51" s="1">
        <v>7</v>
      </c>
      <c r="AA51" s="23">
        <v>1150</v>
      </c>
      <c r="AB51" s="17">
        <v>63.7</v>
      </c>
      <c r="AC51" s="16">
        <f t="shared" ref="AC51" si="59">AB51/$A$5</f>
        <v>8.3672665177985037E-2</v>
      </c>
      <c r="AD51" s="28">
        <v>0.79400000000000004</v>
      </c>
      <c r="AE51" s="17">
        <v>1020</v>
      </c>
      <c r="AF51" s="17">
        <v>34.799999999999997</v>
      </c>
      <c r="AG51" s="16">
        <f t="shared" ref="AG51" si="60">AF51/$A$5</f>
        <v>4.5711283331144097E-2</v>
      </c>
      <c r="AH51" s="28">
        <v>0.91500000000000004</v>
      </c>
      <c r="AI51" s="23">
        <v>935</v>
      </c>
      <c r="AJ51" s="17">
        <v>32.6</v>
      </c>
      <c r="AK51" s="16">
        <f t="shared" ref="AK51" si="61">AJ51/$A$5</f>
        <v>4.282148955733614E-2</v>
      </c>
      <c r="AL51" s="28">
        <v>0.92700000000000005</v>
      </c>
      <c r="AM51" s="23">
        <v>790</v>
      </c>
      <c r="AN51" s="17">
        <v>26.8</v>
      </c>
      <c r="AO51" s="16">
        <f t="shared" ref="AO51" si="62">AN51/$A$5</f>
        <v>3.5202942335478792E-2</v>
      </c>
      <c r="AP51" s="28">
        <v>0.94799999999999995</v>
      </c>
      <c r="AQ51" s="23">
        <v>615</v>
      </c>
      <c r="AR51" s="17">
        <v>25.3</v>
      </c>
      <c r="AS51" s="16">
        <f t="shared" ref="AS51" si="63">AR51/$A$5</f>
        <v>3.3232628398791542E-2</v>
      </c>
      <c r="AT51" s="28">
        <v>0.95699999999999996</v>
      </c>
    </row>
    <row r="52" spans="1:46" ht="15.75" customHeight="1" x14ac:dyDescent="0.2">
      <c r="B52" s="1">
        <v>7</v>
      </c>
      <c r="C52" s="23">
        <v>1150</v>
      </c>
      <c r="D52" s="17">
        <v>47.9</v>
      </c>
      <c r="E52" s="16">
        <f t="shared" si="54"/>
        <v>6.2918691711546043E-2</v>
      </c>
      <c r="F52" s="28">
        <v>0.86699999999999999</v>
      </c>
      <c r="G52" s="17">
        <v>1020</v>
      </c>
      <c r="H52" s="17">
        <v>28.6</v>
      </c>
      <c r="I52" s="16">
        <f t="shared" si="55"/>
        <v>3.7567319059503487E-2</v>
      </c>
      <c r="J52" s="28">
        <v>0.93899999999999995</v>
      </c>
      <c r="K52" s="23">
        <v>935</v>
      </c>
      <c r="L52" s="28">
        <v>26.9</v>
      </c>
      <c r="M52" s="16">
        <f t="shared" si="56"/>
        <v>3.53342965979246E-2</v>
      </c>
      <c r="N52" s="28">
        <v>0.94699999999999995</v>
      </c>
      <c r="O52" s="23">
        <v>790</v>
      </c>
      <c r="P52" s="28">
        <v>24.2</v>
      </c>
      <c r="Q52" s="16">
        <f t="shared" si="57"/>
        <v>3.178773151188756E-2</v>
      </c>
      <c r="R52" s="28">
        <v>0.95499999999999996</v>
      </c>
      <c r="S52" s="23">
        <v>615</v>
      </c>
      <c r="T52" s="28">
        <v>23.6</v>
      </c>
      <c r="U52" s="16">
        <f t="shared" si="58"/>
        <v>3.0999605937212665E-2</v>
      </c>
      <c r="V52" s="28">
        <v>0.96</v>
      </c>
      <c r="AA52" s="23"/>
      <c r="AB52" s="17"/>
      <c r="AE52" s="17"/>
      <c r="AF52" s="17"/>
      <c r="AI52" s="23"/>
      <c r="AJ52" s="17"/>
      <c r="AM52" s="23"/>
      <c r="AN52" s="17"/>
      <c r="AQ52" s="23"/>
      <c r="AR52" s="17"/>
    </row>
    <row r="53" spans="1:46" ht="15.75" customHeight="1" x14ac:dyDescent="0.2">
      <c r="C53" s="23"/>
      <c r="D53" s="17"/>
      <c r="G53" s="17"/>
      <c r="H53" s="17"/>
      <c r="K53" s="23"/>
      <c r="O53" s="23"/>
      <c r="S53" s="23"/>
      <c r="Z53" s="1" t="s">
        <v>11</v>
      </c>
      <c r="AA53" s="23"/>
      <c r="AB53" s="7">
        <f>SUMPRODUCT(AA44:AA51,AB44:AB51)/SUM(AA44:AA51)</f>
        <v>37.384056316590566</v>
      </c>
      <c r="AC53" s="20">
        <f>SUMPRODUCT(AA44:AA51,AC44:AC51)/SUM(AA44:AA51)</f>
        <v>4.9105551446986168E-2</v>
      </c>
      <c r="AD53" s="20">
        <f>SUMPRODUCT(AA44:AA51,AD44:AD51)/SUM(AA44:AA51)</f>
        <v>0.92290296803652982</v>
      </c>
      <c r="AE53" s="17"/>
      <c r="AF53" s="7">
        <f>SUMPRODUCT(AE44:AE51,AF44:AF51)/SUM(AE44:AE51)</f>
        <v>29.868921232876712</v>
      </c>
      <c r="AG53" s="20">
        <f>SUMPRODUCT(AE44:AE51,AG44:AG51)/SUM(AE44:AE51)</f>
        <v>3.9234101185967048E-2</v>
      </c>
      <c r="AH53" s="20">
        <f>SUMPRODUCT(AE44:AE51,AH44:AH51)/SUM(AE44:AE51)</f>
        <v>0.94786472602739724</v>
      </c>
      <c r="AI53" s="23"/>
      <c r="AJ53" s="7">
        <f>SUMPRODUCT(AI44:AI51,AJ44:AJ51)/SUM(AI44:AI51)</f>
        <v>26.115606653620354</v>
      </c>
      <c r="AK53" s="20">
        <f>SUMPRODUCT(AI44:AI51,AK44:AK51)/SUM(AI44:AI51)</f>
        <v>3.4303962503113565E-2</v>
      </c>
      <c r="AL53" s="20">
        <f>SUMPRODUCT(AI44:AI51,AL44:AL51)/SUM(AI44:AI51)</f>
        <v>0.96197700587084156</v>
      </c>
      <c r="AM53" s="23"/>
      <c r="AN53" s="7">
        <f>SUMPRODUCT(AM44:AM51,AN44:AN51)/SUM(AM44:AM51)</f>
        <v>25.393436073059362</v>
      </c>
      <c r="AO53" s="20">
        <f>SUMPRODUCT(AM44:AM51,AO44:AO51)/SUM(AM44:AM51)</f>
        <v>3.3355360663416996E-2</v>
      </c>
      <c r="AP53" s="20">
        <f>SUMPRODUCT(AM44:AM51,AP44:AP51)/SUM(AM44:AM51)</f>
        <v>0.96553367579908689</v>
      </c>
      <c r="AQ53" s="23"/>
      <c r="AR53" s="7">
        <f>SUMPRODUCT(AQ44:AQ51,AR44:AR51)/SUM(AQ44:AQ51)</f>
        <v>24.484178082191782</v>
      </c>
      <c r="AS53" s="20">
        <f>SUMPRODUCT(AQ44:AQ51,AS44:AS51)/SUM(AQ44:AQ51)</f>
        <v>3.216101153578324E-2</v>
      </c>
      <c r="AT53" s="20">
        <f>SUMPRODUCT(AQ44:AQ51,AT44:AT51)/SUM(AQ44:AQ51)</f>
        <v>0.96952876712328762</v>
      </c>
    </row>
    <row r="54" spans="1:46" ht="15.75" customHeight="1" x14ac:dyDescent="0.2">
      <c r="B54" s="1" t="s">
        <v>11</v>
      </c>
      <c r="C54" s="23"/>
      <c r="D54" s="7">
        <f>SUMPRODUCT(C45:C52,D45:D52)/SUM(C45:C52)</f>
        <v>31.545624048706241</v>
      </c>
      <c r="E54" s="20">
        <f>SUMPRODUCT(C45:C52,E45:E52)/SUM(C45:C52)</f>
        <v>4.143652180310816E-2</v>
      </c>
      <c r="F54" s="20">
        <f>SUMPRODUCT(C45:C52,F45:F52)/SUM(C45:C52)</f>
        <v>0.94548630136986289</v>
      </c>
      <c r="G54" s="17"/>
      <c r="H54" s="7">
        <f>SUMPRODUCT(G45:G52,H45:H52)/SUM(G45:G52)</f>
        <v>24.982191780821918</v>
      </c>
      <c r="I54" s="20">
        <f>SUMPRODUCT(G45:G52,I45:I52)/SUM(G45:G52)</f>
        <v>3.2815173756497985E-2</v>
      </c>
      <c r="J54" s="20">
        <f>SUMPRODUCT(G45:G52,J45:J52)/SUM(G45:G52)</f>
        <v>0.96293964041095892</v>
      </c>
      <c r="K54" s="23"/>
      <c r="L54" s="7">
        <f>SUMPRODUCT(K45:K52,L45:L52)/SUM(K45:K52)</f>
        <v>23.012769080234833</v>
      </c>
      <c r="M54" s="20">
        <f>SUMPRODUCT(K45:K52,M45:M52)/SUM(K45:K52)</f>
        <v>3.0228253093701345E-2</v>
      </c>
      <c r="N54" s="20">
        <f>SUMPRODUCT(K45:K52,N45:N52)/SUM(K45:K52)</f>
        <v>0.96908317025440305</v>
      </c>
      <c r="O54" s="23"/>
      <c r="P54" s="7">
        <f>SUMPRODUCT(O45:O52,P45:P52)/SUM(O45:O52)</f>
        <v>22.291837899543378</v>
      </c>
      <c r="Q54" s="20">
        <f>SUMPRODUCT(O45:O52,Q45:Q52)/SUM(O45:O52)</f>
        <v>2.9281279258562172E-2</v>
      </c>
      <c r="R54" s="20">
        <f>SUMPRODUCT(O45:O52,R45:R52)/SUM(O45:O52)</f>
        <v>0.97139212328767133</v>
      </c>
      <c r="S54" s="23"/>
      <c r="T54" s="7">
        <f>SUMPRODUCT(S45:S52,T45:T52)/SUM(S45:S52)</f>
        <v>22.318904109589042</v>
      </c>
      <c r="U54" s="20">
        <f>SUMPRODUCT(S45:S52,U45:U52)/SUM(S45:S52)</f>
        <v>2.9316831879139683E-2</v>
      </c>
      <c r="V54" s="20">
        <f>SUMPRODUCT(S45:S52,V45:V52)/SUM(S45:S52)</f>
        <v>0.97308493150684927</v>
      </c>
    </row>
    <row r="55" spans="1:46" ht="15.75" customHeight="1" x14ac:dyDescent="0.2">
      <c r="E55">
        <v>5.1100000000000003</v>
      </c>
      <c r="I55">
        <v>4.16</v>
      </c>
      <c r="M55">
        <v>3.93</v>
      </c>
      <c r="Q55">
        <v>3.84</v>
      </c>
      <c r="U55">
        <v>3.81</v>
      </c>
      <c r="AA55" s="1"/>
      <c r="AE55" s="1"/>
      <c r="AI55" s="1"/>
      <c r="AM55" s="1"/>
      <c r="AQ55" s="1"/>
    </row>
    <row r="56" spans="1:46" ht="15.75" customHeight="1" x14ac:dyDescent="0.2">
      <c r="C56" s="1">
        <f>SUM(C45:C52)</f>
        <v>13140</v>
      </c>
      <c r="G56" s="1">
        <f>SUM(G45:G52)</f>
        <v>11680</v>
      </c>
      <c r="K56" s="1">
        <f>SUM(K45:K52)</f>
        <v>10220</v>
      </c>
      <c r="O56" s="1">
        <f>SUM(O45:O52)</f>
        <v>8760</v>
      </c>
      <c r="S56" s="1">
        <f>SUM(S45:S52)</f>
        <v>7300</v>
      </c>
    </row>
    <row r="57" spans="1:46" ht="15.75" customHeight="1" x14ac:dyDescent="0.2"/>
    <row r="58" spans="1:46" ht="15.75" customHeight="1" x14ac:dyDescent="0.2">
      <c r="Y58" s="1" t="s">
        <v>25</v>
      </c>
      <c r="AB58" s="134">
        <v>0.1</v>
      </c>
      <c r="AC58" s="133"/>
      <c r="AD58" s="133"/>
      <c r="AE58" s="2"/>
      <c r="AF58" s="134">
        <v>0.2</v>
      </c>
      <c r="AG58" s="133"/>
      <c r="AH58" s="133"/>
      <c r="AI58" s="2"/>
      <c r="AJ58" s="134">
        <v>0.3</v>
      </c>
      <c r="AK58" s="133"/>
      <c r="AL58" s="133"/>
      <c r="AM58" s="2"/>
      <c r="AN58" s="134">
        <v>0.4</v>
      </c>
      <c r="AO58" s="133"/>
      <c r="AP58" s="133"/>
      <c r="AQ58" s="2"/>
      <c r="AR58" s="134">
        <v>0.5</v>
      </c>
      <c r="AS58" s="133"/>
      <c r="AT58" s="133"/>
    </row>
    <row r="59" spans="1:46" ht="15.75" customHeight="1" thickBot="1" x14ac:dyDescent="0.25">
      <c r="A59" s="1" t="s">
        <v>25</v>
      </c>
      <c r="D59" s="134">
        <v>0.1</v>
      </c>
      <c r="E59" s="133"/>
      <c r="F59" s="133"/>
      <c r="G59" s="2"/>
      <c r="H59" s="134">
        <v>0.2</v>
      </c>
      <c r="I59" s="133"/>
      <c r="J59" s="133"/>
      <c r="K59" s="2"/>
      <c r="L59" s="134">
        <v>0.3</v>
      </c>
      <c r="M59" s="133"/>
      <c r="N59" s="133"/>
      <c r="O59" s="2"/>
      <c r="P59" s="134">
        <v>0.4</v>
      </c>
      <c r="Q59" s="133"/>
      <c r="R59" s="133"/>
      <c r="S59" s="2"/>
      <c r="T59" s="134">
        <v>0.5</v>
      </c>
      <c r="U59" s="133"/>
      <c r="V59" s="133"/>
      <c r="Z59" s="13" t="s">
        <v>8</v>
      </c>
      <c r="AA59" s="22" t="s">
        <v>22</v>
      </c>
      <c r="AB59" s="14" t="s">
        <v>7</v>
      </c>
      <c r="AC59" s="13" t="s">
        <v>9</v>
      </c>
      <c r="AD59" s="13" t="s">
        <v>10</v>
      </c>
      <c r="AE59" s="22" t="s">
        <v>22</v>
      </c>
      <c r="AF59" s="14" t="s">
        <v>7</v>
      </c>
      <c r="AG59" s="13" t="s">
        <v>9</v>
      </c>
      <c r="AH59" s="13" t="s">
        <v>10</v>
      </c>
      <c r="AI59" s="22" t="s">
        <v>22</v>
      </c>
      <c r="AJ59" s="13" t="s">
        <v>7</v>
      </c>
      <c r="AK59" s="13" t="s">
        <v>9</v>
      </c>
      <c r="AL59" s="13" t="s">
        <v>10</v>
      </c>
      <c r="AM59" s="22" t="s">
        <v>22</v>
      </c>
      <c r="AN59" s="13" t="s">
        <v>7</v>
      </c>
      <c r="AO59" s="13" t="s">
        <v>9</v>
      </c>
      <c r="AP59" s="13" t="s">
        <v>10</v>
      </c>
      <c r="AQ59" s="22" t="s">
        <v>22</v>
      </c>
      <c r="AR59" s="13" t="s">
        <v>7</v>
      </c>
      <c r="AS59" s="13" t="s">
        <v>9</v>
      </c>
      <c r="AT59" s="13" t="s">
        <v>10</v>
      </c>
    </row>
    <row r="60" spans="1:46" ht="15.75" customHeight="1" thickBot="1" x14ac:dyDescent="0.25">
      <c r="B60" s="13" t="s">
        <v>8</v>
      </c>
      <c r="C60" s="22" t="s">
        <v>22</v>
      </c>
      <c r="D60" s="14" t="s">
        <v>7</v>
      </c>
      <c r="E60" s="13" t="s">
        <v>9</v>
      </c>
      <c r="F60" s="13" t="s">
        <v>10</v>
      </c>
      <c r="G60" s="22" t="s">
        <v>22</v>
      </c>
      <c r="H60" s="14" t="s">
        <v>7</v>
      </c>
      <c r="I60" s="13" t="s">
        <v>9</v>
      </c>
      <c r="J60" s="13" t="s">
        <v>10</v>
      </c>
      <c r="K60" s="22" t="s">
        <v>22</v>
      </c>
      <c r="L60" s="13" t="s">
        <v>7</v>
      </c>
      <c r="M60" s="13" t="s">
        <v>9</v>
      </c>
      <c r="N60" s="13" t="s">
        <v>10</v>
      </c>
      <c r="O60" s="22" t="s">
        <v>22</v>
      </c>
      <c r="P60" s="13" t="s">
        <v>7</v>
      </c>
      <c r="Q60" s="13" t="s">
        <v>9</v>
      </c>
      <c r="R60" s="13" t="s">
        <v>10</v>
      </c>
      <c r="S60" s="22" t="s">
        <v>22</v>
      </c>
      <c r="T60" s="13" t="s">
        <v>7</v>
      </c>
      <c r="U60" s="13" t="s">
        <v>9</v>
      </c>
      <c r="V60" s="13" t="s">
        <v>10</v>
      </c>
      <c r="Z60" s="1">
        <v>0</v>
      </c>
      <c r="AA60" s="23">
        <v>1615</v>
      </c>
      <c r="AB60" s="17">
        <v>46</v>
      </c>
      <c r="AC60" s="16">
        <f t="shared" ref="AC60:AC65" si="64">AB60/$A$5</f>
        <v>6.0422960725075532E-2</v>
      </c>
      <c r="AD60" s="28">
        <v>0.93300000000000005</v>
      </c>
      <c r="AE60" s="17">
        <v>1435</v>
      </c>
      <c r="AF60" s="17">
        <v>34.1</v>
      </c>
      <c r="AG60" s="16">
        <f t="shared" ref="AG60:AG65" si="65">AF60/$A$5</f>
        <v>4.4791803494023383E-2</v>
      </c>
      <c r="AH60" s="28">
        <v>0.96499999999999997</v>
      </c>
      <c r="AI60" s="23">
        <v>1285</v>
      </c>
      <c r="AJ60" s="17">
        <v>29.8</v>
      </c>
      <c r="AK60" s="16">
        <f t="shared" ref="AK60:AK65" si="66">AJ60/$A$5</f>
        <v>3.9143570208853277E-2</v>
      </c>
      <c r="AL60" s="28">
        <v>0.97399999999999998</v>
      </c>
      <c r="AM60" s="23">
        <v>1130</v>
      </c>
      <c r="AN60" s="17">
        <v>30</v>
      </c>
      <c r="AO60" s="16">
        <f t="shared" ref="AO60:AO65" si="67">AN60/$A$5</f>
        <v>3.9406278733744915E-2</v>
      </c>
      <c r="AP60" s="28">
        <v>0.97199999999999998</v>
      </c>
      <c r="AQ60" s="23">
        <v>1030</v>
      </c>
      <c r="AR60" s="17">
        <v>29</v>
      </c>
      <c r="AS60" s="16">
        <f t="shared" ref="AS60:AS65" si="68">AR60/$A$5</f>
        <v>3.8092736109286748E-2</v>
      </c>
      <c r="AT60" s="28">
        <v>0.97299999999999998</v>
      </c>
    </row>
    <row r="61" spans="1:46" ht="15.75" customHeight="1" x14ac:dyDescent="0.2">
      <c r="B61" s="1">
        <v>0</v>
      </c>
      <c r="C61" s="23">
        <v>1615</v>
      </c>
      <c r="D61" s="17">
        <v>40</v>
      </c>
      <c r="E61" s="16">
        <f t="shared" ref="E61:E68" si="69">D61/$A$5</f>
        <v>5.2541704978326553E-2</v>
      </c>
      <c r="F61" s="28">
        <v>0.95299999999999996</v>
      </c>
      <c r="G61" s="17">
        <v>1435</v>
      </c>
      <c r="H61" s="17">
        <v>30.7</v>
      </c>
      <c r="I61" s="16">
        <f t="shared" ref="I61:I68" si="70">H61/$A$5</f>
        <v>4.0325758570865629E-2</v>
      </c>
      <c r="J61" s="28">
        <v>0.97</v>
      </c>
      <c r="K61" s="23">
        <v>1285</v>
      </c>
      <c r="L61" s="28">
        <v>26.9</v>
      </c>
      <c r="M61" s="16">
        <f t="shared" ref="M61:M68" si="71">L61/$A$5</f>
        <v>3.53342965979246E-2</v>
      </c>
      <c r="N61" s="28">
        <v>0.97599999999999998</v>
      </c>
      <c r="O61" s="23">
        <v>1130</v>
      </c>
      <c r="P61" s="28">
        <v>27.3</v>
      </c>
      <c r="Q61" s="16">
        <f t="shared" ref="Q61:Q68" si="72">P61/$A$5</f>
        <v>3.5859713647707868E-2</v>
      </c>
      <c r="R61" s="28">
        <v>0.97499999999999998</v>
      </c>
      <c r="S61" s="23">
        <v>1030</v>
      </c>
      <c r="T61" s="28">
        <v>26.9</v>
      </c>
      <c r="U61" s="16">
        <f t="shared" ref="U61:U68" si="73">T61/$A$5</f>
        <v>3.53342965979246E-2</v>
      </c>
      <c r="V61" s="28">
        <v>0.97499999999999998</v>
      </c>
      <c r="Z61" s="1">
        <v>1</v>
      </c>
      <c r="AA61" s="23">
        <v>1735</v>
      </c>
      <c r="AB61" s="17">
        <v>35.5</v>
      </c>
      <c r="AC61" s="16">
        <f t="shared" si="64"/>
        <v>4.663076316826481E-2</v>
      </c>
      <c r="AD61" s="28">
        <v>0.88</v>
      </c>
      <c r="AE61" s="17">
        <v>1560</v>
      </c>
      <c r="AF61" s="17">
        <v>27.1</v>
      </c>
      <c r="AG61" s="16">
        <f t="shared" si="65"/>
        <v>3.5597005122816237E-2</v>
      </c>
      <c r="AH61" s="28">
        <v>0.93300000000000005</v>
      </c>
      <c r="AI61" s="23">
        <v>1345</v>
      </c>
      <c r="AJ61" s="17">
        <v>23.7</v>
      </c>
      <c r="AK61" s="16">
        <f t="shared" si="66"/>
        <v>3.113096019965848E-2</v>
      </c>
      <c r="AL61" s="28">
        <v>0.94499999999999995</v>
      </c>
      <c r="AM61" s="23">
        <v>1125</v>
      </c>
      <c r="AN61" s="17">
        <v>25</v>
      </c>
      <c r="AO61" s="16">
        <f t="shared" si="67"/>
        <v>3.2838565611454096E-2</v>
      </c>
      <c r="AP61" s="28">
        <v>0.93600000000000005</v>
      </c>
      <c r="AQ61" s="23">
        <v>930</v>
      </c>
      <c r="AR61" s="17">
        <v>23.1</v>
      </c>
      <c r="AS61" s="16">
        <f t="shared" si="68"/>
        <v>3.0342834624983585E-2</v>
      </c>
      <c r="AT61" s="28">
        <v>0.95299999999999996</v>
      </c>
    </row>
    <row r="62" spans="1:46" ht="15.75" customHeight="1" x14ac:dyDescent="0.2">
      <c r="B62" s="1">
        <v>1</v>
      </c>
      <c r="C62" s="23">
        <v>1735</v>
      </c>
      <c r="D62" s="17">
        <v>27</v>
      </c>
      <c r="E62" s="16">
        <f t="shared" si="69"/>
        <v>3.5465650860370422E-2</v>
      </c>
      <c r="F62" s="28">
        <v>0.92600000000000005</v>
      </c>
      <c r="G62" s="17">
        <v>1560</v>
      </c>
      <c r="H62" s="17">
        <v>23.6</v>
      </c>
      <c r="I62" s="16">
        <f t="shared" si="70"/>
        <v>3.0999605937212665E-2</v>
      </c>
      <c r="J62" s="28">
        <v>0.94799999999999995</v>
      </c>
      <c r="K62" s="23">
        <v>1345</v>
      </c>
      <c r="L62" s="28">
        <v>21.3</v>
      </c>
      <c r="M62" s="16">
        <f t="shared" si="71"/>
        <v>2.7978457900958889E-2</v>
      </c>
      <c r="N62" s="28">
        <v>0.95</v>
      </c>
      <c r="O62" s="23">
        <v>1125</v>
      </c>
      <c r="P62" s="28">
        <v>21.4</v>
      </c>
      <c r="Q62" s="16">
        <f t="shared" si="72"/>
        <v>2.8109812163404701E-2</v>
      </c>
      <c r="R62" s="28">
        <v>0.95099999999999996</v>
      </c>
      <c r="S62" s="23">
        <v>930</v>
      </c>
      <c r="T62" s="28">
        <v>20.8</v>
      </c>
      <c r="U62" s="16">
        <f t="shared" si="73"/>
        <v>2.7321686588729806E-2</v>
      </c>
      <c r="V62" s="28">
        <v>0.95699999999999996</v>
      </c>
      <c r="Z62" s="1">
        <v>2</v>
      </c>
      <c r="AA62" s="23">
        <v>1995</v>
      </c>
      <c r="AB62" s="17">
        <v>34.700000000000003</v>
      </c>
      <c r="AC62" s="16">
        <f t="shared" si="64"/>
        <v>4.5579929068698288E-2</v>
      </c>
      <c r="AD62" s="28">
        <v>0.78500000000000003</v>
      </c>
      <c r="AE62" s="17">
        <v>1760</v>
      </c>
      <c r="AF62" s="17">
        <v>24</v>
      </c>
      <c r="AG62" s="16">
        <f t="shared" si="65"/>
        <v>3.1525022986995929E-2</v>
      </c>
      <c r="AH62" s="28">
        <v>0.88300000000000001</v>
      </c>
      <c r="AI62" s="23">
        <v>1520</v>
      </c>
      <c r="AJ62" s="17">
        <v>20.6</v>
      </c>
      <c r="AK62" s="16">
        <f t="shared" si="66"/>
        <v>2.7058978063838175E-2</v>
      </c>
      <c r="AL62" s="28">
        <v>0.91100000000000003</v>
      </c>
      <c r="AM62" s="23">
        <v>1295</v>
      </c>
      <c r="AN62" s="17">
        <v>18.7</v>
      </c>
      <c r="AO62" s="16">
        <f t="shared" si="67"/>
        <v>2.4563247077367661E-2</v>
      </c>
      <c r="AP62" s="28">
        <v>0.92500000000000004</v>
      </c>
      <c r="AQ62" s="23">
        <v>1015</v>
      </c>
      <c r="AR62" s="17">
        <v>17.2</v>
      </c>
      <c r="AS62" s="16">
        <f t="shared" si="68"/>
        <v>2.2592933140680414E-2</v>
      </c>
      <c r="AT62" s="28">
        <v>0.92800000000000005</v>
      </c>
    </row>
    <row r="63" spans="1:46" ht="15.75" customHeight="1" x14ac:dyDescent="0.2">
      <c r="B63" s="1">
        <v>2</v>
      </c>
      <c r="C63" s="23">
        <v>1995</v>
      </c>
      <c r="D63" s="17">
        <v>31.1</v>
      </c>
      <c r="E63" s="16">
        <f t="shared" si="69"/>
        <v>4.0851175620648897E-2</v>
      </c>
      <c r="F63" s="28">
        <v>0.80700000000000005</v>
      </c>
      <c r="G63" s="17">
        <v>1760</v>
      </c>
      <c r="H63" s="17">
        <v>21.9</v>
      </c>
      <c r="I63" s="16">
        <f t="shared" si="70"/>
        <v>2.8766583475633784E-2</v>
      </c>
      <c r="J63" s="28">
        <v>0.89400000000000002</v>
      </c>
      <c r="K63" s="23">
        <v>1520</v>
      </c>
      <c r="L63" s="28">
        <v>19.600000000000001</v>
      </c>
      <c r="M63" s="16">
        <f t="shared" si="71"/>
        <v>2.5745435439380012E-2</v>
      </c>
      <c r="N63" s="28">
        <v>0.91</v>
      </c>
      <c r="O63" s="23">
        <v>1295</v>
      </c>
      <c r="P63" s="28">
        <v>17.8</v>
      </c>
      <c r="Q63" s="16">
        <f t="shared" si="72"/>
        <v>2.3381058715355316E-2</v>
      </c>
      <c r="R63" s="28">
        <v>0.92300000000000004</v>
      </c>
      <c r="S63" s="23">
        <v>1015</v>
      </c>
      <c r="T63" s="28">
        <v>16.3</v>
      </c>
      <c r="U63" s="16">
        <f t="shared" si="73"/>
        <v>2.141074477866807E-2</v>
      </c>
      <c r="V63" s="28">
        <v>0.92600000000000005</v>
      </c>
      <c r="Z63" s="1">
        <v>3</v>
      </c>
      <c r="AA63" s="23">
        <v>2435</v>
      </c>
      <c r="AB63" s="17">
        <v>35.200000000000003</v>
      </c>
      <c r="AC63" s="16">
        <f t="shared" si="64"/>
        <v>4.6236700380927365E-2</v>
      </c>
      <c r="AD63" s="28">
        <v>0.96199999999999997</v>
      </c>
      <c r="AE63" s="17">
        <v>2145</v>
      </c>
      <c r="AF63" s="17">
        <v>28</v>
      </c>
      <c r="AG63" s="16">
        <f t="shared" si="65"/>
        <v>3.6779193484828582E-2</v>
      </c>
      <c r="AH63" s="28">
        <v>0.97599999999999998</v>
      </c>
      <c r="AI63" s="23">
        <v>1850</v>
      </c>
      <c r="AJ63" s="17">
        <v>26.8</v>
      </c>
      <c r="AK63" s="16">
        <f t="shared" si="66"/>
        <v>3.5202942335478792E-2</v>
      </c>
      <c r="AL63" s="28">
        <v>0.97599999999999998</v>
      </c>
      <c r="AM63" s="23">
        <v>1590</v>
      </c>
      <c r="AN63" s="17">
        <v>26.7</v>
      </c>
      <c r="AO63" s="16">
        <f t="shared" si="67"/>
        <v>3.5071588073032969E-2</v>
      </c>
      <c r="AP63" s="28">
        <v>0.97799999999999998</v>
      </c>
      <c r="AQ63" s="23">
        <v>1335</v>
      </c>
      <c r="AR63" s="17">
        <v>25.4</v>
      </c>
      <c r="AS63" s="16">
        <f t="shared" si="68"/>
        <v>3.3363982661237357E-2</v>
      </c>
      <c r="AT63" s="28">
        <v>0.98099999999999998</v>
      </c>
    </row>
    <row r="64" spans="1:46" ht="15.75" customHeight="1" x14ac:dyDescent="0.2">
      <c r="B64" s="1">
        <v>3</v>
      </c>
      <c r="C64" s="23">
        <v>2435</v>
      </c>
      <c r="D64" s="17">
        <v>28.1</v>
      </c>
      <c r="E64" s="16">
        <f t="shared" si="69"/>
        <v>3.6910547747274404E-2</v>
      </c>
      <c r="F64" s="28">
        <v>0.97599999999999998</v>
      </c>
      <c r="G64" s="17">
        <v>2145</v>
      </c>
      <c r="H64" s="17">
        <v>22.6</v>
      </c>
      <c r="I64" s="16">
        <f t="shared" si="70"/>
        <v>2.9686063312754501E-2</v>
      </c>
      <c r="J64" s="28">
        <v>0.98299999999999998</v>
      </c>
      <c r="K64" s="23">
        <v>1850</v>
      </c>
      <c r="L64" s="28">
        <v>22.8</v>
      </c>
      <c r="M64" s="16">
        <f t="shared" si="71"/>
        <v>2.9948771837646136E-2</v>
      </c>
      <c r="N64" s="28">
        <v>0.98199999999999998</v>
      </c>
      <c r="O64" s="23">
        <v>1590</v>
      </c>
      <c r="P64" s="28">
        <v>23.6</v>
      </c>
      <c r="Q64" s="16">
        <f t="shared" si="72"/>
        <v>3.0999605937212665E-2</v>
      </c>
      <c r="R64" s="28">
        <v>0.98199999999999998</v>
      </c>
      <c r="S64" s="23">
        <v>1335</v>
      </c>
      <c r="T64" s="28">
        <v>22.4</v>
      </c>
      <c r="U64" s="16">
        <f t="shared" si="73"/>
        <v>2.9423354787862867E-2</v>
      </c>
      <c r="V64" s="28">
        <v>0.98399999999999999</v>
      </c>
      <c r="Z64" s="1">
        <v>4</v>
      </c>
      <c r="AA64" s="23">
        <v>1730</v>
      </c>
      <c r="AB64" s="17">
        <v>38.200000000000003</v>
      </c>
      <c r="AC64" s="16">
        <f t="shared" si="64"/>
        <v>5.0177328254301858E-2</v>
      </c>
      <c r="AD64" s="28">
        <v>0.95399999999999996</v>
      </c>
      <c r="AE64" s="17">
        <v>1530</v>
      </c>
      <c r="AF64" s="17">
        <v>35.200000000000003</v>
      </c>
      <c r="AG64" s="16">
        <f t="shared" si="65"/>
        <v>4.6236700380927365E-2</v>
      </c>
      <c r="AH64" s="28">
        <v>0.95799999999999996</v>
      </c>
      <c r="AI64" s="23">
        <v>1375</v>
      </c>
      <c r="AJ64" s="17">
        <v>33.5</v>
      </c>
      <c r="AK64" s="16">
        <f t="shared" si="66"/>
        <v>4.4003677919348484E-2</v>
      </c>
      <c r="AL64" s="28">
        <v>0.96299999999999997</v>
      </c>
      <c r="AM64" s="23">
        <v>1195</v>
      </c>
      <c r="AN64" s="17">
        <v>30.4</v>
      </c>
      <c r="AO64" s="16">
        <f t="shared" si="67"/>
        <v>3.9931695783528176E-2</v>
      </c>
      <c r="AP64" s="28">
        <v>0.96599999999999997</v>
      </c>
      <c r="AQ64" s="23">
        <v>955</v>
      </c>
      <c r="AR64" s="17">
        <v>31.6</v>
      </c>
      <c r="AS64" s="16">
        <f t="shared" si="68"/>
        <v>4.1507946932877973E-2</v>
      </c>
      <c r="AT64" s="28">
        <v>0.96399999999999997</v>
      </c>
    </row>
    <row r="65" spans="2:46" ht="15.75" customHeight="1" x14ac:dyDescent="0.2">
      <c r="B65" s="1">
        <v>4</v>
      </c>
      <c r="C65" s="23">
        <v>1730</v>
      </c>
      <c r="D65" s="17">
        <v>34.200000000000003</v>
      </c>
      <c r="E65" s="16">
        <f t="shared" si="69"/>
        <v>4.4923157756469205E-2</v>
      </c>
      <c r="F65" s="28">
        <v>0.96</v>
      </c>
      <c r="G65" s="17">
        <v>1530</v>
      </c>
      <c r="H65" s="17">
        <v>31.3</v>
      </c>
      <c r="I65" s="16">
        <f t="shared" si="70"/>
        <v>4.1113884145540527E-2</v>
      </c>
      <c r="J65" s="28">
        <v>0.96499999999999997</v>
      </c>
      <c r="K65" s="23">
        <v>1375</v>
      </c>
      <c r="L65" s="28">
        <v>29.9</v>
      </c>
      <c r="M65" s="16">
        <f t="shared" si="71"/>
        <v>3.9274924471299093E-2</v>
      </c>
      <c r="N65" s="28">
        <v>0.96799999999999997</v>
      </c>
      <c r="O65" s="23">
        <v>1195</v>
      </c>
      <c r="P65" s="28">
        <v>28.4</v>
      </c>
      <c r="Q65" s="16">
        <f t="shared" si="72"/>
        <v>3.730461053461185E-2</v>
      </c>
      <c r="R65" s="28">
        <v>0.96899999999999997</v>
      </c>
      <c r="S65" s="23">
        <v>955</v>
      </c>
      <c r="T65" s="28">
        <v>28.3</v>
      </c>
      <c r="U65" s="16">
        <f t="shared" si="73"/>
        <v>3.7173256272166035E-2</v>
      </c>
      <c r="V65" s="28">
        <v>0.97</v>
      </c>
      <c r="Z65" s="1">
        <v>5</v>
      </c>
      <c r="AA65" s="23">
        <v>820</v>
      </c>
      <c r="AB65" s="17">
        <v>73</v>
      </c>
      <c r="AC65" s="16">
        <f t="shared" si="64"/>
        <v>9.5888611585445954E-2</v>
      </c>
      <c r="AD65" s="28">
        <v>0.83299999999999996</v>
      </c>
      <c r="AE65" s="17">
        <v>730</v>
      </c>
      <c r="AF65" s="17">
        <v>54.7</v>
      </c>
      <c r="AG65" s="16">
        <f t="shared" si="65"/>
        <v>7.1850781557861565E-2</v>
      </c>
      <c r="AH65" s="28">
        <v>0.90700000000000003</v>
      </c>
      <c r="AI65" s="23">
        <v>635</v>
      </c>
      <c r="AJ65" s="17">
        <v>37.9</v>
      </c>
      <c r="AK65" s="16">
        <f t="shared" si="66"/>
        <v>4.9783265466964405E-2</v>
      </c>
      <c r="AL65" s="28">
        <v>0.94699999999999995</v>
      </c>
      <c r="AM65" s="23">
        <v>545</v>
      </c>
      <c r="AN65" s="17">
        <v>37.9</v>
      </c>
      <c r="AO65" s="16">
        <f t="shared" si="67"/>
        <v>4.9783265466964405E-2</v>
      </c>
      <c r="AP65" s="28">
        <v>0.95099999999999996</v>
      </c>
      <c r="AQ65" s="23">
        <v>465</v>
      </c>
      <c r="AR65" s="17">
        <v>31.4</v>
      </c>
      <c r="AS65" s="16">
        <f t="shared" si="68"/>
        <v>4.1245238407986343E-2</v>
      </c>
      <c r="AT65" s="28">
        <v>0.96599999999999997</v>
      </c>
    </row>
    <row r="66" spans="2:46" ht="15.75" customHeight="1" x14ac:dyDescent="0.2">
      <c r="B66" s="1">
        <v>5</v>
      </c>
      <c r="C66" s="23">
        <v>820</v>
      </c>
      <c r="D66" s="17">
        <v>41.2</v>
      </c>
      <c r="E66" s="16">
        <f t="shared" si="69"/>
        <v>5.411795612767635E-2</v>
      </c>
      <c r="F66" s="28">
        <v>0.93899999999999995</v>
      </c>
      <c r="G66" s="17">
        <v>730</v>
      </c>
      <c r="H66" s="17">
        <v>43.4</v>
      </c>
      <c r="I66" s="16">
        <f t="shared" si="70"/>
        <v>5.7007749901484307E-2</v>
      </c>
      <c r="J66" s="28">
        <v>0.93799999999999994</v>
      </c>
      <c r="K66" s="23">
        <v>635</v>
      </c>
      <c r="L66" s="28">
        <v>32.1</v>
      </c>
      <c r="M66" s="16">
        <f t="shared" si="71"/>
        <v>4.2164718245107057E-2</v>
      </c>
      <c r="N66" s="28">
        <v>0.96099999999999997</v>
      </c>
      <c r="O66" s="23">
        <v>545</v>
      </c>
      <c r="P66" s="28">
        <v>29.6</v>
      </c>
      <c r="Q66" s="16">
        <f t="shared" si="72"/>
        <v>3.8880861683961647E-2</v>
      </c>
      <c r="R66" s="28">
        <v>0.96899999999999997</v>
      </c>
      <c r="S66" s="23">
        <v>465</v>
      </c>
      <c r="T66" s="28">
        <v>25.4</v>
      </c>
      <c r="U66" s="16">
        <f t="shared" si="73"/>
        <v>3.3363982661237357E-2</v>
      </c>
      <c r="V66" s="28">
        <v>0.97599999999999998</v>
      </c>
      <c r="Z66" s="1">
        <v>6</v>
      </c>
      <c r="AA66" s="23">
        <v>1865</v>
      </c>
      <c r="AB66" s="17">
        <v>43.8</v>
      </c>
      <c r="AC66" s="16">
        <f>AB66/$A$5</f>
        <v>5.7533166951267568E-2</v>
      </c>
      <c r="AD66" s="28">
        <v>0.93100000000000005</v>
      </c>
      <c r="AE66" s="17">
        <v>1665</v>
      </c>
      <c r="AF66" s="17">
        <v>28.4</v>
      </c>
      <c r="AG66" s="16">
        <f>AF66/$A$5</f>
        <v>3.730461053461185E-2</v>
      </c>
      <c r="AH66" s="28">
        <v>0.96799999999999997</v>
      </c>
      <c r="AI66" s="23">
        <v>1440</v>
      </c>
      <c r="AJ66" s="17">
        <v>24.8</v>
      </c>
      <c r="AK66" s="16">
        <f>AJ66/$A$5</f>
        <v>3.2575857086562465E-2</v>
      </c>
      <c r="AL66" s="28">
        <v>0.97499999999999998</v>
      </c>
      <c r="AM66" s="23">
        <v>1215</v>
      </c>
      <c r="AN66" s="17">
        <v>25.9</v>
      </c>
      <c r="AO66" s="16">
        <f>AN66/$A$5</f>
        <v>3.402075397346644E-2</v>
      </c>
      <c r="AP66" s="28">
        <v>0.97199999999999998</v>
      </c>
      <c r="AQ66" s="23">
        <v>1025</v>
      </c>
      <c r="AR66" s="17">
        <v>25.6</v>
      </c>
      <c r="AS66" s="16">
        <f>AR66/$A$5</f>
        <v>3.3626691186128994E-2</v>
      </c>
      <c r="AT66" s="28">
        <v>0.97199999999999998</v>
      </c>
    </row>
    <row r="67" spans="2:46" ht="15.75" customHeight="1" x14ac:dyDescent="0.2">
      <c r="B67" s="1">
        <v>6</v>
      </c>
      <c r="C67" s="23">
        <v>1865</v>
      </c>
      <c r="D67" s="17">
        <v>37.200000000000003</v>
      </c>
      <c r="E67" s="16">
        <f t="shared" si="69"/>
        <v>4.8863785629843698E-2</v>
      </c>
      <c r="F67" s="28">
        <v>0.94399999999999995</v>
      </c>
      <c r="G67" s="17">
        <v>1665</v>
      </c>
      <c r="H67" s="17">
        <v>26.8</v>
      </c>
      <c r="I67" s="16">
        <f t="shared" si="70"/>
        <v>3.5202942335478792E-2</v>
      </c>
      <c r="J67" s="28">
        <v>0.97099999999999997</v>
      </c>
      <c r="K67" s="23">
        <v>1440</v>
      </c>
      <c r="L67" s="28">
        <v>23.2</v>
      </c>
      <c r="M67" s="16">
        <f t="shared" si="71"/>
        <v>3.0474188887429397E-2</v>
      </c>
      <c r="N67" s="28">
        <v>0.97699999999999998</v>
      </c>
      <c r="O67" s="23">
        <v>1215</v>
      </c>
      <c r="P67" s="28">
        <v>23.8</v>
      </c>
      <c r="Q67" s="16">
        <f t="shared" si="72"/>
        <v>3.1262314462104299E-2</v>
      </c>
      <c r="R67" s="28">
        <v>0.97499999999999998</v>
      </c>
      <c r="S67" s="23">
        <v>1025</v>
      </c>
      <c r="T67" s="28">
        <v>23.8</v>
      </c>
      <c r="U67" s="16">
        <f t="shared" si="73"/>
        <v>3.1262314462104299E-2</v>
      </c>
      <c r="V67" s="28">
        <v>0.97399999999999998</v>
      </c>
      <c r="Z67" s="1">
        <v>7</v>
      </c>
      <c r="AA67" s="23">
        <v>945</v>
      </c>
      <c r="AB67" s="17">
        <v>41.1</v>
      </c>
      <c r="AC67" s="16">
        <f t="shared" ref="AC67" si="74">AB67/$A$5</f>
        <v>5.3986601865230535E-2</v>
      </c>
      <c r="AD67" s="28">
        <v>0.95699999999999996</v>
      </c>
      <c r="AE67" s="17">
        <v>855</v>
      </c>
      <c r="AF67" s="17">
        <v>28</v>
      </c>
      <c r="AG67" s="16">
        <f t="shared" ref="AG67" si="75">AF67/$A$5</f>
        <v>3.6779193484828582E-2</v>
      </c>
      <c r="AH67" s="28">
        <v>0.97399999999999998</v>
      </c>
      <c r="AI67" s="23">
        <v>770</v>
      </c>
      <c r="AJ67" s="17">
        <v>25.3</v>
      </c>
      <c r="AK67" s="16">
        <f t="shared" ref="AK67" si="76">AJ67/$A$5</f>
        <v>3.3232628398791542E-2</v>
      </c>
      <c r="AL67" s="28">
        <v>0.98</v>
      </c>
      <c r="AM67" s="23">
        <v>665</v>
      </c>
      <c r="AN67" s="17">
        <v>22.5</v>
      </c>
      <c r="AO67" s="16">
        <f t="shared" ref="AO67" si="77">AN67/$A$5</f>
        <v>2.9554709050308683E-2</v>
      </c>
      <c r="AP67" s="28">
        <v>0.98699999999999999</v>
      </c>
      <c r="AQ67" s="23">
        <v>545</v>
      </c>
      <c r="AR67" s="17">
        <v>21.8</v>
      </c>
      <c r="AS67" s="16">
        <f t="shared" ref="AS67" si="78">AR67/$A$5</f>
        <v>2.8635229213187969E-2</v>
      </c>
      <c r="AT67" s="28">
        <v>0.98699999999999999</v>
      </c>
    </row>
    <row r="68" spans="2:46" ht="15.75" customHeight="1" x14ac:dyDescent="0.2">
      <c r="B68" s="1">
        <v>7</v>
      </c>
      <c r="C68" s="23">
        <v>945</v>
      </c>
      <c r="D68" s="17">
        <v>25.3</v>
      </c>
      <c r="E68" s="16">
        <f t="shared" si="69"/>
        <v>3.3232628398791542E-2</v>
      </c>
      <c r="F68" s="28">
        <v>0.98199999999999998</v>
      </c>
      <c r="G68" s="17">
        <v>855</v>
      </c>
      <c r="H68" s="17">
        <v>20.7</v>
      </c>
      <c r="I68" s="16">
        <f t="shared" si="70"/>
        <v>2.7190332326283987E-2</v>
      </c>
      <c r="J68" s="28">
        <v>0.98499999999999999</v>
      </c>
      <c r="K68" s="23">
        <v>770</v>
      </c>
      <c r="L68" s="28">
        <v>18.8</v>
      </c>
      <c r="M68" s="16">
        <f t="shared" si="71"/>
        <v>2.4694601339813479E-2</v>
      </c>
      <c r="N68" s="28">
        <v>0.98799999999999999</v>
      </c>
      <c r="O68" s="23">
        <v>665</v>
      </c>
      <c r="P68" s="28">
        <v>17.3</v>
      </c>
      <c r="Q68" s="16">
        <f t="shared" si="72"/>
        <v>2.2724287403126233E-2</v>
      </c>
      <c r="R68" s="28">
        <v>0.99099999999999999</v>
      </c>
      <c r="S68" s="23">
        <v>545</v>
      </c>
      <c r="T68" s="28">
        <v>17.2</v>
      </c>
      <c r="U68" s="16">
        <f t="shared" si="73"/>
        <v>2.2592933140680414E-2</v>
      </c>
      <c r="V68" s="28">
        <v>0.99099999999999999</v>
      </c>
      <c r="AA68" s="23"/>
      <c r="AB68" s="17"/>
      <c r="AE68" s="17"/>
      <c r="AF68" s="17"/>
      <c r="AI68" s="23"/>
      <c r="AJ68" s="17"/>
      <c r="AM68" s="23"/>
      <c r="AN68" s="17"/>
      <c r="AQ68" s="23"/>
      <c r="AR68" s="17"/>
    </row>
    <row r="69" spans="2:46" ht="15.75" customHeight="1" x14ac:dyDescent="0.2">
      <c r="C69" s="23"/>
      <c r="D69" s="17"/>
      <c r="G69" s="17"/>
      <c r="H69" s="17"/>
      <c r="K69" s="23"/>
      <c r="O69" s="23"/>
      <c r="S69" s="23"/>
      <c r="Z69" s="1" t="s">
        <v>11</v>
      </c>
      <c r="AA69" s="23"/>
      <c r="AB69" s="7">
        <f>SUMPRODUCT(AA60:AA67,AB60:AB67)/SUM(AA60:AA67)</f>
        <v>40.889916286149166</v>
      </c>
      <c r="AC69" s="20">
        <f>SUMPRODUCT(AA60:AA67,AC60:AC67)/SUM(AA60:AA67)</f>
        <v>5.3710647952382985E-2</v>
      </c>
      <c r="AD69" s="20">
        <f>SUMPRODUCT(AA60:AA67,AD60:AD67)/SUM(AA60:AA67)</f>
        <v>0.90687214611872136</v>
      </c>
      <c r="AE69" s="17"/>
      <c r="AF69" s="7">
        <f>SUMPRODUCT(AE60:AE67,AF60:AF67)/SUM(AE60:AE67)</f>
        <v>30.695419520547944</v>
      </c>
      <c r="AG69" s="20">
        <f>SUMPRODUCT(AE60:AE67,AG60:AG67)/SUM(AE60:AE67)</f>
        <v>4.0319741915864897E-2</v>
      </c>
      <c r="AH69" s="20">
        <f>SUMPRODUCT(AE60:AE67,AH60:AH67)/SUM(AE60:AE67)</f>
        <v>0.94693450342465746</v>
      </c>
      <c r="AI69" s="23"/>
      <c r="AJ69" s="7">
        <f>SUMPRODUCT(AI60:AI67,AJ60:AJ67)/SUM(AI60:AI67)</f>
        <v>27.043395303326811</v>
      </c>
      <c r="AK69" s="20">
        <f>SUMPRODUCT(AI60:AI67,AK60:AK67)/SUM(AI60:AI67)</f>
        <v>3.5522652440991467E-2</v>
      </c>
      <c r="AL69" s="20">
        <f>SUMPRODUCT(AI60:AI67,AL60:AL67)/SUM(AI60:AI67)</f>
        <v>0.95861105675146763</v>
      </c>
      <c r="AM69" s="23"/>
      <c r="AN69" s="7">
        <f>SUMPRODUCT(AM60:AM67,AN60:AN67)/SUM(AM60:AM67)</f>
        <v>26.496461187214614</v>
      </c>
      <c r="AO69" s="20">
        <f>SUMPRODUCT(AM60:AM67,AO60:AO67)/SUM(AM60:AM67)</f>
        <v>3.480423116670775E-2</v>
      </c>
      <c r="AP69" s="20">
        <f>SUMPRODUCT(AM60:AM67,AP60:AP67)/SUM(AM60:AM67)</f>
        <v>0.96053139269406385</v>
      </c>
      <c r="AQ69" s="23"/>
      <c r="AR69" s="7">
        <f>SUMPRODUCT(AQ60:AQ67,AR60:AR67)/SUM(AQ60:AQ67)</f>
        <v>25.427397260273974</v>
      </c>
      <c r="AS69" s="20">
        <f>SUMPRODUCT(AQ60:AQ67,AS60:AS67)/SUM(AQ60:AQ67)</f>
        <v>3.3399970130400594E-2</v>
      </c>
      <c r="AT69" s="20">
        <f>SUMPRODUCT(AQ60:AQ67,AT60:AT67)/SUM(AQ60:AQ67)</f>
        <v>0.96493972602739719</v>
      </c>
    </row>
    <row r="70" spans="2:46" ht="15.75" customHeight="1" x14ac:dyDescent="0.2">
      <c r="B70" s="1" t="s">
        <v>11</v>
      </c>
      <c r="C70" s="23"/>
      <c r="D70" s="7">
        <f>SUMPRODUCT(C61:C68,D61:D68)/SUM(C61:C68)</f>
        <v>32.583675799086755</v>
      </c>
      <c r="E70" s="20">
        <f>SUMPRODUCT(C61:C68,E61:E68)/SUM(C61:C68)</f>
        <v>4.2800047023626379E-2</v>
      </c>
      <c r="F70" s="20">
        <f>SUMPRODUCT(C61:C68,F61:F68)/SUM(C61:C68)</f>
        <v>0.9323866057838659</v>
      </c>
      <c r="G70" s="17"/>
      <c r="H70" s="7">
        <f>SUMPRODUCT(G61:G68,H61:H68)/SUM(G61:G68)</f>
        <v>26.52251712328767</v>
      </c>
      <c r="I70" s="20">
        <f>SUMPRODUCT(G61:G68,I61:I68)/SUM(G61:G68)</f>
        <v>3.4838456749359877E-2</v>
      </c>
      <c r="J70" s="20">
        <f>SUMPRODUCT(G61:G68,J61:J68)/SUM(G61:G68)</f>
        <v>0.95658261986301374</v>
      </c>
      <c r="K70" s="23"/>
      <c r="L70" s="7">
        <f>SUMPRODUCT(K61:K68,L61:L68)/SUM(K61:K68)</f>
        <v>23.93023483365949</v>
      </c>
      <c r="M70" s="20">
        <f>SUMPRODUCT(K61:K68,M61:M68)/SUM(K61:K68)</f>
        <v>3.1433383467305252E-2</v>
      </c>
      <c r="N70" s="20">
        <f>SUMPRODUCT(K61:K68,N61:N68)/SUM(K61:K68)</f>
        <v>0.96288502935420739</v>
      </c>
      <c r="O70" s="23"/>
      <c r="P70" s="7">
        <f>SUMPRODUCT(O61:O68,P61:P68)/SUM(O61:O68)</f>
        <v>23.514897260273973</v>
      </c>
      <c r="Q70" s="20">
        <f>SUMPRODUCT(O61:O68,Q61:Q68)/SUM(O61:O68)</f>
        <v>3.088781986112436E-2</v>
      </c>
      <c r="R70" s="20">
        <f>SUMPRODUCT(O61:O68,R61:R68)/SUM(O61:O68)</f>
        <v>0.9655239726027397</v>
      </c>
      <c r="S70" s="23"/>
      <c r="T70" s="7">
        <f>SUMPRODUCT(S61:S68,T61:T68)/SUM(S61:S68)</f>
        <v>22.754246575342467</v>
      </c>
      <c r="U70" s="20">
        <f>SUMPRODUCT(S61:S68,U61:U68)/SUM(S61:S68)</f>
        <v>2.9888672764143524E-2</v>
      </c>
      <c r="V70" s="20">
        <f>SUMPRODUCT(S61:S68,V61:V68)/SUM(S61:S68)</f>
        <v>0.96800342465753442</v>
      </c>
    </row>
    <row r="71" spans="2:46" ht="15.75" customHeight="1" x14ac:dyDescent="0.2"/>
    <row r="72" spans="2:46" ht="15.75" customHeight="1" x14ac:dyDescent="0.2">
      <c r="C72" s="1">
        <f>SUM(C61:C68)</f>
        <v>13140</v>
      </c>
      <c r="G72" s="1">
        <f>SUM(G61:G68)</f>
        <v>11680</v>
      </c>
      <c r="K72" s="1">
        <f>SUM(K61:K68)</f>
        <v>10220</v>
      </c>
      <c r="O72" s="1">
        <f>SUM(O61:O68)</f>
        <v>8760</v>
      </c>
      <c r="S72" s="1">
        <f>SUM(S61:S68)</f>
        <v>7300</v>
      </c>
    </row>
    <row r="73" spans="2:46" ht="15.75" customHeight="1" x14ac:dyDescent="0.2"/>
    <row r="74" spans="2:46" ht="15.75" customHeight="1" x14ac:dyDescent="0.2"/>
    <row r="75" spans="2:46" ht="15.75" customHeight="1" x14ac:dyDescent="0.2"/>
    <row r="76" spans="2:46" ht="15.75" customHeight="1" x14ac:dyDescent="0.2"/>
    <row r="77" spans="2:46" ht="15.75" customHeight="1" x14ac:dyDescent="0.2"/>
    <row r="78" spans="2:46" ht="15.75" customHeight="1" x14ac:dyDescent="0.2"/>
    <row r="79" spans="2:46" ht="15.75" customHeight="1" x14ac:dyDescent="0.2"/>
    <row r="80" spans="2:4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40">
    <mergeCell ref="D7:F7"/>
    <mergeCell ref="H7:J7"/>
    <mergeCell ref="L7:N7"/>
    <mergeCell ref="P7:R7"/>
    <mergeCell ref="T7:V7"/>
    <mergeCell ref="D27:F27"/>
    <mergeCell ref="H27:J27"/>
    <mergeCell ref="T27:V27"/>
    <mergeCell ref="D59:F59"/>
    <mergeCell ref="H59:J59"/>
    <mergeCell ref="L59:N59"/>
    <mergeCell ref="P59:R59"/>
    <mergeCell ref="T59:V59"/>
    <mergeCell ref="L27:N27"/>
    <mergeCell ref="P27:R27"/>
    <mergeCell ref="D43:F43"/>
    <mergeCell ref="H43:J43"/>
    <mergeCell ref="L43:N43"/>
    <mergeCell ref="P43:R43"/>
    <mergeCell ref="T43:V43"/>
    <mergeCell ref="AB7:AD7"/>
    <mergeCell ref="AF7:AH7"/>
    <mergeCell ref="AJ7:AL7"/>
    <mergeCell ref="AN7:AP7"/>
    <mergeCell ref="AR7:AT7"/>
    <mergeCell ref="AB27:AD27"/>
    <mergeCell ref="AF27:AH27"/>
    <mergeCell ref="AJ27:AL27"/>
    <mergeCell ref="AN27:AP27"/>
    <mergeCell ref="AR27:AT27"/>
    <mergeCell ref="AB42:AD42"/>
    <mergeCell ref="AF42:AH42"/>
    <mergeCell ref="AJ42:AL42"/>
    <mergeCell ref="AN42:AP42"/>
    <mergeCell ref="AR42:AT42"/>
    <mergeCell ref="AB58:AD58"/>
    <mergeCell ref="AF58:AH58"/>
    <mergeCell ref="AJ58:AL58"/>
    <mergeCell ref="AN58:AP58"/>
    <mergeCell ref="AR58:AT58"/>
  </mergeCells>
  <pageMargins left="0.7" right="0.7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AT1003"/>
  <sheetViews>
    <sheetView zoomScale="60" zoomScaleNormal="60" workbookViewId="0">
      <selection activeCell="Q4" sqref="Q4"/>
    </sheetView>
  </sheetViews>
  <sheetFormatPr baseColWidth="10" defaultColWidth="14.5" defaultRowHeight="15" customHeight="1" x14ac:dyDescent="0.2"/>
  <cols>
    <col min="1" max="1" width="10.6640625" customWidth="1"/>
    <col min="2" max="2" width="12.5" customWidth="1"/>
    <col min="3" max="3" width="12.6640625" bestFit="1" customWidth="1"/>
    <col min="4" max="4" width="10.6640625" customWidth="1"/>
    <col min="5" max="5" width="12.83203125" bestFit="1" customWidth="1"/>
    <col min="6" max="6" width="11.5" bestFit="1" customWidth="1"/>
    <col min="7" max="7" width="12.6640625" bestFit="1" customWidth="1"/>
    <col min="8" max="8" width="10.6640625" customWidth="1"/>
    <col min="9" max="9" width="12.83203125" bestFit="1" customWidth="1"/>
    <col min="10" max="10" width="11.5" bestFit="1" customWidth="1"/>
    <col min="11" max="11" width="12.6640625" bestFit="1" customWidth="1"/>
    <col min="12" max="12" width="10.6640625" customWidth="1"/>
    <col min="13" max="13" width="12.83203125" bestFit="1" customWidth="1"/>
    <col min="14" max="14" width="11.5" bestFit="1" customWidth="1"/>
    <col min="15" max="15" width="12.6640625" bestFit="1" customWidth="1"/>
    <col min="16" max="16" width="10.6640625" customWidth="1"/>
    <col min="17" max="17" width="12.83203125" bestFit="1" customWidth="1"/>
    <col min="18" max="18" width="11.5" bestFit="1" customWidth="1"/>
    <col min="19" max="19" width="12.6640625" bestFit="1" customWidth="1"/>
    <col min="20" max="20" width="10.6640625" customWidth="1"/>
    <col min="21" max="21" width="12.83203125" bestFit="1" customWidth="1"/>
    <col min="22" max="22" width="11.5" bestFit="1" customWidth="1"/>
    <col min="23" max="23" width="10.6640625" customWidth="1"/>
    <col min="24" max="24" width="10.6640625" style="91" customWidth="1"/>
    <col min="25" max="26" width="10.6640625" customWidth="1"/>
  </cols>
  <sheetData>
    <row r="2" spans="1:46" ht="15" customHeight="1" x14ac:dyDescent="0.2">
      <c r="B2" t="s">
        <v>30</v>
      </c>
      <c r="Z2" t="s">
        <v>29</v>
      </c>
    </row>
    <row r="3" spans="1:46" x14ac:dyDescent="0.2">
      <c r="B3" s="1"/>
      <c r="C3" s="1"/>
      <c r="D3" s="1"/>
      <c r="E3" s="1"/>
    </row>
    <row r="4" spans="1:46" x14ac:dyDescent="0.2">
      <c r="A4" s="1" t="s">
        <v>13</v>
      </c>
    </row>
    <row r="5" spans="1:46" x14ac:dyDescent="0.2">
      <c r="A5" s="1">
        <v>1040</v>
      </c>
    </row>
    <row r="7" spans="1:46" ht="16" thickBot="1" x14ac:dyDescent="0.25">
      <c r="A7" s="1"/>
      <c r="D7" s="134">
        <v>0.1</v>
      </c>
      <c r="E7" s="133"/>
      <c r="F7" s="133"/>
      <c r="G7" s="2"/>
      <c r="H7" s="134">
        <v>0.2</v>
      </c>
      <c r="I7" s="133"/>
      <c r="J7" s="133"/>
      <c r="K7" s="2"/>
      <c r="L7" s="134">
        <v>0.3</v>
      </c>
      <c r="M7" s="133"/>
      <c r="N7" s="133"/>
      <c r="O7" s="2"/>
      <c r="P7" s="134">
        <v>0.4</v>
      </c>
      <c r="Q7" s="133"/>
      <c r="R7" s="133"/>
      <c r="S7" s="2"/>
      <c r="T7" s="134">
        <v>0.5</v>
      </c>
      <c r="U7" s="133"/>
      <c r="V7" s="133"/>
      <c r="W7" s="12"/>
      <c r="X7" s="92"/>
      <c r="Y7" s="1"/>
      <c r="AB7" s="134">
        <v>0.1</v>
      </c>
      <c r="AC7" s="133"/>
      <c r="AD7" s="133"/>
      <c r="AE7" s="2"/>
      <c r="AF7" s="134">
        <v>0.2</v>
      </c>
      <c r="AG7" s="133"/>
      <c r="AH7" s="133"/>
      <c r="AI7" s="2"/>
      <c r="AJ7" s="134">
        <v>0.3</v>
      </c>
      <c r="AK7" s="133"/>
      <c r="AL7" s="133"/>
      <c r="AM7" s="2"/>
      <c r="AN7" s="134">
        <v>0.4</v>
      </c>
      <c r="AO7" s="133"/>
      <c r="AP7" s="133"/>
      <c r="AQ7" s="2"/>
      <c r="AR7" s="134">
        <v>0.5</v>
      </c>
      <c r="AS7" s="133"/>
      <c r="AT7" s="133"/>
    </row>
    <row r="8" spans="1:46" ht="16" thickBot="1" x14ac:dyDescent="0.25">
      <c r="B8" s="100" t="s">
        <v>8</v>
      </c>
      <c r="C8" s="43" t="s">
        <v>22</v>
      </c>
      <c r="D8" s="44" t="s">
        <v>7</v>
      </c>
      <c r="E8" s="36" t="s">
        <v>9</v>
      </c>
      <c r="F8" s="45" t="s">
        <v>10</v>
      </c>
      <c r="G8" s="43" t="s">
        <v>22</v>
      </c>
      <c r="H8" s="44" t="s">
        <v>7</v>
      </c>
      <c r="I8" s="36" t="s">
        <v>9</v>
      </c>
      <c r="J8" s="45" t="s">
        <v>10</v>
      </c>
      <c r="K8" s="43" t="s">
        <v>22</v>
      </c>
      <c r="L8" s="36" t="s">
        <v>7</v>
      </c>
      <c r="M8" s="36" t="s">
        <v>9</v>
      </c>
      <c r="N8" s="45" t="s">
        <v>10</v>
      </c>
      <c r="O8" s="43" t="s">
        <v>22</v>
      </c>
      <c r="P8" s="36" t="s">
        <v>7</v>
      </c>
      <c r="Q8" s="36" t="s">
        <v>9</v>
      </c>
      <c r="R8" s="45" t="s">
        <v>10</v>
      </c>
      <c r="S8" s="43" t="s">
        <v>22</v>
      </c>
      <c r="T8" s="36" t="s">
        <v>7</v>
      </c>
      <c r="U8" s="36" t="s">
        <v>9</v>
      </c>
      <c r="V8" s="45" t="s">
        <v>10</v>
      </c>
      <c r="Z8" s="58" t="s">
        <v>8</v>
      </c>
      <c r="AA8" s="62" t="s">
        <v>22</v>
      </c>
      <c r="AB8" s="36" t="s">
        <v>7</v>
      </c>
      <c r="AC8" s="36" t="s">
        <v>9</v>
      </c>
      <c r="AD8" s="45" t="s">
        <v>10</v>
      </c>
      <c r="AE8" s="62" t="s">
        <v>22</v>
      </c>
      <c r="AF8" s="36" t="s">
        <v>7</v>
      </c>
      <c r="AG8" s="36" t="s">
        <v>9</v>
      </c>
      <c r="AH8" s="45" t="s">
        <v>10</v>
      </c>
      <c r="AI8" s="62" t="s">
        <v>22</v>
      </c>
      <c r="AJ8" s="36" t="s">
        <v>7</v>
      </c>
      <c r="AK8" s="36" t="s">
        <v>9</v>
      </c>
      <c r="AL8" s="45" t="s">
        <v>10</v>
      </c>
      <c r="AM8" s="62" t="s">
        <v>22</v>
      </c>
      <c r="AN8" s="36" t="s">
        <v>7</v>
      </c>
      <c r="AO8" s="36" t="s">
        <v>9</v>
      </c>
      <c r="AP8" s="45" t="s">
        <v>10</v>
      </c>
      <c r="AQ8" s="62" t="s">
        <v>22</v>
      </c>
      <c r="AR8" s="36" t="s">
        <v>7</v>
      </c>
      <c r="AS8" s="36" t="s">
        <v>9</v>
      </c>
      <c r="AT8" s="45" t="s">
        <v>10</v>
      </c>
    </row>
    <row r="9" spans="1:46" x14ac:dyDescent="0.2">
      <c r="B9" s="52">
        <v>0</v>
      </c>
      <c r="C9" s="46">
        <f t="shared" ref="C9:V9" si="0">AVERAGE(C29,C44,C60)</f>
        <v>2228.3333333333335</v>
      </c>
      <c r="D9" s="41">
        <f t="shared" si="0"/>
        <v>47.666666666666664</v>
      </c>
      <c r="E9" s="42">
        <f t="shared" si="0"/>
        <v>4.5833333333333337E-2</v>
      </c>
      <c r="F9" s="47">
        <f t="shared" si="0"/>
        <v>0.96099999999999997</v>
      </c>
      <c r="G9" s="46">
        <f t="shared" si="0"/>
        <v>2016.6666666666667</v>
      </c>
      <c r="H9" s="41">
        <f t="shared" si="0"/>
        <v>40.233333333333334</v>
      </c>
      <c r="I9" s="42">
        <f t="shared" si="0"/>
        <v>3.868589743589744E-2</v>
      </c>
      <c r="J9" s="47">
        <f t="shared" si="0"/>
        <v>0.96933333333333327</v>
      </c>
      <c r="K9" s="46">
        <f t="shared" si="0"/>
        <v>1736.6666666666667</v>
      </c>
      <c r="L9" s="41">
        <f t="shared" si="0"/>
        <v>36.06666666666667</v>
      </c>
      <c r="M9" s="42">
        <f t="shared" si="0"/>
        <v>3.4679487179487184E-2</v>
      </c>
      <c r="N9" s="47">
        <f t="shared" si="0"/>
        <v>0.97433333333333338</v>
      </c>
      <c r="O9" s="46">
        <f t="shared" si="0"/>
        <v>1500</v>
      </c>
      <c r="P9" s="41">
        <f t="shared" si="0"/>
        <v>37.766666666666666</v>
      </c>
      <c r="Q9" s="42">
        <f t="shared" si="0"/>
        <v>3.6314102564102564E-2</v>
      </c>
      <c r="R9" s="47">
        <f t="shared" si="0"/>
        <v>0.97066666666666668</v>
      </c>
      <c r="S9" s="46">
        <f>AVERAGE(S29,S44,S60)</f>
        <v>1243.3333333333333</v>
      </c>
      <c r="T9" s="41">
        <f t="shared" si="0"/>
        <v>35.9</v>
      </c>
      <c r="U9" s="42">
        <f t="shared" si="0"/>
        <v>3.4519230769230767E-2</v>
      </c>
      <c r="V9" s="47">
        <f t="shared" si="0"/>
        <v>0.97333333333333327</v>
      </c>
      <c r="Z9" s="52">
        <v>0</v>
      </c>
      <c r="AA9" s="86">
        <f t="shared" ref="AA9:AT9" si="1">AVERAGE(AA29,AA44,AA60)</f>
        <v>2228.3333333333335</v>
      </c>
      <c r="AB9" s="101">
        <f t="shared" si="1"/>
        <v>61.833333333333336</v>
      </c>
      <c r="AC9" s="97">
        <f t="shared" si="1"/>
        <v>5.9455128205128209E-2</v>
      </c>
      <c r="AD9" s="98">
        <f t="shared" si="1"/>
        <v>0.93866666666666676</v>
      </c>
      <c r="AE9" s="86">
        <f t="shared" si="1"/>
        <v>2016.6666666666667</v>
      </c>
      <c r="AF9" s="101">
        <f t="shared" si="1"/>
        <v>49.9</v>
      </c>
      <c r="AG9" s="97">
        <f t="shared" si="1"/>
        <v>4.7980769230769237E-2</v>
      </c>
      <c r="AH9" s="98">
        <f t="shared" si="1"/>
        <v>0.95566666666666666</v>
      </c>
      <c r="AI9" s="86">
        <f t="shared" si="1"/>
        <v>1736.6666666666667</v>
      </c>
      <c r="AJ9" s="101">
        <f t="shared" si="1"/>
        <v>43.933333333333337</v>
      </c>
      <c r="AK9" s="97">
        <f t="shared" si="1"/>
        <v>4.2243589743589743E-2</v>
      </c>
      <c r="AL9" s="98">
        <f t="shared" si="1"/>
        <v>0.96333333333333337</v>
      </c>
      <c r="AM9" s="86">
        <f t="shared" si="1"/>
        <v>1500</v>
      </c>
      <c r="AN9" s="101">
        <f t="shared" si="1"/>
        <v>43.800000000000004</v>
      </c>
      <c r="AO9" s="97">
        <f t="shared" si="1"/>
        <v>4.2115384615384617E-2</v>
      </c>
      <c r="AP9" s="98">
        <f t="shared" si="1"/>
        <v>0.96299999999999997</v>
      </c>
      <c r="AQ9" s="86">
        <f t="shared" si="1"/>
        <v>1243.3333333333333</v>
      </c>
      <c r="AR9" s="101">
        <f t="shared" si="1"/>
        <v>41</v>
      </c>
      <c r="AS9" s="97">
        <f t="shared" si="1"/>
        <v>3.9423076923076922E-2</v>
      </c>
      <c r="AT9" s="98">
        <f t="shared" si="1"/>
        <v>0.96733333333333338</v>
      </c>
    </row>
    <row r="10" spans="1:46" x14ac:dyDescent="0.2">
      <c r="B10" s="52">
        <v>1</v>
      </c>
      <c r="C10" s="46">
        <f t="shared" ref="C10:V10" si="2">AVERAGE(C30,C45,C61)</f>
        <v>1855</v>
      </c>
      <c r="D10" s="41">
        <f t="shared" si="2"/>
        <v>35.300000000000004</v>
      </c>
      <c r="E10" s="42">
        <f t="shared" si="2"/>
        <v>3.3942307692307688E-2</v>
      </c>
      <c r="F10" s="47">
        <f t="shared" si="2"/>
        <v>0.95800000000000007</v>
      </c>
      <c r="G10" s="46">
        <f t="shared" si="2"/>
        <v>1633.3333333333333</v>
      </c>
      <c r="H10" s="41">
        <f t="shared" si="2"/>
        <v>32.466666666666669</v>
      </c>
      <c r="I10" s="42">
        <f t="shared" si="2"/>
        <v>3.1217948717948713E-2</v>
      </c>
      <c r="J10" s="47">
        <f t="shared" si="2"/>
        <v>0.96566666666666656</v>
      </c>
      <c r="K10" s="46">
        <f t="shared" si="2"/>
        <v>1425</v>
      </c>
      <c r="L10" s="41">
        <f t="shared" si="2"/>
        <v>30.866666666666664</v>
      </c>
      <c r="M10" s="42">
        <f t="shared" si="2"/>
        <v>2.967948717948718E-2</v>
      </c>
      <c r="N10" s="47">
        <f t="shared" si="2"/>
        <v>0.96766666666666667</v>
      </c>
      <c r="O10" s="46">
        <f t="shared" si="2"/>
        <v>1221.6666666666667</v>
      </c>
      <c r="P10" s="41">
        <f t="shared" si="2"/>
        <v>30.566666666666666</v>
      </c>
      <c r="Q10" s="42">
        <f t="shared" si="2"/>
        <v>2.9391025641025647E-2</v>
      </c>
      <c r="R10" s="47">
        <f t="shared" si="2"/>
        <v>0.96833333333333327</v>
      </c>
      <c r="S10" s="46">
        <f t="shared" si="2"/>
        <v>1018.3333333333334</v>
      </c>
      <c r="T10" s="41">
        <f t="shared" si="2"/>
        <v>29.766666666666669</v>
      </c>
      <c r="U10" s="42">
        <f t="shared" si="2"/>
        <v>2.8621794871794875E-2</v>
      </c>
      <c r="V10" s="47">
        <f t="shared" si="2"/>
        <v>0.96866666666666656</v>
      </c>
      <c r="Z10" s="52">
        <v>1</v>
      </c>
      <c r="AA10" s="46">
        <f t="shared" ref="AA10:AD10" si="3">AVERAGE(AA30,AA45,AA61)</f>
        <v>1855</v>
      </c>
      <c r="AB10" s="41">
        <f t="shared" si="3"/>
        <v>44.366666666666667</v>
      </c>
      <c r="AC10" s="42">
        <f t="shared" si="3"/>
        <v>4.2660256410256413E-2</v>
      </c>
      <c r="AD10" s="47">
        <f t="shared" si="3"/>
        <v>0.93633333333333335</v>
      </c>
      <c r="AE10" s="46">
        <f t="shared" ref="AE10:AT10" si="4">AVERAGE(AE30,AE45,AE61)</f>
        <v>1633.3333333333333</v>
      </c>
      <c r="AF10" s="41">
        <f t="shared" si="4"/>
        <v>38.766666666666666</v>
      </c>
      <c r="AG10" s="42">
        <f t="shared" si="4"/>
        <v>3.7275641025641022E-2</v>
      </c>
      <c r="AH10" s="47">
        <f t="shared" si="4"/>
        <v>0.95166666666666666</v>
      </c>
      <c r="AI10" s="46">
        <f t="shared" si="4"/>
        <v>1425</v>
      </c>
      <c r="AJ10" s="41">
        <f t="shared" si="4"/>
        <v>35.066666666666663</v>
      </c>
      <c r="AK10" s="42">
        <f t="shared" si="4"/>
        <v>3.3717948717948719E-2</v>
      </c>
      <c r="AL10" s="47">
        <f t="shared" si="4"/>
        <v>0.95800000000000007</v>
      </c>
      <c r="AM10" s="46">
        <f t="shared" si="4"/>
        <v>1221.6666666666667</v>
      </c>
      <c r="AN10" s="41">
        <f t="shared" si="4"/>
        <v>33.800000000000004</v>
      </c>
      <c r="AO10" s="42">
        <f t="shared" si="4"/>
        <v>3.2500000000000001E-2</v>
      </c>
      <c r="AP10" s="47">
        <f t="shared" si="4"/>
        <v>0.96433333333333326</v>
      </c>
      <c r="AQ10" s="46">
        <f t="shared" si="4"/>
        <v>1018.3333333333334</v>
      </c>
      <c r="AR10" s="41">
        <f t="shared" si="4"/>
        <v>31.166666666666668</v>
      </c>
      <c r="AS10" s="42">
        <f t="shared" si="4"/>
        <v>2.9967948717948719E-2</v>
      </c>
      <c r="AT10" s="47">
        <f t="shared" si="4"/>
        <v>0.96733333333333338</v>
      </c>
    </row>
    <row r="11" spans="1:46" x14ac:dyDescent="0.2">
      <c r="B11" s="52">
        <v>2</v>
      </c>
      <c r="C11" s="46">
        <f t="shared" ref="C11:V11" si="5">AVERAGE(C31,C46,C62)</f>
        <v>1821.6666666666667</v>
      </c>
      <c r="D11" s="41">
        <f t="shared" si="5"/>
        <v>39.533333333333331</v>
      </c>
      <c r="E11" s="42">
        <f t="shared" si="5"/>
        <v>3.8012820512820511E-2</v>
      </c>
      <c r="F11" s="47">
        <f t="shared" si="5"/>
        <v>0.91366666666666674</v>
      </c>
      <c r="G11" s="46">
        <f t="shared" si="5"/>
        <v>1551.6666666666667</v>
      </c>
      <c r="H11" s="41">
        <f t="shared" si="5"/>
        <v>36.300000000000004</v>
      </c>
      <c r="I11" s="42">
        <f t="shared" si="5"/>
        <v>3.4903846153846153E-2</v>
      </c>
      <c r="J11" s="47">
        <f t="shared" si="5"/>
        <v>0.91733333333333322</v>
      </c>
      <c r="K11" s="46">
        <f t="shared" si="5"/>
        <v>1353.3333333333333</v>
      </c>
      <c r="L11" s="41">
        <f t="shared" si="5"/>
        <v>31.733333333333334</v>
      </c>
      <c r="M11" s="42">
        <f t="shared" si="5"/>
        <v>3.0512820512820515E-2</v>
      </c>
      <c r="N11" s="47">
        <f t="shared" si="5"/>
        <v>0.93266666666666664</v>
      </c>
      <c r="O11" s="46">
        <f t="shared" si="5"/>
        <v>1150</v>
      </c>
      <c r="P11" s="41">
        <f t="shared" si="5"/>
        <v>32.299999999999997</v>
      </c>
      <c r="Q11" s="42">
        <f t="shared" si="5"/>
        <v>3.1057692307692304E-2</v>
      </c>
      <c r="R11" s="47">
        <f t="shared" si="5"/>
        <v>0.93666666666666665</v>
      </c>
      <c r="S11" s="46">
        <f t="shared" si="5"/>
        <v>965</v>
      </c>
      <c r="T11" s="41">
        <f t="shared" si="5"/>
        <v>33.533333333333339</v>
      </c>
      <c r="U11" s="42">
        <f t="shared" si="5"/>
        <v>3.2243589743589741E-2</v>
      </c>
      <c r="V11" s="47">
        <f t="shared" si="5"/>
        <v>0.93200000000000005</v>
      </c>
      <c r="Z11" s="52">
        <v>2</v>
      </c>
      <c r="AA11" s="46">
        <f t="shared" ref="AA11:AD11" si="6">AVERAGE(AA31,AA46,AA62)</f>
        <v>1821.6666666666667</v>
      </c>
      <c r="AB11" s="41">
        <f t="shared" si="6"/>
        <v>50.466666666666661</v>
      </c>
      <c r="AC11" s="42">
        <f t="shared" si="6"/>
        <v>4.8525641025641025E-2</v>
      </c>
      <c r="AD11" s="47">
        <f t="shared" si="6"/>
        <v>0.85666666666666658</v>
      </c>
      <c r="AE11" s="46">
        <f t="shared" ref="AE11:AT11" si="7">AVERAGE(AE31,AE46,AE62)</f>
        <v>1551.6666666666667</v>
      </c>
      <c r="AF11" s="41">
        <f t="shared" si="7"/>
        <v>39.800000000000004</v>
      </c>
      <c r="AG11" s="42">
        <f t="shared" si="7"/>
        <v>3.8269230769230771E-2</v>
      </c>
      <c r="AH11" s="47">
        <f t="shared" si="7"/>
        <v>0.91066666666666662</v>
      </c>
      <c r="AI11" s="46">
        <f t="shared" si="7"/>
        <v>1353.3333333333333</v>
      </c>
      <c r="AJ11" s="41">
        <f t="shared" si="7"/>
        <v>35.866666666666667</v>
      </c>
      <c r="AK11" s="42">
        <f t="shared" si="7"/>
        <v>3.4487179487179491E-2</v>
      </c>
      <c r="AL11" s="47">
        <f t="shared" si="7"/>
        <v>0.92366666666666664</v>
      </c>
      <c r="AM11" s="46">
        <f t="shared" si="7"/>
        <v>1150</v>
      </c>
      <c r="AN11" s="41">
        <f t="shared" si="7"/>
        <v>35.9</v>
      </c>
      <c r="AO11" s="42">
        <f t="shared" si="7"/>
        <v>3.4519230769230767E-2</v>
      </c>
      <c r="AP11" s="47">
        <f t="shared" si="7"/>
        <v>0.92533333333333345</v>
      </c>
      <c r="AQ11" s="46">
        <f t="shared" si="7"/>
        <v>965</v>
      </c>
      <c r="AR11" s="41">
        <f t="shared" si="7"/>
        <v>35.93333333333333</v>
      </c>
      <c r="AS11" s="42">
        <f t="shared" si="7"/>
        <v>3.4551282051282051E-2</v>
      </c>
      <c r="AT11" s="47">
        <f t="shared" si="7"/>
        <v>0.92200000000000004</v>
      </c>
    </row>
    <row r="12" spans="1:46" x14ac:dyDescent="0.2">
      <c r="B12" s="52">
        <v>3</v>
      </c>
      <c r="C12" s="46">
        <f t="shared" ref="C12:V12" si="8">AVERAGE(C32,C47,C63)</f>
        <v>1826.6666666666667</v>
      </c>
      <c r="D12" s="41">
        <f t="shared" si="8"/>
        <v>49.833333333333336</v>
      </c>
      <c r="E12" s="42">
        <f t="shared" si="8"/>
        <v>4.7916666666666663E-2</v>
      </c>
      <c r="F12" s="47">
        <f t="shared" si="8"/>
        <v>0.96200000000000008</v>
      </c>
      <c r="G12" s="46">
        <f t="shared" si="8"/>
        <v>1623.3333333333333</v>
      </c>
      <c r="H12" s="41">
        <f t="shared" si="8"/>
        <v>33.833333333333336</v>
      </c>
      <c r="I12" s="42">
        <f t="shared" si="8"/>
        <v>3.2532051282051277E-2</v>
      </c>
      <c r="J12" s="47">
        <f t="shared" si="8"/>
        <v>0.97899999999999998</v>
      </c>
      <c r="K12" s="46">
        <f t="shared" si="8"/>
        <v>1421.6666666666667</v>
      </c>
      <c r="L12" s="41">
        <f t="shared" si="8"/>
        <v>32.4</v>
      </c>
      <c r="M12" s="42">
        <f t="shared" si="8"/>
        <v>3.1153846153846153E-2</v>
      </c>
      <c r="N12" s="47">
        <f t="shared" si="8"/>
        <v>0.98133333333333328</v>
      </c>
      <c r="O12" s="46">
        <f t="shared" si="8"/>
        <v>1190</v>
      </c>
      <c r="P12" s="41">
        <f t="shared" si="8"/>
        <v>32.300000000000004</v>
      </c>
      <c r="Q12" s="42">
        <f t="shared" si="8"/>
        <v>3.105769230769231E-2</v>
      </c>
      <c r="R12" s="47">
        <f t="shared" si="8"/>
        <v>0.98133333333333328</v>
      </c>
      <c r="S12" s="46">
        <f t="shared" si="8"/>
        <v>988.33333333333337</v>
      </c>
      <c r="T12" s="41">
        <f t="shared" si="8"/>
        <v>33.56666666666667</v>
      </c>
      <c r="U12" s="42">
        <f t="shared" si="8"/>
        <v>3.2275641025641032E-2</v>
      </c>
      <c r="V12" s="47">
        <f t="shared" si="8"/>
        <v>0.97899999999999998</v>
      </c>
      <c r="Z12" s="52">
        <v>3</v>
      </c>
      <c r="AA12" s="46">
        <f t="shared" ref="AA12:AD12" si="9">AVERAGE(AA32,AA47,AA63)</f>
        <v>1826.6666666666667</v>
      </c>
      <c r="AB12" s="41">
        <f t="shared" si="9"/>
        <v>52.933333333333337</v>
      </c>
      <c r="AC12" s="42">
        <f t="shared" si="9"/>
        <v>5.0897435897435894E-2</v>
      </c>
      <c r="AD12" s="47">
        <f t="shared" si="9"/>
        <v>0.95833333333333337</v>
      </c>
      <c r="AE12" s="46">
        <f t="shared" ref="AE12:AT12" si="10">AVERAGE(AE32,AE47,AE63)</f>
        <v>1623.3333333333333</v>
      </c>
      <c r="AF12" s="41">
        <f t="shared" si="10"/>
        <v>40.533333333333339</v>
      </c>
      <c r="AG12" s="42">
        <f t="shared" si="10"/>
        <v>3.8974358974358969E-2</v>
      </c>
      <c r="AH12" s="47">
        <f t="shared" si="10"/>
        <v>0.97333333333333327</v>
      </c>
      <c r="AI12" s="46">
        <f t="shared" si="10"/>
        <v>1421.6666666666667</v>
      </c>
      <c r="AJ12" s="41">
        <f t="shared" si="10"/>
        <v>35.766666666666666</v>
      </c>
      <c r="AK12" s="42">
        <f t="shared" si="10"/>
        <v>3.4391025641025641E-2</v>
      </c>
      <c r="AL12" s="47">
        <f t="shared" si="10"/>
        <v>0.97866666666666668</v>
      </c>
      <c r="AM12" s="46">
        <f t="shared" si="10"/>
        <v>1190</v>
      </c>
      <c r="AN12" s="41">
        <f t="shared" si="10"/>
        <v>36.766666666666673</v>
      </c>
      <c r="AO12" s="42">
        <f t="shared" si="10"/>
        <v>3.5352564102564106E-2</v>
      </c>
      <c r="AP12" s="47">
        <f t="shared" si="10"/>
        <v>0.97766666666666657</v>
      </c>
      <c r="AQ12" s="46">
        <f t="shared" si="10"/>
        <v>988.33333333333337</v>
      </c>
      <c r="AR12" s="41">
        <f t="shared" si="10"/>
        <v>37.800000000000004</v>
      </c>
      <c r="AS12" s="42">
        <f t="shared" si="10"/>
        <v>3.6346153846153847E-2</v>
      </c>
      <c r="AT12" s="47">
        <f t="shared" si="10"/>
        <v>0.97599999999999998</v>
      </c>
    </row>
    <row r="13" spans="1:46" x14ac:dyDescent="0.2">
      <c r="B13" s="52">
        <v>4</v>
      </c>
      <c r="C13" s="46">
        <f t="shared" ref="C13:V13" si="11">AVERAGE(C33,C48,C64)</f>
        <v>1628.3333333333333</v>
      </c>
      <c r="D13" s="41">
        <f t="shared" si="11"/>
        <v>46.1</v>
      </c>
      <c r="E13" s="42">
        <f t="shared" si="11"/>
        <v>4.4326923076923076E-2</v>
      </c>
      <c r="F13" s="47">
        <f t="shared" si="11"/>
        <v>0.96199999999999986</v>
      </c>
      <c r="G13" s="46">
        <f t="shared" si="11"/>
        <v>1448.3333333333333</v>
      </c>
      <c r="H13" s="41">
        <f t="shared" si="11"/>
        <v>33.433333333333337</v>
      </c>
      <c r="I13" s="42">
        <f t="shared" si="11"/>
        <v>3.2147435897435898E-2</v>
      </c>
      <c r="J13" s="47">
        <f t="shared" si="11"/>
        <v>0.97833333333333339</v>
      </c>
      <c r="K13" s="46">
        <f t="shared" si="11"/>
        <v>1266.6666666666667</v>
      </c>
      <c r="L13" s="41">
        <f t="shared" si="11"/>
        <v>32.5</v>
      </c>
      <c r="M13" s="42">
        <f t="shared" si="11"/>
        <v>3.125E-2</v>
      </c>
      <c r="N13" s="47">
        <f t="shared" si="11"/>
        <v>0.97866666666666668</v>
      </c>
      <c r="O13" s="46">
        <f t="shared" si="11"/>
        <v>1096.6666666666667</v>
      </c>
      <c r="P13" s="41">
        <f t="shared" si="11"/>
        <v>31.5</v>
      </c>
      <c r="Q13" s="42">
        <f t="shared" si="11"/>
        <v>3.0288461538461542E-2</v>
      </c>
      <c r="R13" s="47">
        <f t="shared" si="11"/>
        <v>0.98</v>
      </c>
      <c r="S13" s="46">
        <f t="shared" si="11"/>
        <v>898.33333333333337</v>
      </c>
      <c r="T13" s="41">
        <f t="shared" si="11"/>
        <v>32.5</v>
      </c>
      <c r="U13" s="42">
        <f t="shared" si="11"/>
        <v>3.125E-2</v>
      </c>
      <c r="V13" s="47">
        <f t="shared" si="11"/>
        <v>0.97800000000000009</v>
      </c>
      <c r="Z13" s="52">
        <v>4</v>
      </c>
      <c r="AA13" s="46">
        <f t="shared" ref="AA13:AD13" si="12">AVERAGE(AA33,AA48,AA64)</f>
        <v>1628.3333333333333</v>
      </c>
      <c r="AB13" s="41">
        <f t="shared" si="12"/>
        <v>54.833333333333336</v>
      </c>
      <c r="AC13" s="42">
        <f t="shared" si="12"/>
        <v>5.2724358974358974E-2</v>
      </c>
      <c r="AD13" s="47">
        <f t="shared" si="12"/>
        <v>0.94966666666666655</v>
      </c>
      <c r="AE13" s="46">
        <f t="shared" ref="AE13:AT13" si="13">AVERAGE(AE33,AE48,AE64)</f>
        <v>1448.3333333333333</v>
      </c>
      <c r="AF13" s="41">
        <f t="shared" si="13"/>
        <v>41.866666666666667</v>
      </c>
      <c r="AG13" s="42">
        <f t="shared" si="13"/>
        <v>4.0256410256410254E-2</v>
      </c>
      <c r="AH13" s="47">
        <f t="shared" si="13"/>
        <v>0.96899999999999997</v>
      </c>
      <c r="AI13" s="46">
        <f t="shared" si="13"/>
        <v>1266.6666666666667</v>
      </c>
      <c r="AJ13" s="41">
        <f t="shared" si="13"/>
        <v>38.5</v>
      </c>
      <c r="AK13" s="42">
        <f t="shared" si="13"/>
        <v>3.701923076923077E-2</v>
      </c>
      <c r="AL13" s="47">
        <f t="shared" si="13"/>
        <v>0.97299999999999998</v>
      </c>
      <c r="AM13" s="46">
        <f t="shared" si="13"/>
        <v>1096.6666666666667</v>
      </c>
      <c r="AN13" s="41">
        <f t="shared" si="13"/>
        <v>36.733333333333327</v>
      </c>
      <c r="AO13" s="42">
        <f t="shared" si="13"/>
        <v>3.5320512820512816E-2</v>
      </c>
      <c r="AP13" s="47">
        <f t="shared" si="13"/>
        <v>0.97499999999999998</v>
      </c>
      <c r="AQ13" s="46">
        <f t="shared" si="13"/>
        <v>898.33333333333337</v>
      </c>
      <c r="AR13" s="41">
        <f t="shared" si="13"/>
        <v>36.966666666666669</v>
      </c>
      <c r="AS13" s="42">
        <f t="shared" si="13"/>
        <v>3.5544871794871792E-2</v>
      </c>
      <c r="AT13" s="47">
        <f t="shared" si="13"/>
        <v>0.97333333333333327</v>
      </c>
    </row>
    <row r="14" spans="1:46" x14ac:dyDescent="0.2">
      <c r="B14" s="52">
        <v>5</v>
      </c>
      <c r="C14" s="46">
        <f t="shared" ref="C14:V14" si="14">AVERAGE(C34,C49,C65)</f>
        <v>1295</v>
      </c>
      <c r="D14" s="41">
        <f t="shared" si="14"/>
        <v>46.433333333333337</v>
      </c>
      <c r="E14" s="42">
        <f t="shared" si="14"/>
        <v>4.4647435897435896E-2</v>
      </c>
      <c r="F14" s="47">
        <f t="shared" si="14"/>
        <v>0.94566666666666677</v>
      </c>
      <c r="G14" s="46">
        <f t="shared" si="14"/>
        <v>1176.6666666666667</v>
      </c>
      <c r="H14" s="41">
        <f t="shared" si="14"/>
        <v>34.066666666666663</v>
      </c>
      <c r="I14" s="42">
        <f t="shared" si="14"/>
        <v>3.2756410256410261E-2</v>
      </c>
      <c r="J14" s="47">
        <f t="shared" si="14"/>
        <v>0.96666666666666667</v>
      </c>
      <c r="K14" s="46">
        <f t="shared" si="14"/>
        <v>1043.3333333333333</v>
      </c>
      <c r="L14" s="41">
        <f t="shared" si="14"/>
        <v>30.5</v>
      </c>
      <c r="M14" s="42">
        <f t="shared" si="14"/>
        <v>2.9326923076923073E-2</v>
      </c>
      <c r="N14" s="47">
        <f t="shared" si="14"/>
        <v>0.97399999999999987</v>
      </c>
      <c r="O14" s="46">
        <f t="shared" si="14"/>
        <v>890</v>
      </c>
      <c r="P14" s="41">
        <f t="shared" si="14"/>
        <v>27.400000000000002</v>
      </c>
      <c r="Q14" s="42">
        <f t="shared" si="14"/>
        <v>2.6346153846153849E-2</v>
      </c>
      <c r="R14" s="47">
        <f t="shared" si="14"/>
        <v>0.97633333333333328</v>
      </c>
      <c r="S14" s="46">
        <f t="shared" si="14"/>
        <v>735</v>
      </c>
      <c r="T14" s="41">
        <f t="shared" si="14"/>
        <v>26.466666666666665</v>
      </c>
      <c r="U14" s="42">
        <f t="shared" si="14"/>
        <v>2.5448717948717947E-2</v>
      </c>
      <c r="V14" s="47">
        <f t="shared" si="14"/>
        <v>0.97566666666666668</v>
      </c>
      <c r="Z14" s="52">
        <v>5</v>
      </c>
      <c r="AA14" s="46">
        <f t="shared" ref="AA14:AD14" si="15">AVERAGE(AA34,AA49,AA65)</f>
        <v>1295</v>
      </c>
      <c r="AB14" s="41">
        <f t="shared" si="15"/>
        <v>69.899999999999991</v>
      </c>
      <c r="AC14" s="42">
        <f t="shared" si="15"/>
        <v>6.7211538461538461E-2</v>
      </c>
      <c r="AD14" s="47">
        <f t="shared" si="15"/>
        <v>0.88400000000000001</v>
      </c>
      <c r="AE14" s="46">
        <f t="shared" ref="AE14:AT14" si="16">AVERAGE(AE34,AE49,AE65)</f>
        <v>1176.6666666666667</v>
      </c>
      <c r="AF14" s="41">
        <f t="shared" si="16"/>
        <v>46.066666666666663</v>
      </c>
      <c r="AG14" s="42">
        <f t="shared" si="16"/>
        <v>4.4294871794871793E-2</v>
      </c>
      <c r="AH14" s="47">
        <f t="shared" si="16"/>
        <v>0.94600000000000006</v>
      </c>
      <c r="AI14" s="46">
        <f t="shared" si="16"/>
        <v>1043.3333333333333</v>
      </c>
      <c r="AJ14" s="41">
        <f t="shared" si="16"/>
        <v>38.166666666666664</v>
      </c>
      <c r="AK14" s="42">
        <f t="shared" si="16"/>
        <v>3.669871794871795E-2</v>
      </c>
      <c r="AL14" s="47">
        <f t="shared" si="16"/>
        <v>0.96433333333333326</v>
      </c>
      <c r="AM14" s="46">
        <f t="shared" si="16"/>
        <v>890</v>
      </c>
      <c r="AN14" s="41">
        <f t="shared" si="16"/>
        <v>32.133333333333333</v>
      </c>
      <c r="AO14" s="42">
        <f t="shared" si="16"/>
        <v>3.0897435897435894E-2</v>
      </c>
      <c r="AP14" s="47">
        <f t="shared" si="16"/>
        <v>0.97033333333333338</v>
      </c>
      <c r="AQ14" s="46">
        <f t="shared" si="16"/>
        <v>735</v>
      </c>
      <c r="AR14" s="41">
        <f t="shared" si="16"/>
        <v>30.266666666666666</v>
      </c>
      <c r="AS14" s="42">
        <f t="shared" si="16"/>
        <v>2.9102564102564104E-2</v>
      </c>
      <c r="AT14" s="47">
        <f t="shared" si="16"/>
        <v>0.97133333333333327</v>
      </c>
    </row>
    <row r="15" spans="1:46" x14ac:dyDescent="0.2">
      <c r="B15" s="52">
        <v>6</v>
      </c>
      <c r="C15" s="46">
        <f t="shared" ref="C15:V15" si="17">AVERAGE(C35,C50,C66)</f>
        <v>1640</v>
      </c>
      <c r="D15" s="41">
        <f t="shared" si="17"/>
        <v>38.199999999999996</v>
      </c>
      <c r="E15" s="42">
        <f t="shared" si="17"/>
        <v>3.6730769230769227E-2</v>
      </c>
      <c r="F15" s="47">
        <f t="shared" si="17"/>
        <v>0.96133333333333326</v>
      </c>
      <c r="G15" s="46">
        <f t="shared" si="17"/>
        <v>1446.6666666666667</v>
      </c>
      <c r="H15" s="41">
        <f t="shared" si="17"/>
        <v>34.333333333333336</v>
      </c>
      <c r="I15" s="42">
        <f t="shared" si="17"/>
        <v>3.3012820512820513E-2</v>
      </c>
      <c r="J15" s="47">
        <f t="shared" si="17"/>
        <v>0.96866666666666668</v>
      </c>
      <c r="K15" s="46">
        <f t="shared" si="17"/>
        <v>1295</v>
      </c>
      <c r="L15" s="41">
        <f t="shared" si="17"/>
        <v>34.166666666666671</v>
      </c>
      <c r="M15" s="42">
        <f t="shared" si="17"/>
        <v>3.2852564102564104E-2</v>
      </c>
      <c r="N15" s="47">
        <f t="shared" si="17"/>
        <v>0.96733333333333338</v>
      </c>
      <c r="O15" s="46">
        <f t="shared" si="17"/>
        <v>1133.3333333333333</v>
      </c>
      <c r="P15" s="41">
        <f t="shared" si="17"/>
        <v>33.300000000000004</v>
      </c>
      <c r="Q15" s="42">
        <f t="shared" si="17"/>
        <v>3.2019230769230772E-2</v>
      </c>
      <c r="R15" s="47">
        <f t="shared" si="17"/>
        <v>0.96899999999999997</v>
      </c>
      <c r="S15" s="46">
        <f t="shared" si="17"/>
        <v>958.33333333333337</v>
      </c>
      <c r="T15" s="41">
        <f t="shared" si="17"/>
        <v>31.966666666666665</v>
      </c>
      <c r="U15" s="42">
        <f t="shared" si="17"/>
        <v>3.0737179487179491E-2</v>
      </c>
      <c r="V15" s="47">
        <f t="shared" si="17"/>
        <v>0.97000000000000008</v>
      </c>
      <c r="Z15" s="52">
        <v>6</v>
      </c>
      <c r="AA15" s="46">
        <f t="shared" ref="AA15:AD15" si="18">AVERAGE(AA35,AA50,AA66)</f>
        <v>1640</v>
      </c>
      <c r="AB15" s="41">
        <f t="shared" si="18"/>
        <v>55.699999999999996</v>
      </c>
      <c r="AC15" s="42">
        <f t="shared" si="18"/>
        <v>5.3557692307692306E-2</v>
      </c>
      <c r="AD15" s="47">
        <f t="shared" si="18"/>
        <v>0.92499999999999993</v>
      </c>
      <c r="AE15" s="46">
        <f t="shared" ref="AE15:AT15" si="19">AVERAGE(AE35,AE50,AE66)</f>
        <v>1446.6666666666667</v>
      </c>
      <c r="AF15" s="41">
        <f t="shared" si="19"/>
        <v>43.033333333333339</v>
      </c>
      <c r="AG15" s="42">
        <f t="shared" si="19"/>
        <v>4.1378205128205128E-2</v>
      </c>
      <c r="AH15" s="47">
        <f t="shared" si="19"/>
        <v>0.95400000000000007</v>
      </c>
      <c r="AI15" s="46">
        <f t="shared" si="19"/>
        <v>1295</v>
      </c>
      <c r="AJ15" s="41">
        <f t="shared" si="19"/>
        <v>41.233333333333327</v>
      </c>
      <c r="AK15" s="42">
        <f t="shared" si="19"/>
        <v>3.9647435897435891E-2</v>
      </c>
      <c r="AL15" s="47">
        <f t="shared" si="19"/>
        <v>0.95533333333333337</v>
      </c>
      <c r="AM15" s="46">
        <f t="shared" si="19"/>
        <v>1133.3333333333333</v>
      </c>
      <c r="AN15" s="41">
        <f t="shared" si="19"/>
        <v>37.9</v>
      </c>
      <c r="AO15" s="42">
        <f t="shared" si="19"/>
        <v>3.6442307692307691E-2</v>
      </c>
      <c r="AP15" s="47">
        <f t="shared" si="19"/>
        <v>0.96233333333333337</v>
      </c>
      <c r="AQ15" s="46">
        <f t="shared" si="19"/>
        <v>958.33333333333337</v>
      </c>
      <c r="AR15" s="41">
        <f t="shared" si="19"/>
        <v>36.1</v>
      </c>
      <c r="AS15" s="42">
        <f t="shared" si="19"/>
        <v>3.471153846153846E-2</v>
      </c>
      <c r="AT15" s="47">
        <f t="shared" si="19"/>
        <v>0.96433333333333326</v>
      </c>
    </row>
    <row r="16" spans="1:46" ht="16" thickBot="1" x14ac:dyDescent="0.25">
      <c r="B16" s="53">
        <v>7</v>
      </c>
      <c r="C16" s="48">
        <f t="shared" ref="C16:V16" si="20">AVERAGE(C36,C51,C67)</f>
        <v>835</v>
      </c>
      <c r="D16" s="49">
        <f t="shared" si="20"/>
        <v>59</v>
      </c>
      <c r="E16" s="50">
        <f t="shared" si="20"/>
        <v>5.673076923076923E-2</v>
      </c>
      <c r="F16" s="51">
        <f t="shared" si="20"/>
        <v>0.84766666666666668</v>
      </c>
      <c r="G16" s="48">
        <f t="shared" si="20"/>
        <v>773.33333333333337</v>
      </c>
      <c r="H16" s="49">
        <f t="shared" si="20"/>
        <v>55.866666666666667</v>
      </c>
      <c r="I16" s="50">
        <f t="shared" si="20"/>
        <v>5.3717948717948716E-2</v>
      </c>
      <c r="J16" s="51">
        <f t="shared" si="20"/>
        <v>0.91433333333333344</v>
      </c>
      <c r="K16" s="48">
        <f t="shared" si="20"/>
        <v>668.33333333333337</v>
      </c>
      <c r="L16" s="49">
        <f t="shared" si="20"/>
        <v>44.066666666666663</v>
      </c>
      <c r="M16" s="50">
        <f t="shared" si="20"/>
        <v>4.2371794871794877E-2</v>
      </c>
      <c r="N16" s="51">
        <f t="shared" si="20"/>
        <v>0.94399999999999995</v>
      </c>
      <c r="O16" s="48">
        <f t="shared" si="20"/>
        <v>573.33333333333337</v>
      </c>
      <c r="P16" s="49">
        <f t="shared" si="20"/>
        <v>33.799999999999997</v>
      </c>
      <c r="Q16" s="50">
        <f t="shared" si="20"/>
        <v>3.2499999999999994E-2</v>
      </c>
      <c r="R16" s="51">
        <f t="shared" si="20"/>
        <v>0.96166666666666656</v>
      </c>
      <c r="S16" s="48">
        <f t="shared" si="20"/>
        <v>488.33333333333331</v>
      </c>
      <c r="T16" s="49">
        <f t="shared" si="20"/>
        <v>33.1</v>
      </c>
      <c r="U16" s="50">
        <f t="shared" si="20"/>
        <v>3.1826923076923079E-2</v>
      </c>
      <c r="V16" s="51">
        <f t="shared" si="20"/>
        <v>0.95966666666666667</v>
      </c>
      <c r="Z16" s="53">
        <v>7</v>
      </c>
      <c r="AA16" s="48">
        <f t="shared" ref="AA16:AD16" si="21">AVERAGE(AA36,AA51,AA67)</f>
        <v>835</v>
      </c>
      <c r="AB16" s="49">
        <f t="shared" si="21"/>
        <v>73.633333333333326</v>
      </c>
      <c r="AC16" s="50">
        <f t="shared" si="21"/>
        <v>7.0801282051282055E-2</v>
      </c>
      <c r="AD16" s="51">
        <f t="shared" si="21"/>
        <v>0.80599999999999994</v>
      </c>
      <c r="AE16" s="48">
        <f t="shared" ref="AE16:AT16" si="22">AVERAGE(AE36,AE51,AE67)</f>
        <v>773.33333333333337</v>
      </c>
      <c r="AF16" s="49">
        <f t="shared" si="22"/>
        <v>64.266666666666666</v>
      </c>
      <c r="AG16" s="50">
        <f t="shared" si="22"/>
        <v>6.1794871794871802E-2</v>
      </c>
      <c r="AH16" s="51">
        <f t="shared" si="22"/>
        <v>0.89100000000000001</v>
      </c>
      <c r="AI16" s="48">
        <f t="shared" si="22"/>
        <v>668.33333333333337</v>
      </c>
      <c r="AJ16" s="49">
        <f t="shared" si="22"/>
        <v>52.099999999999994</v>
      </c>
      <c r="AK16" s="50">
        <f t="shared" si="22"/>
        <v>5.0096153846153846E-2</v>
      </c>
      <c r="AL16" s="51">
        <f t="shared" si="22"/>
        <v>0.92066666666666663</v>
      </c>
      <c r="AM16" s="48">
        <f t="shared" si="22"/>
        <v>573.33333333333337</v>
      </c>
      <c r="AN16" s="49">
        <f t="shared" si="22"/>
        <v>40.699999999999996</v>
      </c>
      <c r="AO16" s="50">
        <f t="shared" si="22"/>
        <v>3.9134615384615386E-2</v>
      </c>
      <c r="AP16" s="51">
        <f t="shared" si="22"/>
        <v>0.94566666666666654</v>
      </c>
      <c r="AQ16" s="48">
        <f t="shared" si="22"/>
        <v>488.33333333333331</v>
      </c>
      <c r="AR16" s="49">
        <f t="shared" si="22"/>
        <v>40.06666666666667</v>
      </c>
      <c r="AS16" s="50">
        <f t="shared" si="22"/>
        <v>3.8525641025641023E-2</v>
      </c>
      <c r="AT16" s="51">
        <f t="shared" si="22"/>
        <v>0.94099999999999995</v>
      </c>
    </row>
    <row r="17" spans="1:46" ht="16" thickBot="1" x14ac:dyDescent="0.25">
      <c r="C17" s="28"/>
      <c r="D17" s="28"/>
      <c r="E17" s="102"/>
      <c r="F17" s="28"/>
      <c r="G17" s="37"/>
      <c r="H17" s="28"/>
      <c r="I17" s="42"/>
      <c r="J17" s="28"/>
      <c r="K17" s="37"/>
      <c r="L17" s="28"/>
      <c r="M17" s="42"/>
      <c r="N17" s="28"/>
      <c r="O17" s="28"/>
      <c r="P17" s="28"/>
      <c r="Q17" s="42"/>
      <c r="R17" s="28"/>
      <c r="S17" s="37"/>
      <c r="T17" s="28"/>
      <c r="U17" s="42"/>
      <c r="V17" s="28"/>
      <c r="Z17" s="27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</row>
    <row r="18" spans="1:46" ht="16" thickBot="1" x14ac:dyDescent="0.25">
      <c r="B18" s="1" t="s">
        <v>11</v>
      </c>
      <c r="C18" s="28"/>
      <c r="D18" s="56">
        <f t="shared" ref="D18:F18" si="23">AVERAGE(D38,D53,D69)</f>
        <v>43.422594567149019</v>
      </c>
      <c r="E18" s="59">
        <f t="shared" si="23"/>
        <v>4.1752494776104827E-2</v>
      </c>
      <c r="F18" s="57">
        <f t="shared" si="23"/>
        <v>0.95000088855039344</v>
      </c>
      <c r="G18" s="28"/>
      <c r="H18" s="56">
        <f t="shared" ref="H18:J18" si="24">AVERAGE(H38,H53,H69)</f>
        <v>36.667766352470721</v>
      </c>
      <c r="I18" s="59">
        <f t="shared" si="24"/>
        <v>3.525746764660647E-2</v>
      </c>
      <c r="J18" s="57">
        <f t="shared" si="24"/>
        <v>0.96232704941445302</v>
      </c>
      <c r="K18" s="28"/>
      <c r="L18" s="56">
        <f t="shared" ref="L18:N18" si="25">AVERAGE(L38,L53,L69)</f>
        <v>33.771792360430943</v>
      </c>
      <c r="M18" s="59">
        <f t="shared" si="25"/>
        <v>3.2472877269645144E-2</v>
      </c>
      <c r="N18" s="57">
        <f t="shared" si="25"/>
        <v>0.96814413973228886</v>
      </c>
      <c r="O18" s="28"/>
      <c r="P18" s="56">
        <f t="shared" ref="P18:R18" si="26">AVERAGE(P38,P53,P69)</f>
        <v>32.944698267656577</v>
      </c>
      <c r="Q18" s="59">
        <f t="shared" si="26"/>
        <v>3.1677594488131323E-2</v>
      </c>
      <c r="R18" s="57">
        <f t="shared" si="26"/>
        <v>0.96987035979440328</v>
      </c>
      <c r="S18" s="28"/>
      <c r="T18" s="56">
        <f t="shared" ref="T18:V18" si="27">AVERAGE(T38,T53,T69)</f>
        <v>32.55684258624629</v>
      </c>
      <c r="U18" s="59">
        <f>AVERAGE(U38,U53,U69)</f>
        <v>3.1304656332929122E-2</v>
      </c>
      <c r="V18" s="57">
        <f t="shared" si="27"/>
        <v>0.96920082248115147</v>
      </c>
      <c r="Z18" s="28" t="s">
        <v>11</v>
      </c>
      <c r="AA18" s="28"/>
      <c r="AB18" s="56">
        <f>AVERAGE(AB38,AB53,AB69)</f>
        <v>55.033155623254629</v>
      </c>
      <c r="AC18" s="95">
        <f>AVERAGE(AC38,AC53,AC69)</f>
        <v>5.2916495791590995E-2</v>
      </c>
      <c r="AD18" s="95">
        <f>AVERAGE(AD38,AD53,AD69)</f>
        <v>0.92251929423711587</v>
      </c>
      <c r="AE18" s="28"/>
      <c r="AF18" s="56">
        <f>AVERAGE(AF38,AF53,AF69)</f>
        <v>44.070122822050841</v>
      </c>
      <c r="AG18" s="95">
        <f>AVERAGE(AG38,AG53,AG69)</f>
        <v>4.2375118098125809E-2</v>
      </c>
      <c r="AH18" s="95">
        <f>AVERAGE(AH38,AH53,AH69)</f>
        <v>0.95125178520422737</v>
      </c>
      <c r="AI18" s="28"/>
      <c r="AJ18" s="56">
        <f>AVERAGE(AJ38,AJ53,AJ69)</f>
        <v>39.385569702905649</v>
      </c>
      <c r="AK18" s="95">
        <f>AVERAGE(AK38,AK53,AK69)</f>
        <v>3.7870740098947739E-2</v>
      </c>
      <c r="AL18" s="95">
        <f>AVERAGE(AL38,AL53,AL69)</f>
        <v>0.95972608553705518</v>
      </c>
      <c r="AM18" s="28"/>
      <c r="AN18" s="56">
        <f>AVERAGE(AN38,AN53,AN69)</f>
        <v>37.596973158195318</v>
      </c>
      <c r="AO18" s="95">
        <f>AVERAGE(AO38,AO53,AO69)</f>
        <v>3.615093572903396E-2</v>
      </c>
      <c r="AP18" s="95">
        <f>AVERAGE(AP38,AP53,AP69)</f>
        <v>0.96341005139920044</v>
      </c>
      <c r="AQ18" s="28"/>
      <c r="AR18" s="56">
        <f>AVERAGE(AR38,AR53,AR69)</f>
        <v>36.422526844870916</v>
      </c>
      <c r="AS18" s="95">
        <f>AVERAGE(AS38,AS53,AS69)</f>
        <v>3.5021660427760497E-2</v>
      </c>
      <c r="AT18" s="95">
        <f>AVERAGE(AT38,AT53,AT69)</f>
        <v>0.9638478409869774</v>
      </c>
    </row>
    <row r="20" spans="1:46" ht="15" customHeight="1" x14ac:dyDescent="0.2">
      <c r="D20" s="31">
        <f>(D18-AB18)/AB18</f>
        <v>-0.21097392880010482</v>
      </c>
      <c r="H20" s="31">
        <f>(H18-AF18)/AF18</f>
        <v>-0.16796768412626914</v>
      </c>
      <c r="L20" s="31">
        <f>(L18-AJ18)/AJ18</f>
        <v>-0.14253386163563739</v>
      </c>
      <c r="P20" s="31">
        <f>(P18-AN18)/AN18</f>
        <v>-0.12374067643593398</v>
      </c>
      <c r="T20" s="31">
        <f>(T18-AR18)/AR18</f>
        <v>-0.10613443364567107</v>
      </c>
    </row>
    <row r="23" spans="1:46" s="32" customFormat="1" ht="15" customHeight="1" thickBot="1" x14ac:dyDescent="0.25">
      <c r="X23" s="93"/>
    </row>
    <row r="24" spans="1:46" s="33" customFormat="1" ht="15.75" customHeight="1" thickBot="1" x14ac:dyDescent="0.25">
      <c r="X24" s="94"/>
    </row>
    <row r="25" spans="1:46" ht="15.75" customHeight="1" x14ac:dyDescent="0.2"/>
    <row r="26" spans="1:46" ht="15.75" customHeight="1" x14ac:dyDescent="0.2"/>
    <row r="27" spans="1:46" ht="15.75" customHeight="1" x14ac:dyDescent="0.2">
      <c r="A27" s="1" t="s">
        <v>23</v>
      </c>
      <c r="D27" s="134">
        <v>0.1</v>
      </c>
      <c r="E27" s="133"/>
      <c r="F27" s="133"/>
      <c r="G27" s="2"/>
      <c r="H27" s="134">
        <v>0.2</v>
      </c>
      <c r="I27" s="133"/>
      <c r="J27" s="133"/>
      <c r="K27" s="2"/>
      <c r="L27" s="134">
        <v>0.3</v>
      </c>
      <c r="M27" s="133"/>
      <c r="N27" s="133"/>
      <c r="O27" s="2"/>
      <c r="P27" s="134">
        <v>0.4</v>
      </c>
      <c r="Q27" s="133"/>
      <c r="R27" s="133"/>
      <c r="S27" s="2"/>
      <c r="T27" s="134">
        <v>0.5</v>
      </c>
      <c r="U27" s="133"/>
      <c r="V27" s="133"/>
      <c r="Y27" s="1" t="s">
        <v>23</v>
      </c>
      <c r="AB27" s="134">
        <v>0.1</v>
      </c>
      <c r="AC27" s="133"/>
      <c r="AD27" s="133"/>
      <c r="AE27" s="2"/>
      <c r="AF27" s="134">
        <v>0.2</v>
      </c>
      <c r="AG27" s="133"/>
      <c r="AH27" s="133"/>
      <c r="AI27" s="2"/>
      <c r="AJ27" s="134">
        <v>0.3</v>
      </c>
      <c r="AK27" s="133"/>
      <c r="AL27" s="133"/>
      <c r="AM27" s="2"/>
      <c r="AN27" s="134">
        <v>0.4</v>
      </c>
      <c r="AO27" s="133"/>
      <c r="AP27" s="133"/>
      <c r="AQ27" s="2"/>
      <c r="AR27" s="134">
        <v>0.5</v>
      </c>
      <c r="AS27" s="133"/>
      <c r="AT27" s="133"/>
    </row>
    <row r="28" spans="1:46" ht="15.75" customHeight="1" thickBot="1" x14ac:dyDescent="0.25">
      <c r="B28" s="13" t="s">
        <v>8</v>
      </c>
      <c r="C28" s="22" t="s">
        <v>22</v>
      </c>
      <c r="D28" s="14" t="s">
        <v>7</v>
      </c>
      <c r="E28" s="13" t="s">
        <v>9</v>
      </c>
      <c r="F28" s="13" t="s">
        <v>10</v>
      </c>
      <c r="G28" s="22" t="s">
        <v>22</v>
      </c>
      <c r="H28" s="14" t="s">
        <v>7</v>
      </c>
      <c r="I28" s="13" t="s">
        <v>9</v>
      </c>
      <c r="J28" s="13" t="s">
        <v>10</v>
      </c>
      <c r="K28" s="22" t="s">
        <v>22</v>
      </c>
      <c r="L28" s="13" t="s">
        <v>7</v>
      </c>
      <c r="M28" s="13" t="s">
        <v>9</v>
      </c>
      <c r="N28" s="13" t="s">
        <v>10</v>
      </c>
      <c r="O28" s="22" t="s">
        <v>22</v>
      </c>
      <c r="P28" s="13" t="s">
        <v>7</v>
      </c>
      <c r="Q28" s="13" t="s">
        <v>9</v>
      </c>
      <c r="R28" s="13" t="s">
        <v>10</v>
      </c>
      <c r="S28" s="22" t="s">
        <v>22</v>
      </c>
      <c r="T28" s="13" t="s">
        <v>7</v>
      </c>
      <c r="U28" s="13" t="s">
        <v>9</v>
      </c>
      <c r="V28" s="13" t="s">
        <v>10</v>
      </c>
      <c r="Z28" s="13" t="s">
        <v>8</v>
      </c>
      <c r="AA28" s="22" t="s">
        <v>22</v>
      </c>
      <c r="AB28" s="14" t="s">
        <v>7</v>
      </c>
      <c r="AC28" s="13" t="s">
        <v>9</v>
      </c>
      <c r="AD28" s="13" t="s">
        <v>10</v>
      </c>
      <c r="AE28" s="22" t="s">
        <v>22</v>
      </c>
      <c r="AF28" s="14" t="s">
        <v>7</v>
      </c>
      <c r="AG28" s="13" t="s">
        <v>9</v>
      </c>
      <c r="AH28" s="13" t="s">
        <v>10</v>
      </c>
      <c r="AI28" s="22" t="s">
        <v>22</v>
      </c>
      <c r="AJ28" s="13" t="s">
        <v>7</v>
      </c>
      <c r="AK28" s="13" t="s">
        <v>9</v>
      </c>
      <c r="AL28" s="13" t="s">
        <v>10</v>
      </c>
      <c r="AM28" s="22" t="s">
        <v>22</v>
      </c>
      <c r="AN28" s="13" t="s">
        <v>7</v>
      </c>
      <c r="AO28" s="13" t="s">
        <v>9</v>
      </c>
      <c r="AP28" s="13" t="s">
        <v>10</v>
      </c>
      <c r="AQ28" s="22" t="s">
        <v>22</v>
      </c>
      <c r="AR28" s="13" t="s">
        <v>7</v>
      </c>
      <c r="AS28" s="13" t="s">
        <v>9</v>
      </c>
      <c r="AT28" s="13" t="s">
        <v>10</v>
      </c>
    </row>
    <row r="29" spans="1:46" ht="15.75" customHeight="1" x14ac:dyDescent="0.2">
      <c r="B29" s="1">
        <v>0</v>
      </c>
      <c r="C29" s="23">
        <v>1890</v>
      </c>
      <c r="D29" s="17">
        <v>49</v>
      </c>
      <c r="E29" s="16">
        <f t="shared" ref="E29:E36" si="28">D29/$A$5</f>
        <v>4.7115384615384615E-2</v>
      </c>
      <c r="F29" s="28">
        <v>0.95299999999999996</v>
      </c>
      <c r="G29" s="17">
        <v>1725</v>
      </c>
      <c r="H29" s="17">
        <v>38.6</v>
      </c>
      <c r="I29" s="16">
        <f t="shared" ref="I29:I36" si="29">H29/$A$5</f>
        <v>3.711538461538462E-2</v>
      </c>
      <c r="J29" s="28">
        <v>0.96399999999999997</v>
      </c>
      <c r="K29" s="23">
        <v>1495</v>
      </c>
      <c r="L29" s="28">
        <v>31.9</v>
      </c>
      <c r="M29" s="16">
        <f t="shared" ref="M29:M36" si="30">L29/$A$5</f>
        <v>3.0673076923076921E-2</v>
      </c>
      <c r="N29" s="28">
        <v>0.97299999999999998</v>
      </c>
      <c r="O29" s="23">
        <v>1255</v>
      </c>
      <c r="P29" s="28">
        <v>34.9</v>
      </c>
      <c r="Q29" s="16">
        <f t="shared" ref="Q29:Q36" si="31">P29/$A$5</f>
        <v>3.3557692307692309E-2</v>
      </c>
      <c r="R29" s="28">
        <v>0.96799999999999997</v>
      </c>
      <c r="S29" s="23">
        <v>1035</v>
      </c>
      <c r="T29" s="28">
        <v>33.200000000000003</v>
      </c>
      <c r="U29" s="16">
        <f t="shared" ref="U29:U36" si="32">T29/$A$5</f>
        <v>3.1923076923076929E-2</v>
      </c>
      <c r="V29" s="28">
        <v>0.96899999999999997</v>
      </c>
      <c r="Z29" s="1">
        <v>0</v>
      </c>
      <c r="AA29" s="23">
        <v>1890</v>
      </c>
      <c r="AB29" s="17">
        <v>62</v>
      </c>
      <c r="AC29" s="16">
        <f t="shared" ref="AC29:AC36" si="33">AB29/$A$5</f>
        <v>5.9615384615384619E-2</v>
      </c>
      <c r="AD29" s="28">
        <v>0.92600000000000005</v>
      </c>
      <c r="AE29" s="17">
        <v>1725</v>
      </c>
      <c r="AF29" s="17">
        <v>49.2</v>
      </c>
      <c r="AG29" s="16">
        <f t="shared" ref="AG29:AG36" si="34">AF29/$A$5</f>
        <v>4.7307692307692308E-2</v>
      </c>
      <c r="AH29" s="28">
        <v>0.94599999999999995</v>
      </c>
      <c r="AI29" s="23">
        <v>1495</v>
      </c>
      <c r="AJ29" s="17">
        <v>39.799999999999997</v>
      </c>
      <c r="AK29" s="16">
        <f t="shared" ref="AK29:AK36" si="35">AJ29/$A$5</f>
        <v>3.8269230769230764E-2</v>
      </c>
      <c r="AL29" s="28">
        <v>0.95799999999999996</v>
      </c>
      <c r="AM29" s="23">
        <v>1255</v>
      </c>
      <c r="AN29" s="17">
        <v>40.5</v>
      </c>
      <c r="AO29" s="16">
        <f t="shared" ref="AO29:AO36" si="36">AN29/$A$5</f>
        <v>3.8942307692307693E-2</v>
      </c>
      <c r="AP29" s="28">
        <v>0.95799999999999996</v>
      </c>
      <c r="AQ29" s="23">
        <v>1035</v>
      </c>
      <c r="AR29" s="17">
        <v>37.6</v>
      </c>
      <c r="AS29" s="16">
        <f t="shared" ref="AS29:AS36" si="37">AR29/$A$5</f>
        <v>3.6153846153846154E-2</v>
      </c>
      <c r="AT29" s="28">
        <v>0.96199999999999997</v>
      </c>
    </row>
    <row r="30" spans="1:46" ht="15.75" customHeight="1" x14ac:dyDescent="0.2">
      <c r="B30" s="1">
        <v>1</v>
      </c>
      <c r="C30" s="23">
        <v>2805</v>
      </c>
      <c r="D30" s="17">
        <v>33.6</v>
      </c>
      <c r="E30" s="16">
        <f t="shared" si="28"/>
        <v>3.2307692307692308E-2</v>
      </c>
      <c r="F30" s="28">
        <v>0.97799999999999998</v>
      </c>
      <c r="G30" s="17">
        <v>2485</v>
      </c>
      <c r="H30" s="17">
        <v>34.4</v>
      </c>
      <c r="I30" s="16">
        <f t="shared" si="29"/>
        <v>3.3076923076923073E-2</v>
      </c>
      <c r="J30" s="28">
        <v>0.97699999999999998</v>
      </c>
      <c r="K30" s="23">
        <v>2170</v>
      </c>
      <c r="L30" s="28">
        <v>35.1</v>
      </c>
      <c r="M30" s="16">
        <f t="shared" si="30"/>
        <v>3.3750000000000002E-2</v>
      </c>
      <c r="N30" s="28">
        <v>0.97599999999999998</v>
      </c>
      <c r="O30" s="23">
        <v>1840</v>
      </c>
      <c r="P30" s="28">
        <v>33.700000000000003</v>
      </c>
      <c r="Q30" s="16">
        <f t="shared" si="31"/>
        <v>3.2403846153846158E-2</v>
      </c>
      <c r="R30" s="28">
        <v>0.97699999999999998</v>
      </c>
      <c r="S30" s="23">
        <v>1555</v>
      </c>
      <c r="T30" s="28">
        <v>33.6</v>
      </c>
      <c r="U30" s="16">
        <f t="shared" si="32"/>
        <v>3.2307692307692308E-2</v>
      </c>
      <c r="V30" s="28">
        <v>0.97599999999999998</v>
      </c>
      <c r="Z30" s="1">
        <v>1</v>
      </c>
      <c r="AA30" s="23">
        <v>2805</v>
      </c>
      <c r="AB30" s="17">
        <v>39.299999999999997</v>
      </c>
      <c r="AC30" s="16">
        <f t="shared" si="33"/>
        <v>3.7788461538461535E-2</v>
      </c>
      <c r="AD30" s="28">
        <v>0.97299999999999998</v>
      </c>
      <c r="AE30" s="17">
        <v>2485</v>
      </c>
      <c r="AF30" s="17">
        <v>38.9</v>
      </c>
      <c r="AG30" s="16">
        <f t="shared" si="34"/>
        <v>3.7403846153846156E-2</v>
      </c>
      <c r="AH30" s="28">
        <v>0.97399999999999998</v>
      </c>
      <c r="AI30" s="23">
        <v>2170</v>
      </c>
      <c r="AJ30" s="17">
        <v>37.799999999999997</v>
      </c>
      <c r="AK30" s="16">
        <f t="shared" si="35"/>
        <v>3.6346153846153841E-2</v>
      </c>
      <c r="AL30" s="28">
        <v>0.97299999999999998</v>
      </c>
      <c r="AM30" s="23">
        <v>1840</v>
      </c>
      <c r="AN30" s="17">
        <v>37.200000000000003</v>
      </c>
      <c r="AO30" s="16">
        <f t="shared" si="36"/>
        <v>3.5769230769230775E-2</v>
      </c>
      <c r="AP30" s="28">
        <v>0.97399999999999998</v>
      </c>
      <c r="AQ30" s="23">
        <v>1555</v>
      </c>
      <c r="AR30" s="17">
        <v>35.4</v>
      </c>
      <c r="AS30" s="16">
        <f t="shared" si="37"/>
        <v>3.4038461538461538E-2</v>
      </c>
      <c r="AT30" s="28">
        <v>0.97599999999999998</v>
      </c>
    </row>
    <row r="31" spans="1:46" ht="15.75" customHeight="1" x14ac:dyDescent="0.2">
      <c r="B31" s="1">
        <v>2</v>
      </c>
      <c r="C31" s="23">
        <v>2135</v>
      </c>
      <c r="D31" s="17">
        <v>48</v>
      </c>
      <c r="E31" s="16">
        <f t="shared" si="28"/>
        <v>4.6153846153846156E-2</v>
      </c>
      <c r="F31" s="28">
        <v>0.96299999999999997</v>
      </c>
      <c r="G31" s="17">
        <v>1820</v>
      </c>
      <c r="H31" s="17">
        <v>43.1</v>
      </c>
      <c r="I31" s="16">
        <f t="shared" si="29"/>
        <v>4.1442307692307695E-2</v>
      </c>
      <c r="J31" s="28">
        <v>0.96899999999999997</v>
      </c>
      <c r="K31" s="23">
        <v>1590</v>
      </c>
      <c r="L31" s="28">
        <v>36.799999999999997</v>
      </c>
      <c r="M31" s="16">
        <f t="shared" si="30"/>
        <v>3.5384615384615382E-2</v>
      </c>
      <c r="N31" s="28">
        <v>0.97699999999999998</v>
      </c>
      <c r="O31" s="23">
        <v>1365</v>
      </c>
      <c r="P31" s="28">
        <v>38.799999999999997</v>
      </c>
      <c r="Q31" s="16">
        <f t="shared" si="31"/>
        <v>3.7307692307692306E-2</v>
      </c>
      <c r="R31" s="28">
        <v>0.97499999999999998</v>
      </c>
      <c r="S31" s="23">
        <v>1165</v>
      </c>
      <c r="T31" s="28">
        <v>39.6</v>
      </c>
      <c r="U31" s="16">
        <f t="shared" si="32"/>
        <v>3.8076923076923078E-2</v>
      </c>
      <c r="V31" s="28">
        <v>0.97499999999999998</v>
      </c>
      <c r="Z31" s="1">
        <v>2</v>
      </c>
      <c r="AA31" s="23">
        <v>2135</v>
      </c>
      <c r="AB31" s="17">
        <v>56.4</v>
      </c>
      <c r="AC31" s="16">
        <f t="shared" si="33"/>
        <v>5.4230769230769228E-2</v>
      </c>
      <c r="AD31" s="28">
        <v>0.95199999999999996</v>
      </c>
      <c r="AE31" s="17">
        <v>1820</v>
      </c>
      <c r="AF31" s="17">
        <v>48.1</v>
      </c>
      <c r="AG31" s="16">
        <f t="shared" si="34"/>
        <v>4.6249999999999999E-2</v>
      </c>
      <c r="AH31" s="28">
        <v>0.96399999999999997</v>
      </c>
      <c r="AI31" s="23">
        <v>1590</v>
      </c>
      <c r="AJ31" s="17">
        <v>42.8</v>
      </c>
      <c r="AK31" s="16">
        <f t="shared" si="35"/>
        <v>4.1153846153846152E-2</v>
      </c>
      <c r="AL31" s="28">
        <v>0.97099999999999997</v>
      </c>
      <c r="AM31" s="23">
        <v>1365</v>
      </c>
      <c r="AN31" s="17">
        <v>43.4</v>
      </c>
      <c r="AO31" s="16">
        <f t="shared" si="36"/>
        <v>4.1730769230769231E-2</v>
      </c>
      <c r="AP31" s="28">
        <v>0.96899999999999997</v>
      </c>
      <c r="AQ31" s="23">
        <v>1165</v>
      </c>
      <c r="AR31" s="17">
        <v>43.2</v>
      </c>
      <c r="AS31" s="16">
        <f t="shared" si="37"/>
        <v>4.1538461538461538E-2</v>
      </c>
      <c r="AT31" s="28">
        <v>0.97</v>
      </c>
    </row>
    <row r="32" spans="1:46" ht="15.75" customHeight="1" x14ac:dyDescent="0.2">
      <c r="B32" s="1">
        <v>3</v>
      </c>
      <c r="C32" s="23">
        <v>1445</v>
      </c>
      <c r="D32" s="17">
        <v>60.7</v>
      </c>
      <c r="E32" s="16">
        <f t="shared" si="28"/>
        <v>5.8365384615384618E-2</v>
      </c>
      <c r="F32" s="28">
        <v>0.95</v>
      </c>
      <c r="G32" s="17">
        <v>1285</v>
      </c>
      <c r="H32" s="17">
        <v>33.1</v>
      </c>
      <c r="I32" s="16">
        <f t="shared" si="29"/>
        <v>3.1826923076923079E-2</v>
      </c>
      <c r="J32" s="28">
        <v>0.98</v>
      </c>
      <c r="K32" s="23">
        <v>1115</v>
      </c>
      <c r="L32" s="28">
        <v>30.4</v>
      </c>
      <c r="M32" s="16">
        <f t="shared" si="30"/>
        <v>2.923076923076923E-2</v>
      </c>
      <c r="N32" s="28">
        <v>0.98299999999999998</v>
      </c>
      <c r="O32" s="23">
        <v>925</v>
      </c>
      <c r="P32" s="28">
        <v>30.6</v>
      </c>
      <c r="Q32" s="16">
        <f t="shared" si="31"/>
        <v>2.9423076923076923E-2</v>
      </c>
      <c r="R32" s="28">
        <v>0.98299999999999998</v>
      </c>
      <c r="S32" s="23">
        <v>750</v>
      </c>
      <c r="T32" s="28">
        <v>32.9</v>
      </c>
      <c r="U32" s="16">
        <f t="shared" si="32"/>
        <v>3.1634615384615386E-2</v>
      </c>
      <c r="V32" s="28">
        <v>0.98</v>
      </c>
      <c r="Z32" s="1">
        <v>3</v>
      </c>
      <c r="AA32" s="23">
        <v>1445</v>
      </c>
      <c r="AB32" s="17">
        <v>51.1</v>
      </c>
      <c r="AC32" s="16">
        <f t="shared" si="33"/>
        <v>4.9134615384615388E-2</v>
      </c>
      <c r="AD32" s="28">
        <v>0.96299999999999997</v>
      </c>
      <c r="AE32" s="17">
        <v>1285</v>
      </c>
      <c r="AF32" s="17">
        <v>36.4</v>
      </c>
      <c r="AG32" s="16">
        <f t="shared" si="34"/>
        <v>3.4999999999999996E-2</v>
      </c>
      <c r="AH32" s="28">
        <v>0.97799999999999998</v>
      </c>
      <c r="AI32" s="23">
        <v>1115</v>
      </c>
      <c r="AJ32" s="17">
        <v>33.9</v>
      </c>
      <c r="AK32" s="16">
        <f t="shared" si="35"/>
        <v>3.2596153846153844E-2</v>
      </c>
      <c r="AL32" s="28">
        <v>0.98</v>
      </c>
      <c r="AM32" s="23">
        <v>925</v>
      </c>
      <c r="AN32" s="17">
        <v>34.700000000000003</v>
      </c>
      <c r="AO32" s="16">
        <f t="shared" si="36"/>
        <v>3.3365384615384616E-2</v>
      </c>
      <c r="AP32" s="28">
        <v>0.97899999999999998</v>
      </c>
      <c r="AQ32" s="23">
        <v>750</v>
      </c>
      <c r="AR32" s="17">
        <v>36.700000000000003</v>
      </c>
      <c r="AS32" s="16">
        <f t="shared" si="37"/>
        <v>3.5288461538461539E-2</v>
      </c>
      <c r="AT32" s="28">
        <v>0.97699999999999998</v>
      </c>
    </row>
    <row r="33" spans="1:46" ht="15.75" customHeight="1" x14ac:dyDescent="0.2">
      <c r="B33" s="1">
        <v>4</v>
      </c>
      <c r="C33" s="23">
        <v>1375</v>
      </c>
      <c r="D33" s="17">
        <v>50.2</v>
      </c>
      <c r="E33" s="16">
        <f t="shared" si="28"/>
        <v>4.8269230769230773E-2</v>
      </c>
      <c r="F33" s="28">
        <v>0.95499999999999996</v>
      </c>
      <c r="G33" s="17">
        <v>1250</v>
      </c>
      <c r="H33" s="17">
        <v>31.8</v>
      </c>
      <c r="I33" s="16">
        <f t="shared" si="29"/>
        <v>3.0576923076923078E-2</v>
      </c>
      <c r="J33" s="28">
        <v>0.98099999999999998</v>
      </c>
      <c r="K33" s="23">
        <v>1090</v>
      </c>
      <c r="L33" s="28">
        <v>30.7</v>
      </c>
      <c r="M33" s="16">
        <f t="shared" si="30"/>
        <v>2.951923076923077E-2</v>
      </c>
      <c r="N33" s="28">
        <v>0.98199999999999998</v>
      </c>
      <c r="O33" s="23">
        <v>970</v>
      </c>
      <c r="P33" s="28">
        <v>30.8</v>
      </c>
      <c r="Q33" s="16">
        <f t="shared" si="31"/>
        <v>2.9615384615384616E-2</v>
      </c>
      <c r="R33" s="28">
        <v>0.98199999999999998</v>
      </c>
      <c r="S33" s="23">
        <v>770</v>
      </c>
      <c r="T33" s="28">
        <v>34.5</v>
      </c>
      <c r="U33" s="16">
        <f t="shared" si="32"/>
        <v>3.3173076923076923E-2</v>
      </c>
      <c r="V33" s="28">
        <v>0.97599999999999998</v>
      </c>
      <c r="Z33" s="1">
        <v>4</v>
      </c>
      <c r="AA33" s="23">
        <v>1375</v>
      </c>
      <c r="AB33" s="17">
        <v>61.8</v>
      </c>
      <c r="AC33" s="16">
        <f t="shared" si="33"/>
        <v>5.9423076923076919E-2</v>
      </c>
      <c r="AD33" s="28">
        <v>0.93899999999999995</v>
      </c>
      <c r="AE33" s="17">
        <v>1250</v>
      </c>
      <c r="AF33" s="17">
        <v>44.3</v>
      </c>
      <c r="AG33" s="16">
        <f t="shared" si="34"/>
        <v>4.2596153846153846E-2</v>
      </c>
      <c r="AH33" s="28">
        <v>0.96599999999999997</v>
      </c>
      <c r="AI33" s="23">
        <v>1090</v>
      </c>
      <c r="AJ33" s="17">
        <v>37.4</v>
      </c>
      <c r="AK33" s="16">
        <f t="shared" si="35"/>
        <v>3.5961538461538461E-2</v>
      </c>
      <c r="AL33" s="28">
        <v>0.97499999999999998</v>
      </c>
      <c r="AM33" s="23">
        <v>970</v>
      </c>
      <c r="AN33" s="17">
        <v>37.5</v>
      </c>
      <c r="AO33" s="16">
        <f t="shared" si="36"/>
        <v>3.6057692307692304E-2</v>
      </c>
      <c r="AP33" s="28">
        <v>0.97599999999999998</v>
      </c>
      <c r="AQ33" s="23">
        <v>770</v>
      </c>
      <c r="AR33" s="17">
        <v>40.4</v>
      </c>
      <c r="AS33" s="16">
        <f t="shared" si="37"/>
        <v>3.8846153846153843E-2</v>
      </c>
      <c r="AT33" s="28">
        <v>0.96899999999999997</v>
      </c>
    </row>
    <row r="34" spans="1:46" ht="15.75" customHeight="1" x14ac:dyDescent="0.2">
      <c r="B34" s="1">
        <v>5</v>
      </c>
      <c r="C34" s="23">
        <v>1420</v>
      </c>
      <c r="D34" s="17">
        <v>29.5</v>
      </c>
      <c r="E34" s="16">
        <f t="shared" si="28"/>
        <v>2.8365384615384615E-2</v>
      </c>
      <c r="F34" s="28">
        <v>0.94399999999999995</v>
      </c>
      <c r="G34" s="17">
        <v>1305</v>
      </c>
      <c r="H34" s="17">
        <v>29.9</v>
      </c>
      <c r="I34" s="16">
        <f t="shared" si="29"/>
        <v>2.8749999999999998E-2</v>
      </c>
      <c r="J34" s="28">
        <v>0.94699999999999995</v>
      </c>
      <c r="K34" s="23">
        <v>1155</v>
      </c>
      <c r="L34" s="28">
        <v>24</v>
      </c>
      <c r="M34" s="16">
        <f t="shared" si="30"/>
        <v>2.3076923076923078E-2</v>
      </c>
      <c r="N34" s="28">
        <v>0.96299999999999997</v>
      </c>
      <c r="O34" s="23">
        <v>1005</v>
      </c>
      <c r="P34" s="28">
        <v>24.3</v>
      </c>
      <c r="Q34" s="16">
        <f t="shared" si="31"/>
        <v>2.3365384615384618E-2</v>
      </c>
      <c r="R34" s="28">
        <v>0.96199999999999997</v>
      </c>
      <c r="S34" s="23">
        <v>855</v>
      </c>
      <c r="T34" s="28">
        <v>23.7</v>
      </c>
      <c r="U34" s="16">
        <f t="shared" si="32"/>
        <v>2.2788461538461539E-2</v>
      </c>
      <c r="V34" s="28">
        <v>0.96</v>
      </c>
      <c r="Z34" s="1">
        <v>5</v>
      </c>
      <c r="AA34" s="23">
        <v>1420</v>
      </c>
      <c r="AB34" s="17">
        <v>45.1</v>
      </c>
      <c r="AC34" s="16">
        <f t="shared" si="33"/>
        <v>4.3365384615384618E-2</v>
      </c>
      <c r="AD34" s="28">
        <v>0.86599999999999999</v>
      </c>
      <c r="AE34" s="17">
        <v>1305</v>
      </c>
      <c r="AF34" s="17">
        <v>34.4</v>
      </c>
      <c r="AG34" s="16">
        <f t="shared" si="34"/>
        <v>3.3076923076923073E-2</v>
      </c>
      <c r="AH34" s="28">
        <v>0.92500000000000004</v>
      </c>
      <c r="AI34" s="23">
        <v>1155</v>
      </c>
      <c r="AJ34" s="17">
        <v>28.5</v>
      </c>
      <c r="AK34" s="16">
        <f t="shared" si="35"/>
        <v>2.7403846153846154E-2</v>
      </c>
      <c r="AL34" s="28">
        <v>0.95399999999999996</v>
      </c>
      <c r="AM34" s="23">
        <v>1005</v>
      </c>
      <c r="AN34" s="17">
        <v>26.8</v>
      </c>
      <c r="AO34" s="16">
        <f t="shared" si="36"/>
        <v>2.576923076923077E-2</v>
      </c>
      <c r="AP34" s="28">
        <v>0.95599999999999996</v>
      </c>
      <c r="AQ34" s="23">
        <v>855</v>
      </c>
      <c r="AR34" s="17">
        <v>26.1</v>
      </c>
      <c r="AS34" s="16">
        <f t="shared" si="37"/>
        <v>2.5096153846153848E-2</v>
      </c>
      <c r="AT34" s="28">
        <v>0.95599999999999996</v>
      </c>
    </row>
    <row r="35" spans="1:46" ht="15.75" customHeight="1" x14ac:dyDescent="0.2">
      <c r="B35" s="1">
        <v>6</v>
      </c>
      <c r="C35" s="23">
        <v>1445</v>
      </c>
      <c r="D35" s="17">
        <v>36.799999999999997</v>
      </c>
      <c r="E35" s="16">
        <f t="shared" si="28"/>
        <v>3.5384615384615382E-2</v>
      </c>
      <c r="F35" s="28">
        <v>0.97299999999999998</v>
      </c>
      <c r="G35" s="17">
        <v>1235</v>
      </c>
      <c r="H35" s="17">
        <v>36.299999999999997</v>
      </c>
      <c r="I35" s="16">
        <f t="shared" si="29"/>
        <v>3.4903846153846153E-2</v>
      </c>
      <c r="J35" s="28">
        <v>0.97299999999999998</v>
      </c>
      <c r="K35" s="23">
        <v>1120</v>
      </c>
      <c r="L35" s="28">
        <v>35.6</v>
      </c>
      <c r="M35" s="16">
        <f t="shared" si="30"/>
        <v>3.4230769230769231E-2</v>
      </c>
      <c r="N35" s="28">
        <v>0.97399999999999998</v>
      </c>
      <c r="O35" s="23">
        <v>1005</v>
      </c>
      <c r="P35" s="28">
        <v>34</v>
      </c>
      <c r="Q35" s="16">
        <f t="shared" si="31"/>
        <v>3.2692307692307694E-2</v>
      </c>
      <c r="R35" s="28">
        <v>0.97599999999999998</v>
      </c>
      <c r="S35" s="23">
        <v>825</v>
      </c>
      <c r="T35" s="28">
        <v>34.299999999999997</v>
      </c>
      <c r="U35" s="16">
        <f t="shared" si="32"/>
        <v>3.298076923076923E-2</v>
      </c>
      <c r="V35" s="28">
        <v>0.97499999999999998</v>
      </c>
      <c r="Z35" s="1">
        <v>6</v>
      </c>
      <c r="AA35" s="23">
        <v>1445</v>
      </c>
      <c r="AB35" s="17">
        <v>64.7</v>
      </c>
      <c r="AC35" s="16">
        <f t="shared" si="33"/>
        <v>6.2211538461538464E-2</v>
      </c>
      <c r="AD35" s="28">
        <v>0.92900000000000005</v>
      </c>
      <c r="AE35" s="17">
        <v>1235</v>
      </c>
      <c r="AF35" s="17">
        <v>45.1</v>
      </c>
      <c r="AG35" s="16">
        <f t="shared" si="34"/>
        <v>4.3365384615384618E-2</v>
      </c>
      <c r="AH35" s="28">
        <v>0.96199999999999997</v>
      </c>
      <c r="AI35" s="23">
        <v>1120</v>
      </c>
      <c r="AJ35" s="17">
        <v>44.3</v>
      </c>
      <c r="AK35" s="16">
        <f t="shared" si="35"/>
        <v>4.2596153846153846E-2</v>
      </c>
      <c r="AL35" s="28">
        <v>0.96399999999999997</v>
      </c>
      <c r="AM35" s="23">
        <v>1005</v>
      </c>
      <c r="AN35" s="17">
        <v>40.299999999999997</v>
      </c>
      <c r="AO35" s="16">
        <f t="shared" si="36"/>
        <v>3.875E-2</v>
      </c>
      <c r="AP35" s="28">
        <v>0.97</v>
      </c>
      <c r="AQ35" s="23">
        <v>825</v>
      </c>
      <c r="AR35" s="17">
        <v>39.200000000000003</v>
      </c>
      <c r="AS35" s="16">
        <f t="shared" si="37"/>
        <v>3.7692307692307692E-2</v>
      </c>
      <c r="AT35" s="28">
        <v>0.96899999999999997</v>
      </c>
    </row>
    <row r="36" spans="1:46" ht="15.75" customHeight="1" x14ac:dyDescent="0.2">
      <c r="B36" s="1">
        <v>7</v>
      </c>
      <c r="C36" s="23">
        <v>615</v>
      </c>
      <c r="D36" s="17">
        <v>71</v>
      </c>
      <c r="E36" s="16">
        <f t="shared" si="28"/>
        <v>6.8269230769230763E-2</v>
      </c>
      <c r="F36" s="28">
        <v>0.68600000000000005</v>
      </c>
      <c r="G36" s="17">
        <v>565</v>
      </c>
      <c r="H36" s="29">
        <v>42.3</v>
      </c>
      <c r="I36" s="42">
        <f t="shared" si="29"/>
        <v>4.0673076923076923E-2</v>
      </c>
      <c r="J36" s="28">
        <v>0.89600000000000002</v>
      </c>
      <c r="K36" s="23">
        <v>475</v>
      </c>
      <c r="L36" s="28">
        <v>32.299999999999997</v>
      </c>
      <c r="M36" s="16">
        <f t="shared" si="30"/>
        <v>3.1057692307692304E-2</v>
      </c>
      <c r="N36" s="28">
        <v>0.92900000000000005</v>
      </c>
      <c r="O36" s="23">
        <v>390</v>
      </c>
      <c r="P36" s="28">
        <v>28.3</v>
      </c>
      <c r="Q36" s="16">
        <f t="shared" si="31"/>
        <v>2.7211538461538461E-2</v>
      </c>
      <c r="R36" s="28">
        <v>0.94399999999999995</v>
      </c>
      <c r="S36" s="23">
        <v>340</v>
      </c>
      <c r="T36" s="28">
        <v>31.1</v>
      </c>
      <c r="U36" s="16">
        <f t="shared" si="32"/>
        <v>2.9903846153846156E-2</v>
      </c>
      <c r="V36" s="28">
        <v>0.93500000000000005</v>
      </c>
      <c r="Z36" s="1">
        <v>7</v>
      </c>
      <c r="AA36" s="23">
        <v>615</v>
      </c>
      <c r="AB36" s="17">
        <v>82.8</v>
      </c>
      <c r="AC36" s="16">
        <f t="shared" si="33"/>
        <v>7.9615384615384616E-2</v>
      </c>
      <c r="AD36" s="28">
        <v>0.621</v>
      </c>
      <c r="AE36" s="17">
        <v>565</v>
      </c>
      <c r="AF36" s="17">
        <v>48.5</v>
      </c>
      <c r="AG36" s="16">
        <f t="shared" si="34"/>
        <v>4.6634615384615385E-2</v>
      </c>
      <c r="AH36" s="28">
        <v>0.86299999999999999</v>
      </c>
      <c r="AI36" s="23">
        <v>475</v>
      </c>
      <c r="AJ36" s="17">
        <v>39.799999999999997</v>
      </c>
      <c r="AK36" s="16">
        <f t="shared" si="35"/>
        <v>3.8269230769230764E-2</v>
      </c>
      <c r="AL36" s="28">
        <v>0.89300000000000002</v>
      </c>
      <c r="AM36" s="23">
        <v>390</v>
      </c>
      <c r="AN36" s="17">
        <v>36.200000000000003</v>
      </c>
      <c r="AO36" s="16">
        <f t="shared" si="36"/>
        <v>3.480769230769231E-2</v>
      </c>
      <c r="AP36" s="28">
        <v>0.91400000000000003</v>
      </c>
      <c r="AQ36" s="23">
        <v>340</v>
      </c>
      <c r="AR36" s="17">
        <v>40.200000000000003</v>
      </c>
      <c r="AS36" s="16">
        <f t="shared" si="37"/>
        <v>3.8653846153846157E-2</v>
      </c>
      <c r="AT36" s="28">
        <v>0.89500000000000002</v>
      </c>
    </row>
    <row r="37" spans="1:46" ht="15.75" customHeight="1" x14ac:dyDescent="0.2">
      <c r="C37" s="23"/>
      <c r="D37" s="17"/>
      <c r="G37" s="17"/>
      <c r="H37" s="17"/>
      <c r="K37" s="23"/>
      <c r="O37" s="23"/>
      <c r="S37" s="23"/>
      <c r="AA37" s="23"/>
      <c r="AB37" s="17"/>
      <c r="AE37" s="17"/>
      <c r="AF37" s="17"/>
      <c r="AI37" s="23"/>
      <c r="AJ37" s="17"/>
      <c r="AM37" s="23"/>
      <c r="AN37" s="17"/>
      <c r="AQ37" s="23"/>
      <c r="AR37" s="17"/>
    </row>
    <row r="38" spans="1:46" ht="15.75" customHeight="1" x14ac:dyDescent="0.2">
      <c r="B38" s="1" t="s">
        <v>11</v>
      </c>
      <c r="C38" s="23"/>
      <c r="D38" s="7">
        <f>SUMPRODUCT(C29:C36,D29:D36)/SUM(C29:C36)</f>
        <v>44.539642041127188</v>
      </c>
      <c r="E38" s="20">
        <f>SUMPRODUCT(C29:C36,E29:E36)/SUM(C29:C36)</f>
        <v>4.2826578885699219E-2</v>
      </c>
      <c r="F38" s="20">
        <f>SUMPRODUCT(C29:C36,F29:F36)/SUM(C29:C36)</f>
        <v>0.94856778370144701</v>
      </c>
      <c r="G38" s="17"/>
      <c r="H38" s="7">
        <f>SUMPRODUCT(G29:G36,H29:H36)/SUM(G29:G36)</f>
        <v>36.036332476435305</v>
      </c>
      <c r="I38" s="20">
        <f>SUMPRODUCT(G29:G36,I29:I36)/SUM(G29:G36)</f>
        <v>3.4650319688880105E-2</v>
      </c>
      <c r="J38" s="20">
        <f>SUMPRODUCT(G29:G36,J29:J36)/SUM(G29:G36)</f>
        <v>0.9668898886032562</v>
      </c>
      <c r="K38" s="23"/>
      <c r="L38" s="7">
        <f>SUMPRODUCT(K29:K36,L29:L36)/SUM(K29:K36)</f>
        <v>32.5820763956905</v>
      </c>
      <c r="M38" s="20">
        <f>SUMPRODUCT(K29:K36,M29:M36)/SUM(K29:K36)</f>
        <v>3.1328919611240867E-2</v>
      </c>
      <c r="N38" s="20">
        <f>SUMPRODUCT(K29:K36,N29:N36)/SUM(K29:K36)</f>
        <v>0.97324485798237026</v>
      </c>
      <c r="O38" s="23"/>
      <c r="P38" s="7">
        <f>SUMPRODUCT(O29:O36,P29:P36)/SUM(O29:O36)</f>
        <v>32.733181039406055</v>
      </c>
      <c r="Q38" s="20">
        <f>SUMPRODUCT(O29:O36,Q29:Q36)/SUM(O29:O36)</f>
        <v>3.1474212537890442E-2</v>
      </c>
      <c r="R38" s="20">
        <f>SUMPRODUCT(O29:O36,R29:R36)/SUM(O29:O36)</f>
        <v>0.97327926898914918</v>
      </c>
      <c r="S38" s="23"/>
      <c r="T38" s="7">
        <f>SUMPRODUCT(S29:S36,T29:T36)/SUM(S29:S36)</f>
        <v>33.326799177518851</v>
      </c>
      <c r="U38" s="20">
        <f>SUMPRODUCT(S29:S36,U29:U36)/SUM(S29:S36)</f>
        <v>3.2044999209152741E-2</v>
      </c>
      <c r="V38" s="20">
        <f>SUMPRODUCT(S29:S36,V29:V36)/SUM(S29:S36)</f>
        <v>0.97135915010281004</v>
      </c>
      <c r="Z38" s="1" t="s">
        <v>11</v>
      </c>
      <c r="AA38" s="23"/>
      <c r="AB38" s="7">
        <f>SUMPRODUCT(AA29:AA36,AB29:AB36)/SUM(AA29:AA36)</f>
        <v>54.463099771515616</v>
      </c>
      <c r="AC38" s="20">
        <f>SUMPRODUCT(AA29:AA36,AC29:AC36)/SUM(AA29:AA36)</f>
        <v>5.2368365164918863E-2</v>
      </c>
      <c r="AD38" s="20">
        <f>SUMPRODUCT(AA29:AA36,AD29:AD36)/SUM(AA29:AA36)</f>
        <v>0.92525704493526273</v>
      </c>
      <c r="AE38" s="17"/>
      <c r="AF38" s="7">
        <f>SUMPRODUCT(AE29:AE36,AF29:AF36)/SUM(AE29:AE36)</f>
        <v>42.77810625535561</v>
      </c>
      <c r="AG38" s="20">
        <f>SUMPRODUCT(AE29:AE36,AG29:AG36)/SUM(AE29:AE36)</f>
        <v>4.1132794476303476E-2</v>
      </c>
      <c r="AH38" s="20">
        <f>SUMPRODUCT(AE29:AE36,AH29:AH36)/SUM(AE29:AE36)</f>
        <v>0.95576178234790043</v>
      </c>
      <c r="AI38" s="23"/>
      <c r="AJ38" s="7">
        <f>SUMPRODUCT(AI29:AI36,AJ29:AJ36)/SUM(AI29:AI36)</f>
        <v>38.156904995102842</v>
      </c>
      <c r="AK38" s="20">
        <f>SUMPRODUCT(AI29:AI36,AK29:AK36)/SUM(AI29:AI36)</f>
        <v>3.6689331726060419E-2</v>
      </c>
      <c r="AL38" s="20">
        <f>SUMPRODUCT(AI29:AI36,AL29:AL36)/SUM(AI29:AI36)</f>
        <v>0.96461165523996073</v>
      </c>
      <c r="AM38" s="23"/>
      <c r="AN38" s="7">
        <f>SUMPRODUCT(AM29:AM36,AN29:AN36)/SUM(AM29:AM36)</f>
        <v>37.52627070245574</v>
      </c>
      <c r="AO38" s="20">
        <f>SUMPRODUCT(AM29:AM36,AO29:AO36)/SUM(AM29:AM36)</f>
        <v>3.6082952598515142E-2</v>
      </c>
      <c r="AP38" s="20">
        <f>SUMPRODUCT(AM29:AM36,AP29:AP36)/SUM(AM29:AM36)</f>
        <v>0.96647858366647632</v>
      </c>
      <c r="AQ38" s="23"/>
      <c r="AR38" s="7">
        <f>SUMPRODUCT(AQ29:AQ36,AR29:AR36)/SUM(AQ29:AQ36)</f>
        <v>37.182659355723096</v>
      </c>
      <c r="AS38" s="20">
        <f>SUMPRODUCT(AQ29:AQ36,AS29:AS36)/SUM(AQ29:AQ36)</f>
        <v>3.5752557072810671E-2</v>
      </c>
      <c r="AT38" s="20">
        <f>SUMPRODUCT(AQ29:AQ36,AT29:AT36)/SUM(AQ29:AQ36)</f>
        <v>0.96550856751199454</v>
      </c>
    </row>
    <row r="39" spans="1:46" ht="15.75" customHeight="1" x14ac:dyDescent="0.2">
      <c r="E39">
        <v>5.36</v>
      </c>
      <c r="I39">
        <v>4.05</v>
      </c>
      <c r="M39">
        <v>3.92</v>
      </c>
      <c r="Q39">
        <v>3.67</v>
      </c>
      <c r="U39">
        <v>3.49</v>
      </c>
    </row>
    <row r="40" spans="1:46" ht="15.75" customHeight="1" x14ac:dyDescent="0.2">
      <c r="C40" s="1">
        <f>SUM(C29:C36)</f>
        <v>13130</v>
      </c>
      <c r="G40" s="1">
        <f>SUM(G29:G36)</f>
        <v>11670</v>
      </c>
      <c r="K40" s="1">
        <f>SUM(K29:K36)</f>
        <v>10210</v>
      </c>
      <c r="O40" s="1">
        <f>SUM(O29:O36)</f>
        <v>8755</v>
      </c>
      <c r="S40" s="1">
        <f>SUM(S29:S36)</f>
        <v>7295</v>
      </c>
      <c r="AA40" s="1"/>
      <c r="AE40" s="1"/>
      <c r="AI40" s="1"/>
      <c r="AM40" s="1"/>
      <c r="AQ40" s="1"/>
    </row>
    <row r="41" spans="1:46" ht="15.75" customHeight="1" x14ac:dyDescent="0.2"/>
    <row r="42" spans="1:46" ht="15.75" customHeight="1" x14ac:dyDescent="0.2">
      <c r="A42" s="1" t="s">
        <v>24</v>
      </c>
      <c r="D42" s="134">
        <v>0.1</v>
      </c>
      <c r="E42" s="133"/>
      <c r="F42" s="133"/>
      <c r="G42" s="2"/>
      <c r="H42" s="134">
        <v>0.2</v>
      </c>
      <c r="I42" s="133"/>
      <c r="J42" s="133"/>
      <c r="K42" s="2"/>
      <c r="L42" s="134">
        <v>0.3</v>
      </c>
      <c r="M42" s="133"/>
      <c r="N42" s="133"/>
      <c r="O42" s="2"/>
      <c r="P42" s="134">
        <v>0.4</v>
      </c>
      <c r="Q42" s="133"/>
      <c r="R42" s="133"/>
      <c r="S42" s="2"/>
      <c r="T42" s="134">
        <v>0.5</v>
      </c>
      <c r="U42" s="133"/>
      <c r="V42" s="133"/>
      <c r="Y42" s="1" t="s">
        <v>24</v>
      </c>
      <c r="AB42" s="134">
        <v>0.1</v>
      </c>
      <c r="AC42" s="133"/>
      <c r="AD42" s="133"/>
      <c r="AE42" s="2"/>
      <c r="AF42" s="134">
        <v>0.2</v>
      </c>
      <c r="AG42" s="133"/>
      <c r="AH42" s="133"/>
      <c r="AI42" s="2"/>
      <c r="AJ42" s="134">
        <v>0.3</v>
      </c>
      <c r="AK42" s="133"/>
      <c r="AL42" s="133"/>
      <c r="AM42" s="2"/>
      <c r="AN42" s="134">
        <v>0.4</v>
      </c>
      <c r="AO42" s="133"/>
      <c r="AP42" s="133"/>
      <c r="AQ42" s="2"/>
      <c r="AR42" s="134">
        <v>0.5</v>
      </c>
      <c r="AS42" s="133"/>
      <c r="AT42" s="133"/>
    </row>
    <row r="43" spans="1:46" ht="15.75" customHeight="1" thickBot="1" x14ac:dyDescent="0.25">
      <c r="B43" s="13" t="s">
        <v>8</v>
      </c>
      <c r="C43" s="22" t="s">
        <v>22</v>
      </c>
      <c r="D43" s="14" t="s">
        <v>7</v>
      </c>
      <c r="E43" s="13" t="s">
        <v>9</v>
      </c>
      <c r="F43" s="13" t="s">
        <v>10</v>
      </c>
      <c r="G43" s="22" t="s">
        <v>22</v>
      </c>
      <c r="H43" s="14" t="s">
        <v>7</v>
      </c>
      <c r="I43" s="13" t="s">
        <v>9</v>
      </c>
      <c r="J43" s="13" t="s">
        <v>10</v>
      </c>
      <c r="K43" s="22" t="s">
        <v>22</v>
      </c>
      <c r="L43" s="13" t="s">
        <v>7</v>
      </c>
      <c r="M43" s="13" t="s">
        <v>9</v>
      </c>
      <c r="N43" s="13" t="s">
        <v>10</v>
      </c>
      <c r="O43" s="22" t="s">
        <v>22</v>
      </c>
      <c r="P43" s="13" t="s">
        <v>7</v>
      </c>
      <c r="Q43" s="13" t="s">
        <v>9</v>
      </c>
      <c r="R43" s="13" t="s">
        <v>10</v>
      </c>
      <c r="S43" s="22" t="s">
        <v>22</v>
      </c>
      <c r="T43" s="13" t="s">
        <v>7</v>
      </c>
      <c r="U43" s="13" t="s">
        <v>9</v>
      </c>
      <c r="V43" s="13" t="s">
        <v>10</v>
      </c>
      <c r="Z43" s="13" t="s">
        <v>8</v>
      </c>
      <c r="AA43" s="22"/>
      <c r="AB43" s="14" t="s">
        <v>7</v>
      </c>
      <c r="AC43" s="13" t="s">
        <v>9</v>
      </c>
      <c r="AD43" s="13" t="s">
        <v>10</v>
      </c>
      <c r="AE43" s="22" t="s">
        <v>22</v>
      </c>
      <c r="AF43" s="14" t="s">
        <v>7</v>
      </c>
      <c r="AG43" s="13" t="s">
        <v>9</v>
      </c>
      <c r="AH43" s="13" t="s">
        <v>10</v>
      </c>
      <c r="AI43" s="22" t="s">
        <v>22</v>
      </c>
      <c r="AJ43" s="13" t="s">
        <v>7</v>
      </c>
      <c r="AK43" s="13" t="s">
        <v>9</v>
      </c>
      <c r="AL43" s="13" t="s">
        <v>10</v>
      </c>
      <c r="AM43" s="22" t="s">
        <v>22</v>
      </c>
      <c r="AN43" s="13" t="s">
        <v>7</v>
      </c>
      <c r="AO43" s="13" t="s">
        <v>9</v>
      </c>
      <c r="AP43" s="13" t="s">
        <v>10</v>
      </c>
      <c r="AQ43" s="22" t="s">
        <v>22</v>
      </c>
      <c r="AR43" s="13" t="s">
        <v>7</v>
      </c>
      <c r="AS43" s="13" t="s">
        <v>9</v>
      </c>
      <c r="AT43" s="13" t="s">
        <v>10</v>
      </c>
    </row>
    <row r="44" spans="1:46" ht="15.75" customHeight="1" x14ac:dyDescent="0.2">
      <c r="B44" s="1">
        <v>0</v>
      </c>
      <c r="C44" s="23">
        <v>2880</v>
      </c>
      <c r="D44" s="17">
        <v>42.4</v>
      </c>
      <c r="E44" s="16">
        <f t="shared" ref="E44:E51" si="38">D44/$A$5</f>
        <v>4.0769230769230766E-2</v>
      </c>
      <c r="F44" s="28">
        <v>0.97</v>
      </c>
      <c r="G44" s="17">
        <v>2605</v>
      </c>
      <c r="H44" s="17">
        <v>37.6</v>
      </c>
      <c r="I44" s="16">
        <f t="shared" ref="I44:I51" si="39">H44/$A$5</f>
        <v>3.6153846153846154E-2</v>
      </c>
      <c r="J44" s="28">
        <v>0.97499999999999998</v>
      </c>
      <c r="K44" s="23">
        <v>2240</v>
      </c>
      <c r="L44" s="28">
        <v>39.1</v>
      </c>
      <c r="M44" s="16">
        <f t="shared" ref="M44:M51" si="40">L44/$A$5</f>
        <v>3.7596153846153849E-2</v>
      </c>
      <c r="N44" s="28">
        <v>0.97299999999999998</v>
      </c>
      <c r="O44" s="23">
        <v>1975</v>
      </c>
      <c r="P44" s="28">
        <v>39.6</v>
      </c>
      <c r="Q44" s="16">
        <f t="shared" ref="Q44:Q51" si="41">P44/$A$5</f>
        <v>3.8076923076923078E-2</v>
      </c>
      <c r="R44" s="28">
        <v>0.97099999999999997</v>
      </c>
      <c r="S44" s="23">
        <v>1610</v>
      </c>
      <c r="T44" s="28">
        <v>37.5</v>
      </c>
      <c r="U44" s="16">
        <f t="shared" ref="U44:U51" si="42">T44/$A$5</f>
        <v>3.6057692307692304E-2</v>
      </c>
      <c r="V44" s="28">
        <v>0.97499999999999998</v>
      </c>
      <c r="Z44" s="1">
        <v>0</v>
      </c>
      <c r="AA44" s="23">
        <v>2880</v>
      </c>
      <c r="AB44" s="17">
        <v>48.3</v>
      </c>
      <c r="AC44" s="16">
        <f t="shared" ref="AC44:AC51" si="43">AB44/$A$5</f>
        <v>4.6442307692307692E-2</v>
      </c>
      <c r="AD44" s="28">
        <v>0.96399999999999997</v>
      </c>
      <c r="AE44" s="17">
        <v>2605</v>
      </c>
      <c r="AF44" s="17">
        <v>41.9</v>
      </c>
      <c r="AG44" s="16">
        <f t="shared" ref="AG44:AG51" si="44">AF44/$A$5</f>
        <v>4.0288461538461537E-2</v>
      </c>
      <c r="AH44" s="28">
        <v>0.97099999999999997</v>
      </c>
      <c r="AI44" s="23">
        <v>2240</v>
      </c>
      <c r="AJ44" s="17">
        <v>46.1</v>
      </c>
      <c r="AK44" s="16">
        <f t="shared" ref="AK44:AK51" si="45">AJ44/$A$5</f>
        <v>4.4326923076923076E-2</v>
      </c>
      <c r="AL44" s="28">
        <v>0.96499999999999997</v>
      </c>
      <c r="AM44" s="23">
        <v>1975</v>
      </c>
      <c r="AN44" s="17">
        <v>43.9</v>
      </c>
      <c r="AO44" s="16">
        <f t="shared" ref="AO44:AO51" si="46">AN44/$A$5</f>
        <v>4.221153846153846E-2</v>
      </c>
      <c r="AP44" s="28">
        <v>0.96599999999999997</v>
      </c>
      <c r="AQ44" s="23">
        <v>1610</v>
      </c>
      <c r="AR44" s="17">
        <v>41.8</v>
      </c>
      <c r="AS44" s="16">
        <f t="shared" ref="AS44:AS51" si="47">AR44/$A$5</f>
        <v>4.0192307692307687E-2</v>
      </c>
      <c r="AT44" s="28">
        <v>0.97</v>
      </c>
    </row>
    <row r="45" spans="1:46" ht="15.75" customHeight="1" x14ac:dyDescent="0.2">
      <c r="B45" s="1">
        <v>1</v>
      </c>
      <c r="C45" s="23">
        <v>1685</v>
      </c>
      <c r="D45" s="17">
        <v>35.9</v>
      </c>
      <c r="E45" s="16">
        <f t="shared" si="38"/>
        <v>3.4519230769230767E-2</v>
      </c>
      <c r="F45" s="28">
        <v>0.97799999999999998</v>
      </c>
      <c r="G45" s="17">
        <v>1450</v>
      </c>
      <c r="H45" s="17">
        <v>30.8</v>
      </c>
      <c r="I45" s="16">
        <f t="shared" si="39"/>
        <v>2.9615384615384616E-2</v>
      </c>
      <c r="J45" s="28">
        <v>0.98399999999999999</v>
      </c>
      <c r="K45" s="23">
        <v>1260</v>
      </c>
      <c r="L45" s="28">
        <v>27.2</v>
      </c>
      <c r="M45" s="16">
        <f t="shared" si="40"/>
        <v>2.6153846153846153E-2</v>
      </c>
      <c r="N45" s="28">
        <v>0.98599999999999999</v>
      </c>
      <c r="O45" s="23">
        <v>1100</v>
      </c>
      <c r="P45" s="28">
        <v>28.4</v>
      </c>
      <c r="Q45" s="16">
        <f t="shared" si="41"/>
        <v>2.7307692307692307E-2</v>
      </c>
      <c r="R45" s="28">
        <v>0.98399999999999999</v>
      </c>
      <c r="S45" s="23">
        <v>910</v>
      </c>
      <c r="T45" s="28">
        <v>27.6</v>
      </c>
      <c r="U45" s="16">
        <f t="shared" si="42"/>
        <v>2.6538461538461539E-2</v>
      </c>
      <c r="V45" s="28">
        <v>0.98499999999999999</v>
      </c>
      <c r="Z45" s="1">
        <v>1</v>
      </c>
      <c r="AA45" s="23">
        <v>1685</v>
      </c>
      <c r="AB45" s="17">
        <v>46.2</v>
      </c>
      <c r="AC45" s="16">
        <f t="shared" si="43"/>
        <v>4.4423076923076926E-2</v>
      </c>
      <c r="AD45" s="28">
        <v>0.96899999999999997</v>
      </c>
      <c r="AE45" s="17">
        <v>1450</v>
      </c>
      <c r="AF45" s="17">
        <v>36.700000000000003</v>
      </c>
      <c r="AG45" s="16">
        <f t="shared" si="44"/>
        <v>3.5288461538461539E-2</v>
      </c>
      <c r="AH45" s="28">
        <v>0.97899999999999998</v>
      </c>
      <c r="AI45" s="23">
        <v>1260</v>
      </c>
      <c r="AJ45" s="17">
        <v>31.8</v>
      </c>
      <c r="AK45" s="16">
        <f t="shared" si="45"/>
        <v>3.0576923076923078E-2</v>
      </c>
      <c r="AL45" s="28">
        <v>0.98199999999999998</v>
      </c>
      <c r="AM45" s="23">
        <v>1100</v>
      </c>
      <c r="AN45" s="17">
        <v>31.1</v>
      </c>
      <c r="AO45" s="16">
        <f t="shared" si="46"/>
        <v>2.9903846153846156E-2</v>
      </c>
      <c r="AP45" s="28">
        <v>0.98199999999999998</v>
      </c>
      <c r="AQ45" s="23">
        <v>910</v>
      </c>
      <c r="AR45" s="17">
        <v>28.2</v>
      </c>
      <c r="AS45" s="16">
        <f t="shared" si="47"/>
        <v>2.7115384615384614E-2</v>
      </c>
      <c r="AT45" s="28">
        <v>0.98399999999999999</v>
      </c>
    </row>
    <row r="46" spans="1:46" ht="15.75" customHeight="1" x14ac:dyDescent="0.2">
      <c r="B46" s="1">
        <v>2</v>
      </c>
      <c r="C46" s="23">
        <v>1930</v>
      </c>
      <c r="D46" s="17">
        <v>31.1</v>
      </c>
      <c r="E46" s="16">
        <f t="shared" si="38"/>
        <v>2.9903846153846156E-2</v>
      </c>
      <c r="F46" s="28">
        <v>0.88600000000000001</v>
      </c>
      <c r="G46" s="17">
        <v>1640</v>
      </c>
      <c r="H46" s="17">
        <v>28.4</v>
      </c>
      <c r="I46" s="16">
        <f t="shared" si="39"/>
        <v>2.7307692307692307E-2</v>
      </c>
      <c r="J46" s="28">
        <v>0.89</v>
      </c>
      <c r="K46" s="23">
        <v>1425</v>
      </c>
      <c r="L46" s="28">
        <v>27.6</v>
      </c>
      <c r="M46" s="16">
        <f t="shared" si="40"/>
        <v>2.6538461538461539E-2</v>
      </c>
      <c r="N46" s="28">
        <v>0.90600000000000003</v>
      </c>
      <c r="O46" s="23">
        <v>1190</v>
      </c>
      <c r="P46" s="28">
        <v>27.3</v>
      </c>
      <c r="Q46" s="16">
        <f t="shared" si="41"/>
        <v>2.6249999999999999E-2</v>
      </c>
      <c r="R46" s="28">
        <v>0.92100000000000004</v>
      </c>
      <c r="S46" s="23">
        <v>980</v>
      </c>
      <c r="T46" s="28">
        <v>27.3</v>
      </c>
      <c r="U46" s="16">
        <f t="shared" si="42"/>
        <v>2.6249999999999999E-2</v>
      </c>
      <c r="V46" s="28">
        <v>0.91</v>
      </c>
      <c r="Z46" s="1">
        <v>2</v>
      </c>
      <c r="AA46" s="23">
        <v>1930</v>
      </c>
      <c r="AB46" s="17">
        <v>44.3</v>
      </c>
      <c r="AC46" s="16">
        <f t="shared" si="43"/>
        <v>4.2596153846153846E-2</v>
      </c>
      <c r="AD46" s="28">
        <v>0.76700000000000002</v>
      </c>
      <c r="AE46" s="17">
        <v>1640</v>
      </c>
      <c r="AF46" s="17">
        <v>28.8</v>
      </c>
      <c r="AG46" s="16">
        <f t="shared" si="44"/>
        <v>2.7692307692307693E-2</v>
      </c>
      <c r="AH46" s="28">
        <v>0.89600000000000002</v>
      </c>
      <c r="AI46" s="23">
        <v>1425</v>
      </c>
      <c r="AJ46" s="17">
        <v>28.6</v>
      </c>
      <c r="AK46" s="16">
        <f t="shared" si="45"/>
        <v>2.75E-2</v>
      </c>
      <c r="AL46" s="28">
        <v>0.90600000000000003</v>
      </c>
      <c r="AM46" s="23">
        <v>1190</v>
      </c>
      <c r="AN46" s="17">
        <v>28.4</v>
      </c>
      <c r="AO46" s="16">
        <f t="shared" si="46"/>
        <v>2.7307692307692307E-2</v>
      </c>
      <c r="AP46" s="28">
        <v>0.91700000000000004</v>
      </c>
      <c r="AQ46" s="23">
        <v>980</v>
      </c>
      <c r="AR46" s="17">
        <v>27.8</v>
      </c>
      <c r="AS46" s="16">
        <f t="shared" si="47"/>
        <v>2.6730769230769232E-2</v>
      </c>
      <c r="AT46" s="28">
        <v>0.91100000000000003</v>
      </c>
    </row>
    <row r="47" spans="1:46" ht="15.75" customHeight="1" x14ac:dyDescent="0.2">
      <c r="B47" s="1">
        <v>3</v>
      </c>
      <c r="C47" s="23">
        <v>2290</v>
      </c>
      <c r="D47" s="17">
        <v>39.799999999999997</v>
      </c>
      <c r="E47" s="16">
        <f t="shared" si="38"/>
        <v>3.8269230769230764E-2</v>
      </c>
      <c r="F47" s="28">
        <v>0.97599999999999998</v>
      </c>
      <c r="G47" s="17">
        <v>2065</v>
      </c>
      <c r="H47" s="17">
        <v>37</v>
      </c>
      <c r="I47" s="16">
        <f t="shared" si="39"/>
        <v>3.5576923076923075E-2</v>
      </c>
      <c r="J47" s="28">
        <v>0.97599999999999998</v>
      </c>
      <c r="K47" s="23">
        <v>1835</v>
      </c>
      <c r="L47" s="28">
        <v>31.8</v>
      </c>
      <c r="M47" s="16">
        <f t="shared" si="40"/>
        <v>3.0576923076923078E-2</v>
      </c>
      <c r="N47" s="28">
        <v>0.98199999999999998</v>
      </c>
      <c r="O47" s="23">
        <v>1525</v>
      </c>
      <c r="P47" s="28">
        <v>33.1</v>
      </c>
      <c r="Q47" s="16">
        <f t="shared" si="41"/>
        <v>3.1826923076923079E-2</v>
      </c>
      <c r="R47" s="28">
        <v>0.98099999999999998</v>
      </c>
      <c r="S47" s="23">
        <v>1290</v>
      </c>
      <c r="T47" s="28">
        <v>32.1</v>
      </c>
      <c r="U47" s="16">
        <f t="shared" si="42"/>
        <v>3.0865384615384617E-2</v>
      </c>
      <c r="V47" s="28">
        <v>0.98099999999999998</v>
      </c>
      <c r="Z47" s="1">
        <v>3</v>
      </c>
      <c r="AA47" s="23">
        <v>2290</v>
      </c>
      <c r="AB47" s="17">
        <v>48.8</v>
      </c>
      <c r="AC47" s="16">
        <f t="shared" si="43"/>
        <v>4.6923076923076922E-2</v>
      </c>
      <c r="AD47" s="28">
        <v>0.96399999999999997</v>
      </c>
      <c r="AE47" s="17">
        <v>2065</v>
      </c>
      <c r="AF47" s="17">
        <v>45</v>
      </c>
      <c r="AG47" s="16">
        <f t="shared" si="44"/>
        <v>4.3269230769230768E-2</v>
      </c>
      <c r="AH47" s="28">
        <v>0.96799999999999997</v>
      </c>
      <c r="AI47" s="23">
        <v>1835</v>
      </c>
      <c r="AJ47" s="17">
        <v>35.4</v>
      </c>
      <c r="AK47" s="16">
        <f t="shared" si="45"/>
        <v>3.4038461538461538E-2</v>
      </c>
      <c r="AL47" s="28">
        <v>0.97899999999999998</v>
      </c>
      <c r="AM47" s="23">
        <v>1525</v>
      </c>
      <c r="AN47" s="17">
        <v>38.1</v>
      </c>
      <c r="AO47" s="16">
        <f t="shared" si="46"/>
        <v>3.6634615384615384E-2</v>
      </c>
      <c r="AP47" s="28">
        <v>0.97699999999999998</v>
      </c>
      <c r="AQ47" s="23">
        <v>1290</v>
      </c>
      <c r="AR47" s="17">
        <v>39</v>
      </c>
      <c r="AS47" s="16">
        <f t="shared" si="47"/>
        <v>3.7499999999999999E-2</v>
      </c>
      <c r="AT47" s="28">
        <v>0.97599999999999998</v>
      </c>
    </row>
    <row r="48" spans="1:46" ht="15.75" customHeight="1" x14ac:dyDescent="0.2">
      <c r="B48" s="1">
        <v>4</v>
      </c>
      <c r="C48" s="23">
        <v>1345</v>
      </c>
      <c r="D48" s="17">
        <v>48</v>
      </c>
      <c r="E48" s="16">
        <f t="shared" si="38"/>
        <v>4.6153846153846156E-2</v>
      </c>
      <c r="F48" s="28">
        <v>0.96599999999999997</v>
      </c>
      <c r="G48" s="17">
        <v>1165</v>
      </c>
      <c r="H48" s="17">
        <v>32.6</v>
      </c>
      <c r="I48" s="16">
        <f t="shared" si="39"/>
        <v>3.134615384615385E-2</v>
      </c>
      <c r="J48" s="28">
        <v>0.98099999999999998</v>
      </c>
      <c r="K48" s="23">
        <v>1000</v>
      </c>
      <c r="L48" s="28">
        <v>31.9</v>
      </c>
      <c r="M48" s="16">
        <f t="shared" si="40"/>
        <v>3.0673076923076921E-2</v>
      </c>
      <c r="N48" s="28">
        <v>0.98</v>
      </c>
      <c r="O48" s="23">
        <v>860</v>
      </c>
      <c r="P48" s="28">
        <v>28.8</v>
      </c>
      <c r="Q48" s="16">
        <f t="shared" si="41"/>
        <v>2.7692307692307693E-2</v>
      </c>
      <c r="R48" s="28">
        <v>0.98399999999999999</v>
      </c>
      <c r="S48" s="23">
        <v>720</v>
      </c>
      <c r="T48" s="28">
        <v>28.6</v>
      </c>
      <c r="U48" s="16">
        <f t="shared" si="42"/>
        <v>2.75E-2</v>
      </c>
      <c r="V48" s="28">
        <v>0.98399999999999999</v>
      </c>
      <c r="Z48" s="1">
        <v>4</v>
      </c>
      <c r="AA48" s="23">
        <v>1345</v>
      </c>
      <c r="AB48" s="17">
        <v>56.2</v>
      </c>
      <c r="AC48" s="16">
        <f t="shared" si="43"/>
        <v>5.4038461538461542E-2</v>
      </c>
      <c r="AD48" s="28">
        <v>0.95299999999999996</v>
      </c>
      <c r="AE48" s="17">
        <v>1165</v>
      </c>
      <c r="AF48" s="17">
        <v>40.1</v>
      </c>
      <c r="AG48" s="16">
        <f t="shared" si="44"/>
        <v>3.8557692307692307E-2</v>
      </c>
      <c r="AH48" s="28">
        <v>0.97399999999999998</v>
      </c>
      <c r="AI48" s="23">
        <v>1000</v>
      </c>
      <c r="AJ48" s="17">
        <v>38.4</v>
      </c>
      <c r="AK48" s="16">
        <f t="shared" si="45"/>
        <v>3.692307692307692E-2</v>
      </c>
      <c r="AL48" s="28">
        <v>0.97599999999999998</v>
      </c>
      <c r="AM48" s="23">
        <v>860</v>
      </c>
      <c r="AN48" s="17">
        <v>32.799999999999997</v>
      </c>
      <c r="AO48" s="16">
        <f t="shared" si="46"/>
        <v>3.1538461538461536E-2</v>
      </c>
      <c r="AP48" s="28">
        <v>0.98099999999999998</v>
      </c>
      <c r="AQ48" s="23">
        <v>720</v>
      </c>
      <c r="AR48" s="17">
        <v>31.8</v>
      </c>
      <c r="AS48" s="16">
        <f t="shared" si="47"/>
        <v>3.0576923076923078E-2</v>
      </c>
      <c r="AT48" s="28">
        <v>0.98199999999999998</v>
      </c>
    </row>
    <row r="49" spans="1:46" ht="15.75" customHeight="1" x14ac:dyDescent="0.2">
      <c r="B49" s="1">
        <v>5</v>
      </c>
      <c r="C49" s="23">
        <v>1015</v>
      </c>
      <c r="D49" s="17">
        <v>63.6</v>
      </c>
      <c r="E49" s="16">
        <f t="shared" si="38"/>
        <v>6.1153846153846156E-2</v>
      </c>
      <c r="F49" s="28">
        <v>0.92600000000000005</v>
      </c>
      <c r="G49" s="17">
        <v>940</v>
      </c>
      <c r="H49" s="17">
        <v>34.9</v>
      </c>
      <c r="I49" s="16">
        <f t="shared" si="39"/>
        <v>3.3557692307692309E-2</v>
      </c>
      <c r="J49" s="28">
        <v>0.97699999999999998</v>
      </c>
      <c r="K49" s="23">
        <v>830</v>
      </c>
      <c r="L49" s="28">
        <v>35.5</v>
      </c>
      <c r="M49" s="16">
        <f t="shared" si="40"/>
        <v>3.4134615384615381E-2</v>
      </c>
      <c r="N49" s="28">
        <v>0.97699999999999998</v>
      </c>
      <c r="O49" s="23">
        <v>695</v>
      </c>
      <c r="P49" s="28">
        <v>28.8</v>
      </c>
      <c r="Q49" s="16">
        <f t="shared" si="41"/>
        <v>2.7692307692307693E-2</v>
      </c>
      <c r="R49" s="28">
        <v>0.98199999999999998</v>
      </c>
      <c r="S49" s="23">
        <v>580</v>
      </c>
      <c r="T49" s="28">
        <v>28.4</v>
      </c>
      <c r="U49" s="16">
        <f t="shared" si="42"/>
        <v>2.7307692307692307E-2</v>
      </c>
      <c r="V49" s="28">
        <v>0.98</v>
      </c>
      <c r="Z49" s="1">
        <v>5</v>
      </c>
      <c r="AA49" s="23">
        <v>1015</v>
      </c>
      <c r="AB49" s="17">
        <v>91.9</v>
      </c>
      <c r="AC49" s="16">
        <f t="shared" si="43"/>
        <v>8.8365384615384623E-2</v>
      </c>
      <c r="AD49" s="28">
        <v>0.85399999999999998</v>
      </c>
      <c r="AE49" s="17">
        <v>940</v>
      </c>
      <c r="AF49" s="17">
        <v>56.8</v>
      </c>
      <c r="AG49" s="16">
        <f t="shared" si="44"/>
        <v>5.4615384615384614E-2</v>
      </c>
      <c r="AH49" s="28">
        <v>0.94699999999999995</v>
      </c>
      <c r="AI49" s="23">
        <v>830</v>
      </c>
      <c r="AJ49" s="17">
        <v>47.1</v>
      </c>
      <c r="AK49" s="16">
        <f t="shared" si="45"/>
        <v>4.5288461538461541E-2</v>
      </c>
      <c r="AL49" s="28">
        <v>0.96199999999999997</v>
      </c>
      <c r="AM49" s="23">
        <v>695</v>
      </c>
      <c r="AN49" s="17">
        <v>34.299999999999997</v>
      </c>
      <c r="AO49" s="16">
        <f t="shared" si="46"/>
        <v>3.298076923076923E-2</v>
      </c>
      <c r="AP49" s="28">
        <v>0.97599999999999998</v>
      </c>
      <c r="AQ49" s="23">
        <v>580</v>
      </c>
      <c r="AR49" s="17">
        <v>31.4</v>
      </c>
      <c r="AS49" s="16">
        <f t="shared" si="47"/>
        <v>3.0192307692307692E-2</v>
      </c>
      <c r="AT49" s="28">
        <v>0.97699999999999998</v>
      </c>
    </row>
    <row r="50" spans="1:46" ht="15.75" customHeight="1" x14ac:dyDescent="0.2">
      <c r="B50" s="1">
        <v>6</v>
      </c>
      <c r="C50" s="23">
        <v>860</v>
      </c>
      <c r="D50" s="17">
        <v>42.3</v>
      </c>
      <c r="E50" s="16">
        <f t="shared" si="38"/>
        <v>4.0673076923076923E-2</v>
      </c>
      <c r="F50" s="28">
        <v>0.93500000000000005</v>
      </c>
      <c r="G50" s="17">
        <v>770</v>
      </c>
      <c r="H50" s="17">
        <v>33.5</v>
      </c>
      <c r="I50" s="16">
        <f t="shared" si="39"/>
        <v>3.2211538461538458E-2</v>
      </c>
      <c r="J50" s="28">
        <v>0.95399999999999996</v>
      </c>
      <c r="K50" s="23">
        <v>725</v>
      </c>
      <c r="L50" s="28">
        <v>34.200000000000003</v>
      </c>
      <c r="M50" s="16">
        <f t="shared" si="40"/>
        <v>3.2884615384615387E-2</v>
      </c>
      <c r="N50" s="28">
        <v>0.94799999999999995</v>
      </c>
      <c r="O50" s="23">
        <v>635</v>
      </c>
      <c r="P50" s="28">
        <v>33.700000000000003</v>
      </c>
      <c r="Q50" s="16">
        <f t="shared" si="41"/>
        <v>3.2403846153846158E-2</v>
      </c>
      <c r="R50" s="28">
        <v>0.95</v>
      </c>
      <c r="S50" s="23">
        <v>555</v>
      </c>
      <c r="T50" s="28">
        <v>31.8</v>
      </c>
      <c r="U50" s="16">
        <f t="shared" si="42"/>
        <v>3.0576923076923078E-2</v>
      </c>
      <c r="V50" s="28">
        <v>0.95299999999999996</v>
      </c>
      <c r="Z50" s="1">
        <v>6</v>
      </c>
      <c r="AA50" s="23">
        <v>860</v>
      </c>
      <c r="AB50" s="17">
        <v>60.3</v>
      </c>
      <c r="AC50" s="16">
        <f t="shared" si="43"/>
        <v>5.7980769230769225E-2</v>
      </c>
      <c r="AD50" s="28">
        <v>0.877</v>
      </c>
      <c r="AE50" s="17">
        <v>770</v>
      </c>
      <c r="AF50" s="17">
        <v>45.2</v>
      </c>
      <c r="AG50" s="16">
        <f t="shared" si="44"/>
        <v>4.3461538461538461E-2</v>
      </c>
      <c r="AH50" s="28">
        <v>0.92700000000000005</v>
      </c>
      <c r="AI50" s="23">
        <v>725</v>
      </c>
      <c r="AJ50" s="17">
        <v>43.3</v>
      </c>
      <c r="AK50" s="16">
        <f t="shared" si="45"/>
        <v>4.1634615384615381E-2</v>
      </c>
      <c r="AL50" s="28">
        <v>0.92500000000000004</v>
      </c>
      <c r="AM50" s="23">
        <v>635</v>
      </c>
      <c r="AN50" s="17">
        <v>37.799999999999997</v>
      </c>
      <c r="AO50" s="16">
        <f t="shared" si="46"/>
        <v>3.6346153846153841E-2</v>
      </c>
      <c r="AP50" s="28">
        <v>0.94</v>
      </c>
      <c r="AQ50" s="23">
        <v>555</v>
      </c>
      <c r="AR50" s="17">
        <v>36.4</v>
      </c>
      <c r="AS50" s="16">
        <f t="shared" si="47"/>
        <v>3.4999999999999996E-2</v>
      </c>
      <c r="AT50" s="28">
        <v>0.94399999999999995</v>
      </c>
    </row>
    <row r="51" spans="1:46" ht="15.75" customHeight="1" x14ac:dyDescent="0.2">
      <c r="B51" s="1">
        <v>7</v>
      </c>
      <c r="C51" s="23">
        <v>1125</v>
      </c>
      <c r="D51" s="17">
        <v>55.2</v>
      </c>
      <c r="E51" s="16">
        <f t="shared" si="38"/>
        <v>5.3076923076923077E-2</v>
      </c>
      <c r="F51" s="28">
        <v>0.89600000000000002</v>
      </c>
      <c r="G51" s="17">
        <v>1035</v>
      </c>
      <c r="H51" s="17">
        <v>50.5</v>
      </c>
      <c r="I51" s="16">
        <f t="shared" si="39"/>
        <v>4.8557692307692309E-2</v>
      </c>
      <c r="J51" s="28">
        <v>0.93300000000000005</v>
      </c>
      <c r="K51" s="23">
        <v>895</v>
      </c>
      <c r="L51" s="28">
        <v>42</v>
      </c>
      <c r="M51" s="16">
        <f t="shared" si="40"/>
        <v>4.0384615384615387E-2</v>
      </c>
      <c r="N51" s="28">
        <v>0.95</v>
      </c>
      <c r="O51" s="23">
        <v>775</v>
      </c>
      <c r="P51" s="28">
        <v>37.299999999999997</v>
      </c>
      <c r="Q51" s="16">
        <f t="shared" si="41"/>
        <v>3.5865384615384611E-2</v>
      </c>
      <c r="R51" s="28">
        <v>0.96099999999999997</v>
      </c>
      <c r="S51" s="23">
        <v>650</v>
      </c>
      <c r="T51" s="28">
        <v>37.6</v>
      </c>
      <c r="U51" s="16">
        <f t="shared" si="42"/>
        <v>3.6153846153846154E-2</v>
      </c>
      <c r="V51" s="28">
        <v>0.96</v>
      </c>
      <c r="Z51" s="1">
        <v>7</v>
      </c>
      <c r="AA51" s="23">
        <v>1125</v>
      </c>
      <c r="AB51" s="17">
        <v>74.900000000000006</v>
      </c>
      <c r="AC51" s="16">
        <f t="shared" si="43"/>
        <v>7.201923076923078E-2</v>
      </c>
      <c r="AD51" s="28">
        <v>0.85199999999999998</v>
      </c>
      <c r="AE51" s="17">
        <v>1035</v>
      </c>
      <c r="AF51" s="17">
        <v>63.1</v>
      </c>
      <c r="AG51" s="16">
        <f t="shared" si="44"/>
        <v>6.0673076923076927E-2</v>
      </c>
      <c r="AH51" s="28">
        <v>0.90100000000000002</v>
      </c>
      <c r="AI51" s="23">
        <v>895</v>
      </c>
      <c r="AJ51" s="17">
        <v>50.9</v>
      </c>
      <c r="AK51" s="16">
        <f t="shared" si="45"/>
        <v>4.8942307692307688E-2</v>
      </c>
      <c r="AL51" s="28">
        <v>0.92500000000000004</v>
      </c>
      <c r="AM51" s="23">
        <v>775</v>
      </c>
      <c r="AN51" s="17">
        <v>42.9</v>
      </c>
      <c r="AO51" s="16">
        <f t="shared" si="46"/>
        <v>4.1250000000000002E-2</v>
      </c>
      <c r="AP51" s="28">
        <v>0.95</v>
      </c>
      <c r="AQ51" s="23">
        <v>650</v>
      </c>
      <c r="AR51" s="17">
        <v>42.6</v>
      </c>
      <c r="AS51" s="16">
        <f t="shared" si="47"/>
        <v>4.0961538461538466E-2</v>
      </c>
      <c r="AT51" s="28">
        <v>0.94899999999999995</v>
      </c>
    </row>
    <row r="52" spans="1:46" ht="15.75" customHeight="1" x14ac:dyDescent="0.2">
      <c r="C52" s="23"/>
      <c r="D52" s="17"/>
      <c r="G52" s="17"/>
      <c r="H52" s="17"/>
      <c r="K52" s="23"/>
      <c r="O52" s="23"/>
      <c r="S52" s="23"/>
      <c r="AA52" s="23"/>
      <c r="AB52" s="17"/>
      <c r="AE52" s="17"/>
      <c r="AF52" s="17"/>
      <c r="AI52" s="23"/>
      <c r="AJ52" s="17"/>
      <c r="AM52" s="23"/>
      <c r="AN52" s="17"/>
      <c r="AQ52" s="23"/>
      <c r="AR52" s="17"/>
    </row>
    <row r="53" spans="1:46" ht="15.75" customHeight="1" x14ac:dyDescent="0.2">
      <c r="B53" s="1" t="s">
        <v>11</v>
      </c>
      <c r="C53" s="23"/>
      <c r="D53" s="7">
        <f>SUMPRODUCT(C44:C51,D44:D51)/SUM(C44:C51)</f>
        <v>42.754036557501905</v>
      </c>
      <c r="E53" s="20">
        <f>SUMPRODUCT(C44:C51,E44:E51)/SUM(C44:C51)</f>
        <v>4.1109650536059528E-2</v>
      </c>
      <c r="F53" s="20">
        <f>SUMPRODUCT(C44:C51,F44:F51)/SUM(C44:C51)</f>
        <v>0.94728179741051022</v>
      </c>
      <c r="G53" s="17"/>
      <c r="H53" s="7">
        <f>SUMPRODUCT(G44:G51,H44:H51)/SUM(G44:G51)</f>
        <v>35.512982005141389</v>
      </c>
      <c r="I53" s="20">
        <f>SUMPRODUCT(G44:G51,I44:I51)/SUM(G44:G51)</f>
        <v>3.4147098081866722E-2</v>
      </c>
      <c r="J53" s="20">
        <f>SUMPRODUCT(G44:G51,J44:J51)/SUM(G44:G51)</f>
        <v>0.95999957155098536</v>
      </c>
      <c r="K53" s="23"/>
      <c r="L53" s="7">
        <f>SUMPRODUCT(K44:K51,L44:L51)/SUM(K44:K51)</f>
        <v>33.622820763956902</v>
      </c>
      <c r="M53" s="20">
        <f>SUMPRODUCT(K44:K51,M44:M51)/SUM(K44:K51)</f>
        <v>3.2329635349958565E-2</v>
      </c>
      <c r="N53" s="20">
        <f>SUMPRODUCT(K44:K51,N44:N51)/SUM(K44:K51)</f>
        <v>0.96409010773751225</v>
      </c>
      <c r="O53" s="23"/>
      <c r="P53" s="7">
        <f>SUMPRODUCT(O44:O51,P44:P51)/SUM(O44:O51)</f>
        <v>32.839006282124501</v>
      </c>
      <c r="Q53" s="20">
        <f>SUMPRODUCT(O44:O51,Q44:Q51)/SUM(O44:O51)</f>
        <v>3.1575967578965865E-2</v>
      </c>
      <c r="R53" s="20">
        <f>SUMPRODUCT(O44:O51,R44:R51)/SUM(O44:O51)</f>
        <v>0.96732095945174168</v>
      </c>
      <c r="S53" s="23"/>
      <c r="T53" s="7">
        <f>SUMPRODUCT(S44:S51,T44:T51)/SUM(S44:S51)</f>
        <v>31.913228238519533</v>
      </c>
      <c r="U53" s="20">
        <f>SUMPRODUCT(S44:S51,U44:U51)/SUM(S44:S51)</f>
        <v>3.0685796383191861E-2</v>
      </c>
      <c r="V53" s="20">
        <f>SUMPRODUCT(S44:S51,V44:V51)/SUM(S44:S51)</f>
        <v>0.96685195339273478</v>
      </c>
      <c r="Z53" s="1" t="s">
        <v>11</v>
      </c>
      <c r="AA53" s="23"/>
      <c r="AB53" s="7">
        <f>SUMPRODUCT(AA44:AA51,AB44:AB51)/SUM(AA44:AA51)</f>
        <v>54.774562071591774</v>
      </c>
      <c r="AC53" s="20">
        <f>SUMPRODUCT(AA44:AA51,AC44:AC51)/SUM(AA44:AA51)</f>
        <v>5.2667848145761316E-2</v>
      </c>
      <c r="AD53" s="20">
        <f>SUMPRODUCT(AA44:AA51,AD44:AD51)/SUM(AA44:AA51)</f>
        <v>0.91075932977913154</v>
      </c>
      <c r="AE53" s="17"/>
      <c r="AF53" s="7">
        <f>SUMPRODUCT(AE44:AE51,AF44:AF51)/SUM(AE44:AE51)</f>
        <v>43.079905741216798</v>
      </c>
      <c r="AG53" s="20">
        <f>SUMPRODUCT(AE44:AE51,AG44:AG51)/SUM(AE44:AE51)</f>
        <v>4.1422986289631536E-2</v>
      </c>
      <c r="AH53" s="20">
        <f>SUMPRODUCT(AE44:AE51,AH44:AH51)/SUM(AE44:AE51)</f>
        <v>0.95017823479006014</v>
      </c>
      <c r="AI53" s="23"/>
      <c r="AJ53" s="7">
        <f>SUMPRODUCT(AI44:AI51,AJ44:AJ51)/SUM(AI44:AI51)</f>
        <v>39.518805093046034</v>
      </c>
      <c r="AK53" s="20">
        <f>SUMPRODUCT(AI44:AI51,AK44:AK51)/SUM(AI44:AI51)</f>
        <v>3.7998851051005804E-2</v>
      </c>
      <c r="AL53" s="20">
        <f>SUMPRODUCT(AI44:AI51,AL44:AL51)/SUM(AI44:AI51)</f>
        <v>0.95586630754162594</v>
      </c>
      <c r="AM53" s="23"/>
      <c r="AN53" s="7">
        <f>SUMPRODUCT(AM44:AM51,AN44:AN51)/SUM(AM44:AM51)</f>
        <v>36.791319246145058</v>
      </c>
      <c r="AO53" s="20">
        <f>SUMPRODUCT(AM44:AM51,AO44:AO51)/SUM(AM44:AM51)</f>
        <v>3.5376268505908713E-2</v>
      </c>
      <c r="AP53" s="20">
        <f>SUMPRODUCT(AM44:AM51,AP44:AP51)/SUM(AM44:AM51)</f>
        <v>0.96223129640205585</v>
      </c>
      <c r="AQ53" s="23"/>
      <c r="AR53" s="7">
        <f>SUMPRODUCT(AQ44:AQ51,AR44:AR51)/SUM(AQ44:AQ51)</f>
        <v>35.574228923920494</v>
      </c>
      <c r="AS53" s="20">
        <f>SUMPRODUCT(AQ44:AQ51,AS44:AS51)/SUM(AQ44:AQ51)</f>
        <v>3.4205989349923548E-2</v>
      </c>
      <c r="AT53" s="20">
        <f>SUMPRODUCT(AQ44:AQ51,AT44:AT51)/SUM(AQ44:AQ51)</f>
        <v>0.96277313228238526</v>
      </c>
    </row>
    <row r="54" spans="1:46" ht="15.75" customHeight="1" x14ac:dyDescent="0.2">
      <c r="E54">
        <v>5.37</v>
      </c>
      <c r="H54" s="1"/>
      <c r="I54">
        <v>4.22</v>
      </c>
      <c r="M54">
        <v>3.9</v>
      </c>
      <c r="Q54">
        <v>3.68</v>
      </c>
      <c r="U54">
        <v>3.66</v>
      </c>
    </row>
    <row r="55" spans="1:46" ht="15.75" customHeight="1" x14ac:dyDescent="0.2">
      <c r="C55" s="1">
        <f>SUM(C44:C51)</f>
        <v>13130</v>
      </c>
      <c r="G55" s="1">
        <f>SUM(G44:G51)</f>
        <v>11670</v>
      </c>
      <c r="K55" s="1">
        <f>SUM(K44:K51)</f>
        <v>10210</v>
      </c>
      <c r="O55" s="1">
        <f>SUM(O44:O51)</f>
        <v>8755</v>
      </c>
      <c r="S55" s="1">
        <f>SUM(S44:S51)</f>
        <v>7295</v>
      </c>
      <c r="AA55" s="1"/>
      <c r="AE55" s="1"/>
      <c r="AI55" s="1"/>
      <c r="AM55" s="1"/>
      <c r="AQ55" s="1"/>
    </row>
    <row r="56" spans="1:46" ht="15.75" customHeight="1" x14ac:dyDescent="0.2"/>
    <row r="57" spans="1:46" ht="15.75" customHeight="1" x14ac:dyDescent="0.2"/>
    <row r="58" spans="1:46" ht="15.75" customHeight="1" x14ac:dyDescent="0.2">
      <c r="A58" s="1" t="s">
        <v>25</v>
      </c>
      <c r="D58" s="134">
        <v>0.1</v>
      </c>
      <c r="E58" s="133"/>
      <c r="F58" s="133"/>
      <c r="G58" s="2"/>
      <c r="H58" s="134">
        <v>0.2</v>
      </c>
      <c r="I58" s="133"/>
      <c r="J58" s="133"/>
      <c r="K58" s="2"/>
      <c r="L58" s="134">
        <v>0.3</v>
      </c>
      <c r="M58" s="133"/>
      <c r="N58" s="133"/>
      <c r="O58" s="2"/>
      <c r="P58" s="134">
        <v>0.4</v>
      </c>
      <c r="Q58" s="133"/>
      <c r="R58" s="133"/>
      <c r="S58" s="2"/>
      <c r="T58" s="134">
        <v>0.5</v>
      </c>
      <c r="U58" s="133"/>
      <c r="V58" s="133"/>
      <c r="Y58" s="1" t="s">
        <v>25</v>
      </c>
      <c r="AB58" s="134">
        <v>0.1</v>
      </c>
      <c r="AC58" s="133"/>
      <c r="AD58" s="133"/>
      <c r="AE58" s="2"/>
      <c r="AF58" s="134">
        <v>0.2</v>
      </c>
      <c r="AG58" s="133"/>
      <c r="AH58" s="133"/>
      <c r="AI58" s="2"/>
      <c r="AJ58" s="134">
        <v>0.3</v>
      </c>
      <c r="AK58" s="133"/>
      <c r="AL58" s="133"/>
      <c r="AM58" s="2"/>
      <c r="AN58" s="134">
        <v>0.4</v>
      </c>
      <c r="AO58" s="133"/>
      <c r="AP58" s="133"/>
      <c r="AQ58" s="2"/>
      <c r="AR58" s="134">
        <v>0.5</v>
      </c>
      <c r="AS58" s="133"/>
      <c r="AT58" s="133"/>
    </row>
    <row r="59" spans="1:46" ht="15.75" customHeight="1" thickBot="1" x14ac:dyDescent="0.25">
      <c r="B59" s="13" t="s">
        <v>8</v>
      </c>
      <c r="C59" s="22" t="s">
        <v>22</v>
      </c>
      <c r="D59" s="14" t="s">
        <v>7</v>
      </c>
      <c r="E59" s="13" t="s">
        <v>9</v>
      </c>
      <c r="F59" s="13" t="s">
        <v>10</v>
      </c>
      <c r="G59" s="22" t="s">
        <v>22</v>
      </c>
      <c r="H59" s="14" t="s">
        <v>7</v>
      </c>
      <c r="I59" s="13" t="s">
        <v>9</v>
      </c>
      <c r="J59" s="13" t="s">
        <v>10</v>
      </c>
      <c r="K59" s="22" t="s">
        <v>22</v>
      </c>
      <c r="L59" s="13" t="s">
        <v>7</v>
      </c>
      <c r="M59" s="13" t="s">
        <v>9</v>
      </c>
      <c r="N59" s="13" t="s">
        <v>10</v>
      </c>
      <c r="O59" s="22" t="s">
        <v>22</v>
      </c>
      <c r="P59" s="13" t="s">
        <v>7</v>
      </c>
      <c r="Q59" s="13" t="s">
        <v>9</v>
      </c>
      <c r="R59" s="13" t="s">
        <v>10</v>
      </c>
      <c r="S59" s="22" t="s">
        <v>22</v>
      </c>
      <c r="T59" s="13" t="s">
        <v>7</v>
      </c>
      <c r="U59" s="13" t="s">
        <v>9</v>
      </c>
      <c r="V59" s="13" t="s">
        <v>10</v>
      </c>
      <c r="Z59" s="13" t="s">
        <v>8</v>
      </c>
      <c r="AA59" s="22"/>
      <c r="AB59" s="14" t="s">
        <v>7</v>
      </c>
      <c r="AC59" s="13" t="s">
        <v>9</v>
      </c>
      <c r="AD59" s="13" t="s">
        <v>10</v>
      </c>
      <c r="AE59" s="22" t="s">
        <v>22</v>
      </c>
      <c r="AF59" s="14" t="s">
        <v>7</v>
      </c>
      <c r="AG59" s="13" t="s">
        <v>9</v>
      </c>
      <c r="AH59" s="13" t="s">
        <v>10</v>
      </c>
      <c r="AI59" s="22" t="s">
        <v>22</v>
      </c>
      <c r="AJ59" s="13" t="s">
        <v>7</v>
      </c>
      <c r="AK59" s="13" t="s">
        <v>9</v>
      </c>
      <c r="AL59" s="13" t="s">
        <v>10</v>
      </c>
      <c r="AM59" s="22" t="s">
        <v>22</v>
      </c>
      <c r="AN59" s="13" t="s">
        <v>7</v>
      </c>
      <c r="AO59" s="13" t="s">
        <v>9</v>
      </c>
      <c r="AP59" s="13" t="s">
        <v>10</v>
      </c>
      <c r="AQ59" s="22" t="s">
        <v>22</v>
      </c>
      <c r="AR59" s="13" t="s">
        <v>7</v>
      </c>
      <c r="AS59" s="13" t="s">
        <v>9</v>
      </c>
      <c r="AT59" s="13" t="s">
        <v>10</v>
      </c>
    </row>
    <row r="60" spans="1:46" ht="15.75" customHeight="1" x14ac:dyDescent="0.2">
      <c r="B60" s="1">
        <v>0</v>
      </c>
      <c r="C60" s="23">
        <v>1915</v>
      </c>
      <c r="D60" s="17">
        <v>51.6</v>
      </c>
      <c r="E60" s="16">
        <f t="shared" ref="E60:E67" si="48">D60/$A$5</f>
        <v>4.9615384615384617E-2</v>
      </c>
      <c r="F60" s="28">
        <v>0.96</v>
      </c>
      <c r="G60" s="17">
        <v>1720</v>
      </c>
      <c r="H60" s="17">
        <v>44.5</v>
      </c>
      <c r="I60" s="16">
        <f t="shared" ref="I60:I67" si="49">H60/$A$5</f>
        <v>4.2788461538461539E-2</v>
      </c>
      <c r="J60" s="28">
        <v>0.96899999999999997</v>
      </c>
      <c r="K60" s="23">
        <v>1475</v>
      </c>
      <c r="L60" s="28">
        <v>37.200000000000003</v>
      </c>
      <c r="M60" s="16">
        <f t="shared" ref="M60:M67" si="50">L60/$A$5</f>
        <v>3.5769230769230775E-2</v>
      </c>
      <c r="N60" s="28">
        <v>0.97699999999999998</v>
      </c>
      <c r="O60" s="23">
        <v>1270</v>
      </c>
      <c r="P60" s="28">
        <v>38.799999999999997</v>
      </c>
      <c r="Q60" s="16">
        <f t="shared" ref="Q60:Q67" si="51">P60/$A$5</f>
        <v>3.7307692307692306E-2</v>
      </c>
      <c r="R60" s="28">
        <v>0.97299999999999998</v>
      </c>
      <c r="S60" s="23">
        <v>1085</v>
      </c>
      <c r="T60" s="28">
        <v>37</v>
      </c>
      <c r="U60" s="16">
        <f t="shared" ref="U60:U67" si="52">T60/$A$5</f>
        <v>3.5576923076923075E-2</v>
      </c>
      <c r="V60" s="28">
        <v>0.97599999999999998</v>
      </c>
      <c r="Z60" s="1">
        <v>0</v>
      </c>
      <c r="AA60" s="23">
        <v>1915</v>
      </c>
      <c r="AB60" s="17">
        <v>75.2</v>
      </c>
      <c r="AC60" s="16">
        <f t="shared" ref="AC60:AC67" si="53">AB60/$A$5</f>
        <v>7.2307692307692309E-2</v>
      </c>
      <c r="AD60" s="28">
        <v>0.92600000000000005</v>
      </c>
      <c r="AE60" s="17">
        <v>1720</v>
      </c>
      <c r="AF60" s="17">
        <v>58.6</v>
      </c>
      <c r="AG60" s="16">
        <f t="shared" ref="AG60:AG67" si="54">AF60/$A$5</f>
        <v>5.6346153846153844E-2</v>
      </c>
      <c r="AH60" s="28">
        <v>0.95</v>
      </c>
      <c r="AI60" s="23">
        <v>1475</v>
      </c>
      <c r="AJ60" s="17">
        <v>45.9</v>
      </c>
      <c r="AK60" s="16">
        <f t="shared" ref="AK60:AK67" si="55">AJ60/$A$5</f>
        <v>4.4134615384615383E-2</v>
      </c>
      <c r="AL60" s="28">
        <v>0.96699999999999997</v>
      </c>
      <c r="AM60" s="23">
        <v>1270</v>
      </c>
      <c r="AN60" s="17">
        <v>47</v>
      </c>
      <c r="AO60" s="16">
        <f t="shared" ref="AO60:AO67" si="56">AN60/$A$5</f>
        <v>4.5192307692307691E-2</v>
      </c>
      <c r="AP60" s="28">
        <v>0.96499999999999997</v>
      </c>
      <c r="AQ60" s="23">
        <v>1085</v>
      </c>
      <c r="AR60" s="17">
        <v>43.6</v>
      </c>
      <c r="AS60" s="16">
        <f t="shared" ref="AS60:AS67" si="57">AR60/$A$5</f>
        <v>4.1923076923076924E-2</v>
      </c>
      <c r="AT60" s="28">
        <v>0.97</v>
      </c>
    </row>
    <row r="61" spans="1:46" ht="15.75" customHeight="1" x14ac:dyDescent="0.2">
      <c r="B61" s="1">
        <v>1</v>
      </c>
      <c r="C61" s="23">
        <v>1075</v>
      </c>
      <c r="D61" s="17">
        <v>36.4</v>
      </c>
      <c r="E61" s="16">
        <f t="shared" si="48"/>
        <v>3.4999999999999996E-2</v>
      </c>
      <c r="F61" s="28">
        <v>0.91800000000000004</v>
      </c>
      <c r="G61" s="17">
        <v>965</v>
      </c>
      <c r="H61" s="17">
        <v>32.200000000000003</v>
      </c>
      <c r="I61" s="16">
        <f t="shared" si="49"/>
        <v>3.0961538461538464E-2</v>
      </c>
      <c r="J61" s="28">
        <v>0.93600000000000005</v>
      </c>
      <c r="K61" s="23">
        <v>845</v>
      </c>
      <c r="L61" s="28">
        <v>30.3</v>
      </c>
      <c r="M61" s="16">
        <f t="shared" si="50"/>
        <v>2.9134615384615384E-2</v>
      </c>
      <c r="N61" s="28">
        <v>0.94099999999999995</v>
      </c>
      <c r="O61" s="23">
        <v>725</v>
      </c>
      <c r="P61" s="28">
        <v>29.6</v>
      </c>
      <c r="Q61" s="16">
        <f t="shared" si="51"/>
        <v>2.8461538461538462E-2</v>
      </c>
      <c r="R61" s="28">
        <v>0.94399999999999995</v>
      </c>
      <c r="S61" s="23">
        <v>590</v>
      </c>
      <c r="T61" s="28">
        <v>28.1</v>
      </c>
      <c r="U61" s="16">
        <f t="shared" si="52"/>
        <v>2.7019230769230771E-2</v>
      </c>
      <c r="V61" s="28">
        <v>0.94499999999999995</v>
      </c>
      <c r="Z61" s="1">
        <v>1</v>
      </c>
      <c r="AA61" s="23">
        <v>1075</v>
      </c>
      <c r="AB61" s="17">
        <v>47.6</v>
      </c>
      <c r="AC61" s="16">
        <f t="shared" si="53"/>
        <v>4.576923076923077E-2</v>
      </c>
      <c r="AD61" s="28">
        <v>0.86699999999999999</v>
      </c>
      <c r="AE61" s="17">
        <v>965</v>
      </c>
      <c r="AF61" s="17">
        <v>40.700000000000003</v>
      </c>
      <c r="AG61" s="16">
        <f t="shared" si="54"/>
        <v>3.9134615384615386E-2</v>
      </c>
      <c r="AH61" s="28">
        <v>0.90200000000000002</v>
      </c>
      <c r="AI61" s="23">
        <v>845</v>
      </c>
      <c r="AJ61" s="17">
        <v>35.6</v>
      </c>
      <c r="AK61" s="16">
        <f t="shared" si="55"/>
        <v>3.4230769230769231E-2</v>
      </c>
      <c r="AL61" s="28">
        <v>0.91900000000000004</v>
      </c>
      <c r="AM61" s="23">
        <v>725</v>
      </c>
      <c r="AN61" s="17">
        <v>33.1</v>
      </c>
      <c r="AO61" s="16">
        <f t="shared" si="56"/>
        <v>3.1826923076923079E-2</v>
      </c>
      <c r="AP61" s="28">
        <v>0.93700000000000006</v>
      </c>
      <c r="AQ61" s="23">
        <v>590</v>
      </c>
      <c r="AR61" s="17">
        <v>29.9</v>
      </c>
      <c r="AS61" s="16">
        <f t="shared" si="57"/>
        <v>2.8749999999999998E-2</v>
      </c>
      <c r="AT61" s="28">
        <v>0.94199999999999995</v>
      </c>
    </row>
    <row r="62" spans="1:46" ht="15.75" customHeight="1" x14ac:dyDescent="0.2">
      <c r="B62" s="1">
        <v>2</v>
      </c>
      <c r="C62" s="23">
        <v>1400</v>
      </c>
      <c r="D62" s="17">
        <v>39.5</v>
      </c>
      <c r="E62" s="16">
        <f t="shared" si="48"/>
        <v>3.7980769230769228E-2</v>
      </c>
      <c r="F62" s="28">
        <v>0.89200000000000002</v>
      </c>
      <c r="G62" s="17">
        <v>1195</v>
      </c>
      <c r="H62" s="17">
        <v>37.4</v>
      </c>
      <c r="I62" s="16">
        <f t="shared" si="49"/>
        <v>3.5961538461538461E-2</v>
      </c>
      <c r="J62" s="28">
        <v>0.89300000000000002</v>
      </c>
      <c r="K62" s="23">
        <v>1045</v>
      </c>
      <c r="L62" s="28">
        <v>30.8</v>
      </c>
      <c r="M62" s="16">
        <f t="shared" si="50"/>
        <v>2.9615384615384616E-2</v>
      </c>
      <c r="N62" s="28">
        <v>0.91500000000000004</v>
      </c>
      <c r="O62" s="23">
        <v>895</v>
      </c>
      <c r="P62" s="28">
        <v>30.8</v>
      </c>
      <c r="Q62" s="16">
        <f t="shared" si="51"/>
        <v>2.9615384615384616E-2</v>
      </c>
      <c r="R62" s="28">
        <v>0.91400000000000003</v>
      </c>
      <c r="S62" s="23">
        <v>750</v>
      </c>
      <c r="T62" s="28">
        <v>33.700000000000003</v>
      </c>
      <c r="U62" s="16">
        <f t="shared" si="52"/>
        <v>3.2403846153846158E-2</v>
      </c>
      <c r="V62" s="28">
        <v>0.91100000000000003</v>
      </c>
      <c r="Z62" s="1">
        <v>2</v>
      </c>
      <c r="AA62" s="23">
        <v>1400</v>
      </c>
      <c r="AB62" s="17">
        <v>50.7</v>
      </c>
      <c r="AC62" s="16">
        <f t="shared" si="53"/>
        <v>4.8750000000000002E-2</v>
      </c>
      <c r="AD62" s="28">
        <v>0.85099999999999998</v>
      </c>
      <c r="AE62" s="17">
        <v>1195</v>
      </c>
      <c r="AF62" s="17">
        <v>42.5</v>
      </c>
      <c r="AG62" s="16">
        <f t="shared" si="54"/>
        <v>4.0865384615384616E-2</v>
      </c>
      <c r="AH62" s="28">
        <v>0.872</v>
      </c>
      <c r="AI62" s="23">
        <v>1045</v>
      </c>
      <c r="AJ62" s="17">
        <v>36.200000000000003</v>
      </c>
      <c r="AK62" s="16">
        <f t="shared" si="55"/>
        <v>3.480769230769231E-2</v>
      </c>
      <c r="AL62" s="28">
        <v>0.89400000000000002</v>
      </c>
      <c r="AM62" s="23">
        <v>895</v>
      </c>
      <c r="AN62" s="17">
        <v>35.9</v>
      </c>
      <c r="AO62" s="16">
        <f t="shared" si="56"/>
        <v>3.4519230769230767E-2</v>
      </c>
      <c r="AP62" s="28">
        <v>0.89</v>
      </c>
      <c r="AQ62" s="23">
        <v>750</v>
      </c>
      <c r="AR62" s="17">
        <v>36.799999999999997</v>
      </c>
      <c r="AS62" s="16">
        <f t="shared" si="57"/>
        <v>3.5384615384615382E-2</v>
      </c>
      <c r="AT62" s="28">
        <v>0.88500000000000001</v>
      </c>
    </row>
    <row r="63" spans="1:46" ht="15.75" customHeight="1" x14ac:dyDescent="0.2">
      <c r="B63" s="1">
        <v>3</v>
      </c>
      <c r="C63" s="23">
        <v>1745</v>
      </c>
      <c r="D63" s="17">
        <v>49</v>
      </c>
      <c r="E63" s="16">
        <f t="shared" si="48"/>
        <v>4.7115384615384615E-2</v>
      </c>
      <c r="F63" s="28">
        <v>0.96</v>
      </c>
      <c r="G63" s="17">
        <v>1520</v>
      </c>
      <c r="H63" s="17">
        <v>31.4</v>
      </c>
      <c r="I63" s="16">
        <f t="shared" si="49"/>
        <v>3.0192307692307692E-2</v>
      </c>
      <c r="J63" s="28">
        <v>0.98099999999999998</v>
      </c>
      <c r="K63" s="23">
        <v>1315</v>
      </c>
      <c r="L63" s="28">
        <v>35</v>
      </c>
      <c r="M63" s="16">
        <f t="shared" si="50"/>
        <v>3.3653846153846152E-2</v>
      </c>
      <c r="N63" s="28">
        <v>0.97899999999999998</v>
      </c>
      <c r="O63" s="23">
        <v>1120</v>
      </c>
      <c r="P63" s="28">
        <v>33.200000000000003</v>
      </c>
      <c r="Q63" s="16">
        <f t="shared" si="51"/>
        <v>3.1923076923076929E-2</v>
      </c>
      <c r="R63" s="28">
        <v>0.98</v>
      </c>
      <c r="S63" s="23">
        <v>925</v>
      </c>
      <c r="T63" s="28">
        <v>35.700000000000003</v>
      </c>
      <c r="U63" s="16">
        <f t="shared" si="52"/>
        <v>3.4326923076923081E-2</v>
      </c>
      <c r="V63" s="28">
        <v>0.97599999999999998</v>
      </c>
      <c r="Z63" s="1">
        <v>3</v>
      </c>
      <c r="AA63" s="23">
        <v>1745</v>
      </c>
      <c r="AB63" s="17">
        <v>58.9</v>
      </c>
      <c r="AC63" s="16">
        <f t="shared" si="53"/>
        <v>5.663461538461538E-2</v>
      </c>
      <c r="AD63" s="28">
        <v>0.94799999999999995</v>
      </c>
      <c r="AE63" s="17">
        <v>1520</v>
      </c>
      <c r="AF63" s="17">
        <v>40.200000000000003</v>
      </c>
      <c r="AG63" s="16">
        <f t="shared" si="54"/>
        <v>3.8653846153846157E-2</v>
      </c>
      <c r="AH63" s="28">
        <v>0.97399999999999998</v>
      </c>
      <c r="AI63" s="23">
        <v>1315</v>
      </c>
      <c r="AJ63" s="17">
        <v>38</v>
      </c>
      <c r="AK63" s="16">
        <f t="shared" si="55"/>
        <v>3.653846153846154E-2</v>
      </c>
      <c r="AL63" s="28">
        <v>0.97699999999999998</v>
      </c>
      <c r="AM63" s="23">
        <v>1120</v>
      </c>
      <c r="AN63" s="17">
        <v>37.5</v>
      </c>
      <c r="AO63" s="16">
        <f t="shared" si="56"/>
        <v>3.6057692307692304E-2</v>
      </c>
      <c r="AP63" s="28">
        <v>0.97699999999999998</v>
      </c>
      <c r="AQ63" s="23">
        <v>925</v>
      </c>
      <c r="AR63" s="17">
        <v>37.700000000000003</v>
      </c>
      <c r="AS63" s="16">
        <f t="shared" si="57"/>
        <v>3.6250000000000004E-2</v>
      </c>
      <c r="AT63" s="28">
        <v>0.97499999999999998</v>
      </c>
    </row>
    <row r="64" spans="1:46" ht="15.75" customHeight="1" x14ac:dyDescent="0.2">
      <c r="B64" s="1">
        <v>4</v>
      </c>
      <c r="C64" s="23">
        <v>2165</v>
      </c>
      <c r="D64" s="17">
        <v>40.1</v>
      </c>
      <c r="E64" s="16">
        <f t="shared" si="48"/>
        <v>3.8557692307692307E-2</v>
      </c>
      <c r="F64" s="28">
        <v>0.96499999999999997</v>
      </c>
      <c r="G64" s="17">
        <v>1930</v>
      </c>
      <c r="H64" s="17">
        <v>35.9</v>
      </c>
      <c r="I64" s="16">
        <f t="shared" si="49"/>
        <v>3.4519230769230767E-2</v>
      </c>
      <c r="J64" s="28">
        <v>0.97299999999999998</v>
      </c>
      <c r="K64" s="23">
        <v>1710</v>
      </c>
      <c r="L64" s="28">
        <v>34.9</v>
      </c>
      <c r="M64" s="16">
        <f t="shared" si="50"/>
        <v>3.3557692307692309E-2</v>
      </c>
      <c r="N64" s="28">
        <v>0.97399999999999998</v>
      </c>
      <c r="O64" s="23">
        <v>1460</v>
      </c>
      <c r="P64" s="28">
        <v>34.9</v>
      </c>
      <c r="Q64" s="16">
        <f t="shared" si="51"/>
        <v>3.3557692307692309E-2</v>
      </c>
      <c r="R64" s="28">
        <v>0.97399999999999998</v>
      </c>
      <c r="S64" s="23">
        <v>1205</v>
      </c>
      <c r="T64" s="28">
        <v>34.4</v>
      </c>
      <c r="U64" s="16">
        <f t="shared" si="52"/>
        <v>3.3076923076923073E-2</v>
      </c>
      <c r="V64" s="28">
        <v>0.97399999999999998</v>
      </c>
      <c r="Z64" s="1">
        <v>4</v>
      </c>
      <c r="AA64" s="23">
        <v>2165</v>
      </c>
      <c r="AB64" s="17">
        <v>46.5</v>
      </c>
      <c r="AC64" s="16">
        <f t="shared" si="53"/>
        <v>4.4711538461538462E-2</v>
      </c>
      <c r="AD64" s="28">
        <v>0.95699999999999996</v>
      </c>
      <c r="AE64" s="17">
        <v>1930</v>
      </c>
      <c r="AF64" s="17">
        <v>41.2</v>
      </c>
      <c r="AG64" s="16">
        <f t="shared" si="54"/>
        <v>3.9615384615384615E-2</v>
      </c>
      <c r="AH64" s="28">
        <v>0.96699999999999997</v>
      </c>
      <c r="AI64" s="23">
        <v>1710</v>
      </c>
      <c r="AJ64" s="17">
        <v>39.700000000000003</v>
      </c>
      <c r="AK64" s="16">
        <f t="shared" si="55"/>
        <v>3.8173076923076928E-2</v>
      </c>
      <c r="AL64" s="28">
        <v>0.96799999999999997</v>
      </c>
      <c r="AM64" s="23">
        <v>1460</v>
      </c>
      <c r="AN64" s="17">
        <v>39.9</v>
      </c>
      <c r="AO64" s="16">
        <f t="shared" si="56"/>
        <v>3.8365384615384614E-2</v>
      </c>
      <c r="AP64" s="28">
        <v>0.96799999999999997</v>
      </c>
      <c r="AQ64" s="23">
        <v>1205</v>
      </c>
      <c r="AR64" s="17">
        <v>38.700000000000003</v>
      </c>
      <c r="AS64" s="16">
        <f t="shared" si="57"/>
        <v>3.7211538461538463E-2</v>
      </c>
      <c r="AT64" s="28">
        <v>0.96899999999999997</v>
      </c>
    </row>
    <row r="65" spans="2:46" ht="15.75" customHeight="1" x14ac:dyDescent="0.2">
      <c r="B65" s="1">
        <v>5</v>
      </c>
      <c r="C65" s="23">
        <v>1450</v>
      </c>
      <c r="D65" s="17">
        <v>46.2</v>
      </c>
      <c r="E65" s="16">
        <f t="shared" si="48"/>
        <v>4.4423076923076926E-2</v>
      </c>
      <c r="F65" s="28">
        <v>0.96699999999999997</v>
      </c>
      <c r="G65" s="17">
        <v>1285</v>
      </c>
      <c r="H65" s="17">
        <v>37.4</v>
      </c>
      <c r="I65" s="16">
        <f t="shared" si="49"/>
        <v>3.5961538461538461E-2</v>
      </c>
      <c r="J65" s="28">
        <v>0.97599999999999998</v>
      </c>
      <c r="K65" s="23">
        <v>1145</v>
      </c>
      <c r="L65" s="28">
        <v>32</v>
      </c>
      <c r="M65" s="16">
        <f t="shared" si="50"/>
        <v>3.0769230769230771E-2</v>
      </c>
      <c r="N65" s="28">
        <v>0.98199999999999998</v>
      </c>
      <c r="O65" s="23">
        <v>970</v>
      </c>
      <c r="P65" s="28">
        <v>29.1</v>
      </c>
      <c r="Q65" s="16">
        <f t="shared" si="51"/>
        <v>2.7980769230769233E-2</v>
      </c>
      <c r="R65" s="28">
        <v>0.98499999999999999</v>
      </c>
      <c r="S65" s="23">
        <v>770</v>
      </c>
      <c r="T65" s="28">
        <v>27.3</v>
      </c>
      <c r="U65" s="16">
        <f t="shared" si="52"/>
        <v>2.6249999999999999E-2</v>
      </c>
      <c r="V65" s="28">
        <v>0.98699999999999999</v>
      </c>
      <c r="Z65" s="1">
        <v>5</v>
      </c>
      <c r="AA65" s="23">
        <v>1450</v>
      </c>
      <c r="AB65" s="17">
        <v>72.7</v>
      </c>
      <c r="AC65" s="16">
        <f t="shared" si="53"/>
        <v>6.990384615384615E-2</v>
      </c>
      <c r="AD65" s="28">
        <v>0.93200000000000005</v>
      </c>
      <c r="AE65" s="17">
        <v>1285</v>
      </c>
      <c r="AF65" s="17">
        <v>47</v>
      </c>
      <c r="AG65" s="16">
        <f t="shared" si="54"/>
        <v>4.5192307692307691E-2</v>
      </c>
      <c r="AH65" s="28">
        <v>0.96599999999999997</v>
      </c>
      <c r="AI65" s="23">
        <v>1145</v>
      </c>
      <c r="AJ65" s="17">
        <v>38.9</v>
      </c>
      <c r="AK65" s="16">
        <f t="shared" si="55"/>
        <v>3.7403846153846156E-2</v>
      </c>
      <c r="AL65" s="28">
        <v>0.97699999999999998</v>
      </c>
      <c r="AM65" s="23">
        <v>970</v>
      </c>
      <c r="AN65" s="17">
        <v>35.299999999999997</v>
      </c>
      <c r="AO65" s="16">
        <f t="shared" si="56"/>
        <v>3.3942307692307688E-2</v>
      </c>
      <c r="AP65" s="28">
        <v>0.97899999999999998</v>
      </c>
      <c r="AQ65" s="23">
        <v>770</v>
      </c>
      <c r="AR65" s="17">
        <v>33.299999999999997</v>
      </c>
      <c r="AS65" s="16">
        <f t="shared" si="57"/>
        <v>3.2019230769230765E-2</v>
      </c>
      <c r="AT65" s="28">
        <v>0.98099999999999998</v>
      </c>
    </row>
    <row r="66" spans="2:46" ht="15.75" customHeight="1" x14ac:dyDescent="0.2">
      <c r="B66" s="1">
        <v>6</v>
      </c>
      <c r="C66" s="23">
        <v>2615</v>
      </c>
      <c r="D66" s="17">
        <v>35.5</v>
      </c>
      <c r="E66" s="16">
        <f t="shared" si="48"/>
        <v>3.4134615384615381E-2</v>
      </c>
      <c r="F66" s="28">
        <v>0.97599999999999998</v>
      </c>
      <c r="G66" s="17">
        <v>2335</v>
      </c>
      <c r="H66" s="17">
        <v>33.200000000000003</v>
      </c>
      <c r="I66" s="16">
        <f t="shared" si="49"/>
        <v>3.1923076923076929E-2</v>
      </c>
      <c r="J66" s="28">
        <v>0.97899999999999998</v>
      </c>
      <c r="K66" s="23">
        <v>2040</v>
      </c>
      <c r="L66" s="28">
        <v>32.700000000000003</v>
      </c>
      <c r="M66" s="16">
        <f t="shared" si="50"/>
        <v>3.1442307692307693E-2</v>
      </c>
      <c r="N66" s="28">
        <v>0.98</v>
      </c>
      <c r="O66" s="23">
        <v>1760</v>
      </c>
      <c r="P66" s="28">
        <v>32.200000000000003</v>
      </c>
      <c r="Q66" s="16">
        <f t="shared" si="51"/>
        <v>3.0961538461538464E-2</v>
      </c>
      <c r="R66" s="28">
        <v>0.98099999999999998</v>
      </c>
      <c r="S66" s="23">
        <v>1495</v>
      </c>
      <c r="T66" s="28">
        <v>29.8</v>
      </c>
      <c r="U66" s="16">
        <f t="shared" si="52"/>
        <v>2.8653846153846155E-2</v>
      </c>
      <c r="V66" s="28">
        <v>0.98199999999999998</v>
      </c>
      <c r="Z66" s="1">
        <v>6</v>
      </c>
      <c r="AA66" s="23">
        <v>2615</v>
      </c>
      <c r="AB66" s="17">
        <v>42.1</v>
      </c>
      <c r="AC66" s="16">
        <f t="shared" si="53"/>
        <v>4.048076923076923E-2</v>
      </c>
      <c r="AD66" s="28">
        <v>0.96899999999999997</v>
      </c>
      <c r="AE66" s="17">
        <v>2335</v>
      </c>
      <c r="AF66" s="17">
        <v>38.799999999999997</v>
      </c>
      <c r="AG66" s="16">
        <f t="shared" si="54"/>
        <v>3.7307692307692306E-2</v>
      </c>
      <c r="AH66" s="28">
        <v>0.97299999999999998</v>
      </c>
      <c r="AI66" s="23">
        <v>2040</v>
      </c>
      <c r="AJ66" s="17">
        <v>36.1</v>
      </c>
      <c r="AK66" s="16">
        <f t="shared" si="55"/>
        <v>3.471153846153846E-2</v>
      </c>
      <c r="AL66" s="28">
        <v>0.97699999999999998</v>
      </c>
      <c r="AM66" s="23">
        <v>1760</v>
      </c>
      <c r="AN66" s="17">
        <v>35.6</v>
      </c>
      <c r="AO66" s="16">
        <f t="shared" si="56"/>
        <v>3.4230769230769231E-2</v>
      </c>
      <c r="AP66" s="28">
        <v>0.97699999999999998</v>
      </c>
      <c r="AQ66" s="23">
        <v>1495</v>
      </c>
      <c r="AR66" s="17">
        <v>32.700000000000003</v>
      </c>
      <c r="AS66" s="16">
        <f t="shared" si="57"/>
        <v>3.1442307692307693E-2</v>
      </c>
      <c r="AT66" s="28">
        <v>0.98</v>
      </c>
    </row>
    <row r="67" spans="2:46" ht="15.75" customHeight="1" x14ac:dyDescent="0.2">
      <c r="B67" s="1">
        <v>7</v>
      </c>
      <c r="C67" s="23">
        <v>765</v>
      </c>
      <c r="D67" s="17">
        <v>50.8</v>
      </c>
      <c r="E67" s="16">
        <f t="shared" si="48"/>
        <v>4.8846153846153845E-2</v>
      </c>
      <c r="F67" s="28">
        <v>0.96099999999999997</v>
      </c>
      <c r="G67" s="17">
        <v>720</v>
      </c>
      <c r="H67" s="17">
        <v>74.8</v>
      </c>
      <c r="I67" s="16">
        <f t="shared" si="49"/>
        <v>7.1923076923076923E-2</v>
      </c>
      <c r="J67" s="28">
        <v>0.91400000000000003</v>
      </c>
      <c r="K67" s="23">
        <v>635</v>
      </c>
      <c r="L67" s="28">
        <v>57.9</v>
      </c>
      <c r="M67" s="16">
        <f t="shared" si="50"/>
        <v>5.5673076923076922E-2</v>
      </c>
      <c r="N67" s="28">
        <v>0.95299999999999996</v>
      </c>
      <c r="O67" s="23">
        <v>555</v>
      </c>
      <c r="P67" s="28">
        <v>35.799999999999997</v>
      </c>
      <c r="Q67" s="16">
        <f t="shared" si="51"/>
        <v>3.4423076923076917E-2</v>
      </c>
      <c r="R67" s="28">
        <v>0.98</v>
      </c>
      <c r="S67" s="23">
        <v>475</v>
      </c>
      <c r="T67" s="28">
        <v>30.6</v>
      </c>
      <c r="U67" s="16">
        <f t="shared" si="52"/>
        <v>2.9423076923076923E-2</v>
      </c>
      <c r="V67" s="28">
        <v>0.98399999999999999</v>
      </c>
      <c r="Z67" s="1">
        <v>7</v>
      </c>
      <c r="AA67" s="23">
        <v>765</v>
      </c>
      <c r="AB67" s="17">
        <v>63.2</v>
      </c>
      <c r="AC67" s="16">
        <f t="shared" si="53"/>
        <v>6.076923076923077E-2</v>
      </c>
      <c r="AD67" s="28">
        <v>0.94499999999999995</v>
      </c>
      <c r="AE67" s="17">
        <v>720</v>
      </c>
      <c r="AF67" s="17">
        <v>81.2</v>
      </c>
      <c r="AG67" s="16">
        <f t="shared" si="54"/>
        <v>7.8076923076923085E-2</v>
      </c>
      <c r="AH67" s="28">
        <v>0.90900000000000003</v>
      </c>
      <c r="AI67" s="23">
        <v>635</v>
      </c>
      <c r="AJ67" s="17">
        <v>65.599999999999994</v>
      </c>
      <c r="AK67" s="16">
        <f t="shared" si="55"/>
        <v>6.3076923076923072E-2</v>
      </c>
      <c r="AL67" s="28">
        <v>0.94399999999999995</v>
      </c>
      <c r="AM67" s="23">
        <v>555</v>
      </c>
      <c r="AN67" s="17">
        <v>43</v>
      </c>
      <c r="AO67" s="16">
        <f t="shared" si="56"/>
        <v>4.1346153846153845E-2</v>
      </c>
      <c r="AP67" s="28">
        <v>0.97299999999999998</v>
      </c>
      <c r="AQ67" s="23">
        <v>475</v>
      </c>
      <c r="AR67" s="17">
        <v>37.4</v>
      </c>
      <c r="AS67" s="16">
        <f t="shared" si="57"/>
        <v>3.5961538461538461E-2</v>
      </c>
      <c r="AT67" s="28">
        <v>0.97899999999999998</v>
      </c>
    </row>
    <row r="68" spans="2:46" ht="15.75" customHeight="1" x14ac:dyDescent="0.2">
      <c r="C68" s="23"/>
      <c r="D68" s="17"/>
      <c r="G68" s="17"/>
      <c r="H68" s="17"/>
      <c r="K68" s="23"/>
      <c r="O68" s="23"/>
      <c r="S68" s="23"/>
      <c r="AA68" s="23"/>
      <c r="AB68" s="17"/>
      <c r="AE68" s="17"/>
      <c r="AF68" s="17"/>
      <c r="AI68" s="23"/>
      <c r="AJ68" s="17"/>
      <c r="AM68" s="23"/>
      <c r="AN68" s="17"/>
      <c r="AQ68" s="23"/>
      <c r="AR68" s="17"/>
    </row>
    <row r="69" spans="2:46" ht="15.75" customHeight="1" x14ac:dyDescent="0.2">
      <c r="B69" s="1" t="s">
        <v>11</v>
      </c>
      <c r="C69" s="23"/>
      <c r="D69" s="7">
        <f>SUMPRODUCT(C60:C67,D60:D67)/SUM(C60:C67)</f>
        <v>42.974105102817973</v>
      </c>
      <c r="E69" s="20">
        <f>SUMPRODUCT(C60:C67,E60:E67)/SUM(C60:C67)</f>
        <v>4.1321254906555742E-2</v>
      </c>
      <c r="F69" s="20">
        <f>SUMPRODUCT(C60:C67,F60:F67)/SUM(C60:C67)</f>
        <v>0.9541530845392231</v>
      </c>
      <c r="G69" s="17"/>
      <c r="H69" s="7">
        <f>SUMPRODUCT(G60:G67,H60:H67)/SUM(G60:G67)</f>
        <v>38.453984575835477</v>
      </c>
      <c r="I69" s="20">
        <f>SUMPRODUCT(G60:G67,I60:I67)/SUM(G60:G67)</f>
        <v>3.6974985169072577E-2</v>
      </c>
      <c r="J69" s="20">
        <f>SUMPRODUCT(G60:G67,J60:J67)/SUM(G60:G67)</f>
        <v>0.96009168808911738</v>
      </c>
      <c r="K69" s="23"/>
      <c r="L69" s="7">
        <f>SUMPRODUCT(K60:K67,L60:L67)/SUM(K60:K67)</f>
        <v>35.110479921645442</v>
      </c>
      <c r="M69" s="20">
        <f>SUMPRODUCT(K60:K67,M60:M67)/SUM(K60:K67)</f>
        <v>3.3760076847735999E-2</v>
      </c>
      <c r="N69" s="20">
        <f>SUMPRODUCT(K60:K67,N60:N67)/SUM(K60:K67)</f>
        <v>0.96709745347698362</v>
      </c>
      <c r="O69" s="23"/>
      <c r="P69" s="7">
        <f>SUMPRODUCT(O60:O67,P60:P67)/SUM(O60:O67)</f>
        <v>33.261907481439181</v>
      </c>
      <c r="Q69" s="20">
        <f>SUMPRODUCT(O60:O67,Q60:Q67)/SUM(O60:O67)</f>
        <v>3.1982603347537671E-2</v>
      </c>
      <c r="R69" s="20">
        <f>SUMPRODUCT(O60:O67,R60:R67)/SUM(O60:O67)</f>
        <v>0.96901085094231876</v>
      </c>
      <c r="S69" s="23"/>
      <c r="T69" s="7">
        <f>SUMPRODUCT(S60:S67,T60:T67)/SUM(S60:S67)</f>
        <v>32.430500342700476</v>
      </c>
      <c r="U69" s="20">
        <f>SUMPRODUCT(S60:S67,U60:U67)/SUM(S60:S67)</f>
        <v>3.1183173406442777E-2</v>
      </c>
      <c r="V69" s="20">
        <f>SUMPRODUCT(S60:S67,V60:V67)/SUM(S60:S67)</f>
        <v>0.96939136394790948</v>
      </c>
      <c r="Z69" s="1" t="s">
        <v>11</v>
      </c>
      <c r="AA69" s="23"/>
      <c r="AB69" s="7">
        <f>SUMPRODUCT(AA60:AA67,AB60:AB67)/SUM(AA60:AA67)</f>
        <v>55.861805026656512</v>
      </c>
      <c r="AC69" s="20">
        <f>SUMPRODUCT(AA60:AA67,AC60:AC67)/SUM(AA60:AA67)</f>
        <v>5.3713274064092813E-2</v>
      </c>
      <c r="AD69" s="20">
        <f>SUMPRODUCT(AA60:AA67,AD60:AD67)/SUM(AA60:AA67)</f>
        <v>0.93154150799695346</v>
      </c>
      <c r="AE69" s="17"/>
      <c r="AF69" s="7">
        <f>SUMPRODUCT(AE60:AE67,AF60:AF67)/SUM(AE60:AE67)</f>
        <v>46.352356469580123</v>
      </c>
      <c r="AG69" s="20">
        <f>SUMPRODUCT(AE60:AE67,AG60:AG67)/SUM(AE60:AE67)</f>
        <v>4.4569573528442423E-2</v>
      </c>
      <c r="AH69" s="20">
        <f>SUMPRODUCT(AE60:AE67,AH60:AH67)/SUM(AE60:AE67)</f>
        <v>0.94781533847472144</v>
      </c>
      <c r="AI69" s="23"/>
      <c r="AJ69" s="7">
        <f>SUMPRODUCT(AI60:AI67,AJ60:AJ67)/SUM(AI60:AI67)</f>
        <v>40.480999020568071</v>
      </c>
      <c r="AK69" s="20">
        <f>SUMPRODUCT(AI60:AI67,AK60:AK67)/SUM(AI60:AI67)</f>
        <v>3.8924037519776994E-2</v>
      </c>
      <c r="AL69" s="20">
        <f>SUMPRODUCT(AI60:AI67,AL60:AL67)/SUM(AI60:AI67)</f>
        <v>0.95870029382957889</v>
      </c>
      <c r="AM69" s="23"/>
      <c r="AN69" s="7">
        <f>SUMPRODUCT(AM60:AM67,AN60:AN67)/SUM(AM60:AM67)</f>
        <v>38.47332952598515</v>
      </c>
      <c r="AO69" s="20">
        <f>SUMPRODUCT(AM60:AM67,AO60:AO67)/SUM(AM60:AM67)</f>
        <v>3.6993586082678026E-2</v>
      </c>
      <c r="AP69" s="20">
        <f>SUMPRODUCT(AM60:AM67,AP60:AP67)/SUM(AM60:AM67)</f>
        <v>0.96152027412906893</v>
      </c>
      <c r="AQ69" s="23"/>
      <c r="AR69" s="7">
        <f>SUMPRODUCT(AQ60:AQ67,AR60:AR67)/SUM(AQ60:AQ67)</f>
        <v>36.510692254969157</v>
      </c>
      <c r="AS69" s="20">
        <f>SUMPRODUCT(AQ60:AQ67,AS60:AS67)/SUM(AQ60:AQ67)</f>
        <v>3.5106434860547264E-2</v>
      </c>
      <c r="AT69" s="20">
        <f>SUMPRODUCT(AQ60:AQ67,AT60:AT67)/SUM(AQ60:AQ67)</f>
        <v>0.96326182316655229</v>
      </c>
    </row>
    <row r="70" spans="2:46" ht="15.75" customHeight="1" x14ac:dyDescent="0.2"/>
    <row r="71" spans="2:46" ht="15.75" customHeight="1" x14ac:dyDescent="0.2">
      <c r="C71" s="1">
        <f>SUM(C60:C67)</f>
        <v>13130</v>
      </c>
      <c r="G71" s="1">
        <f>SUM(G60:G67)</f>
        <v>11670</v>
      </c>
      <c r="K71" s="1">
        <f>SUM(K60:K67)</f>
        <v>10210</v>
      </c>
      <c r="O71" s="1">
        <f>SUM(O60:O67)</f>
        <v>8755</v>
      </c>
      <c r="S71" s="1">
        <f>SUM(S60:S67)</f>
        <v>7295</v>
      </c>
    </row>
    <row r="72" spans="2:46" ht="15.75" customHeight="1" x14ac:dyDescent="0.2"/>
    <row r="73" spans="2:46" ht="15.75" customHeight="1" x14ac:dyDescent="0.2"/>
    <row r="74" spans="2:46" ht="15.75" customHeight="1" x14ac:dyDescent="0.2"/>
    <row r="75" spans="2:46" ht="15.75" customHeight="1" x14ac:dyDescent="0.2"/>
    <row r="76" spans="2:46" ht="15.75" customHeight="1" x14ac:dyDescent="0.2"/>
    <row r="77" spans="2:46" ht="15.75" customHeight="1" x14ac:dyDescent="0.2"/>
    <row r="78" spans="2:46" ht="15.75" customHeight="1" x14ac:dyDescent="0.2"/>
    <row r="79" spans="2:46" ht="15.75" customHeight="1" x14ac:dyDescent="0.2"/>
    <row r="80" spans="2:4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40">
    <mergeCell ref="D7:F7"/>
    <mergeCell ref="H7:J7"/>
    <mergeCell ref="L7:N7"/>
    <mergeCell ref="P7:R7"/>
    <mergeCell ref="T7:V7"/>
    <mergeCell ref="D27:F27"/>
    <mergeCell ref="H27:J27"/>
    <mergeCell ref="T27:V27"/>
    <mergeCell ref="D58:F58"/>
    <mergeCell ref="H58:J58"/>
    <mergeCell ref="L58:N58"/>
    <mergeCell ref="P58:R58"/>
    <mergeCell ref="T58:V58"/>
    <mergeCell ref="L27:N27"/>
    <mergeCell ref="P27:R27"/>
    <mergeCell ref="D42:F42"/>
    <mergeCell ref="H42:J42"/>
    <mergeCell ref="L42:N42"/>
    <mergeCell ref="P42:R42"/>
    <mergeCell ref="T42:V42"/>
    <mergeCell ref="AB7:AD7"/>
    <mergeCell ref="AF7:AH7"/>
    <mergeCell ref="AJ7:AL7"/>
    <mergeCell ref="AN7:AP7"/>
    <mergeCell ref="AR7:AT7"/>
    <mergeCell ref="AB27:AD27"/>
    <mergeCell ref="AF27:AH27"/>
    <mergeCell ref="AJ27:AL27"/>
    <mergeCell ref="AN27:AP27"/>
    <mergeCell ref="AR27:AT27"/>
    <mergeCell ref="AB42:AD42"/>
    <mergeCell ref="AF42:AH42"/>
    <mergeCell ref="AJ42:AL42"/>
    <mergeCell ref="AN42:AP42"/>
    <mergeCell ref="AR42:AT42"/>
    <mergeCell ref="AB58:AD58"/>
    <mergeCell ref="AF58:AH58"/>
    <mergeCell ref="AJ58:AL58"/>
    <mergeCell ref="AN58:AP58"/>
    <mergeCell ref="AR58:AT58"/>
  </mergeCells>
  <pageMargins left="0.7" right="0.7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AT1003"/>
  <sheetViews>
    <sheetView zoomScale="60" zoomScaleNormal="60" workbookViewId="0">
      <selection activeCell="W57" sqref="W57"/>
    </sheetView>
  </sheetViews>
  <sheetFormatPr baseColWidth="10" defaultColWidth="14.5" defaultRowHeight="15" customHeight="1" x14ac:dyDescent="0.2"/>
  <cols>
    <col min="1" max="1" width="12.6640625" customWidth="1"/>
    <col min="2" max="2" width="12.5" customWidth="1"/>
    <col min="3" max="3" width="12.6640625" bestFit="1" customWidth="1"/>
    <col min="4" max="4" width="10.6640625" customWidth="1"/>
    <col min="5" max="5" width="14" bestFit="1" customWidth="1"/>
    <col min="6" max="6" width="11.5" bestFit="1" customWidth="1"/>
    <col min="7" max="7" width="12.6640625" bestFit="1" customWidth="1"/>
    <col min="8" max="8" width="10.6640625" customWidth="1"/>
    <col min="9" max="9" width="12.83203125" bestFit="1" customWidth="1"/>
    <col min="10" max="10" width="11.5" bestFit="1" customWidth="1"/>
    <col min="11" max="11" width="12.6640625" bestFit="1" customWidth="1"/>
    <col min="12" max="12" width="10.6640625" customWidth="1"/>
    <col min="13" max="13" width="12.83203125" bestFit="1" customWidth="1"/>
    <col min="14" max="14" width="11.5" bestFit="1" customWidth="1"/>
    <col min="15" max="15" width="12.6640625" bestFit="1" customWidth="1"/>
    <col min="16" max="16" width="10.6640625" customWidth="1"/>
    <col min="17" max="17" width="12.83203125" bestFit="1" customWidth="1"/>
    <col min="18" max="18" width="11.5" bestFit="1" customWidth="1"/>
    <col min="19" max="19" width="12.6640625" bestFit="1" customWidth="1"/>
    <col min="20" max="20" width="10.6640625" customWidth="1"/>
    <col min="21" max="21" width="12.83203125" bestFit="1" customWidth="1"/>
    <col min="22" max="22" width="11.5" bestFit="1" customWidth="1"/>
    <col min="23" max="23" width="10.6640625" customWidth="1"/>
    <col min="24" max="24" width="10.6640625" style="91" customWidth="1"/>
    <col min="25" max="26" width="10.6640625" customWidth="1"/>
  </cols>
  <sheetData>
    <row r="2" spans="1:46" ht="15" customHeight="1" x14ac:dyDescent="0.2">
      <c r="B2" t="s">
        <v>30</v>
      </c>
      <c r="Z2" t="s">
        <v>29</v>
      </c>
    </row>
    <row r="3" spans="1:46" x14ac:dyDescent="0.2">
      <c r="B3" s="1"/>
      <c r="C3" s="1"/>
      <c r="D3" s="1"/>
      <c r="E3" s="1"/>
    </row>
    <row r="4" spans="1:46" x14ac:dyDescent="0.2">
      <c r="A4" s="1" t="s">
        <v>14</v>
      </c>
    </row>
    <row r="5" spans="1:46" x14ac:dyDescent="0.2">
      <c r="A5" s="1">
        <v>600</v>
      </c>
    </row>
    <row r="7" spans="1:46" ht="16" thickBot="1" x14ac:dyDescent="0.25">
      <c r="D7" s="134">
        <v>0.1</v>
      </c>
      <c r="E7" s="133"/>
      <c r="F7" s="133"/>
      <c r="G7" s="2"/>
      <c r="H7" s="134">
        <v>0.2</v>
      </c>
      <c r="I7" s="133"/>
      <c r="J7" s="133"/>
      <c r="K7" s="2"/>
      <c r="L7" s="134">
        <v>0.3</v>
      </c>
      <c r="M7" s="133"/>
      <c r="N7" s="133"/>
      <c r="O7" s="2"/>
      <c r="P7" s="134">
        <v>0.4</v>
      </c>
      <c r="Q7" s="133"/>
      <c r="R7" s="133"/>
      <c r="S7" s="2"/>
      <c r="T7" s="134">
        <v>0.5</v>
      </c>
      <c r="U7" s="133"/>
      <c r="V7" s="133"/>
      <c r="W7" s="12"/>
      <c r="X7" s="92"/>
      <c r="Y7" s="1"/>
      <c r="AB7" s="134">
        <v>0.1</v>
      </c>
      <c r="AC7" s="133"/>
      <c r="AD7" s="133"/>
      <c r="AE7" s="2"/>
      <c r="AF7" s="134">
        <v>0.2</v>
      </c>
      <c r="AG7" s="133"/>
      <c r="AH7" s="133"/>
      <c r="AI7" s="2"/>
      <c r="AJ7" s="134">
        <v>0.3</v>
      </c>
      <c r="AK7" s="133"/>
      <c r="AL7" s="133"/>
      <c r="AM7" s="2"/>
      <c r="AN7" s="134">
        <v>0.4</v>
      </c>
      <c r="AO7" s="133"/>
      <c r="AP7" s="133"/>
      <c r="AQ7" s="2"/>
      <c r="AR7" s="134">
        <v>0.5</v>
      </c>
      <c r="AS7" s="133"/>
      <c r="AT7" s="133"/>
    </row>
    <row r="8" spans="1:46" ht="16" thickBot="1" x14ac:dyDescent="0.25">
      <c r="B8" s="58" t="s">
        <v>8</v>
      </c>
      <c r="C8" s="43" t="s">
        <v>22</v>
      </c>
      <c r="D8" s="44" t="s">
        <v>7</v>
      </c>
      <c r="E8" s="36" t="s">
        <v>9</v>
      </c>
      <c r="F8" s="45" t="s">
        <v>10</v>
      </c>
      <c r="G8" s="43" t="s">
        <v>22</v>
      </c>
      <c r="H8" s="44" t="s">
        <v>7</v>
      </c>
      <c r="I8" s="36" t="s">
        <v>9</v>
      </c>
      <c r="J8" s="45" t="s">
        <v>10</v>
      </c>
      <c r="K8" s="43" t="s">
        <v>22</v>
      </c>
      <c r="L8" s="36" t="s">
        <v>7</v>
      </c>
      <c r="M8" s="36" t="s">
        <v>9</v>
      </c>
      <c r="N8" s="45" t="s">
        <v>10</v>
      </c>
      <c r="O8" s="43" t="s">
        <v>22</v>
      </c>
      <c r="P8" s="36" t="s">
        <v>7</v>
      </c>
      <c r="Q8" s="36" t="s">
        <v>9</v>
      </c>
      <c r="R8" s="45" t="s">
        <v>10</v>
      </c>
      <c r="S8" s="43" t="s">
        <v>22</v>
      </c>
      <c r="T8" s="36" t="s">
        <v>7</v>
      </c>
      <c r="U8" s="36" t="s">
        <v>9</v>
      </c>
      <c r="V8" s="45" t="s">
        <v>10</v>
      </c>
      <c r="Z8" s="58" t="s">
        <v>8</v>
      </c>
      <c r="AA8" s="62" t="s">
        <v>22</v>
      </c>
      <c r="AB8" s="36" t="s">
        <v>7</v>
      </c>
      <c r="AC8" s="36" t="s">
        <v>9</v>
      </c>
      <c r="AD8" s="45" t="s">
        <v>10</v>
      </c>
      <c r="AE8" s="62" t="s">
        <v>22</v>
      </c>
      <c r="AF8" s="36" t="s">
        <v>7</v>
      </c>
      <c r="AG8" s="36" t="s">
        <v>9</v>
      </c>
      <c r="AH8" s="45" t="s">
        <v>10</v>
      </c>
      <c r="AI8" s="62" t="s">
        <v>22</v>
      </c>
      <c r="AJ8" s="36" t="s">
        <v>7</v>
      </c>
      <c r="AK8" s="36" t="s">
        <v>9</v>
      </c>
      <c r="AL8" s="45" t="s">
        <v>10</v>
      </c>
      <c r="AM8" s="62" t="s">
        <v>22</v>
      </c>
      <c r="AN8" s="36" t="s">
        <v>7</v>
      </c>
      <c r="AO8" s="36" t="s">
        <v>9</v>
      </c>
      <c r="AP8" s="45" t="s">
        <v>10</v>
      </c>
      <c r="AQ8" s="62" t="s">
        <v>22</v>
      </c>
      <c r="AR8" s="36" t="s">
        <v>7</v>
      </c>
      <c r="AS8" s="36" t="s">
        <v>9</v>
      </c>
      <c r="AT8" s="45" t="s">
        <v>10</v>
      </c>
    </row>
    <row r="9" spans="1:46" x14ac:dyDescent="0.2">
      <c r="B9" s="52">
        <v>0</v>
      </c>
      <c r="C9" s="46">
        <f t="shared" ref="C9:V9" si="0">AVERAGE(C29,C45,C61)</f>
        <v>2028.3333333333333</v>
      </c>
      <c r="D9" s="41">
        <f t="shared" si="0"/>
        <v>25.599999999999998</v>
      </c>
      <c r="E9" s="42">
        <f t="shared" si="0"/>
        <v>4.2666666666666665E-2</v>
      </c>
      <c r="F9" s="47">
        <f t="shared" si="0"/>
        <v>0.94266666666666665</v>
      </c>
      <c r="G9" s="46">
        <f t="shared" si="0"/>
        <v>1788.3333333333333</v>
      </c>
      <c r="H9" s="41">
        <f t="shared" si="0"/>
        <v>19.8</v>
      </c>
      <c r="I9" s="42">
        <f t="shared" si="0"/>
        <v>3.3000000000000002E-2</v>
      </c>
      <c r="J9" s="47">
        <f t="shared" si="0"/>
        <v>0.96499999999999997</v>
      </c>
      <c r="K9" s="46">
        <f t="shared" si="0"/>
        <v>1571.6666666666667</v>
      </c>
      <c r="L9" s="41">
        <f t="shared" si="0"/>
        <v>18.866666666666667</v>
      </c>
      <c r="M9" s="42">
        <f t="shared" si="0"/>
        <v>3.1444444444444442E-2</v>
      </c>
      <c r="N9" s="47">
        <f t="shared" si="0"/>
        <v>0.96666666666666667</v>
      </c>
      <c r="O9" s="46">
        <f t="shared" si="0"/>
        <v>1338.3333333333333</v>
      </c>
      <c r="P9" s="41">
        <f t="shared" si="0"/>
        <v>19.833333333333332</v>
      </c>
      <c r="Q9" s="42">
        <f t="shared" si="0"/>
        <v>3.3055555555555553E-2</v>
      </c>
      <c r="R9" s="47">
        <f t="shared" si="0"/>
        <v>0.96333333333333326</v>
      </c>
      <c r="S9" s="46">
        <f t="shared" si="0"/>
        <v>1126.6666666666667</v>
      </c>
      <c r="T9" s="41">
        <f t="shared" si="0"/>
        <v>18.033333333333331</v>
      </c>
      <c r="U9" s="42">
        <f t="shared" si="0"/>
        <v>3.0055555555555558E-2</v>
      </c>
      <c r="V9" s="47">
        <f t="shared" si="0"/>
        <v>0.96599999999999986</v>
      </c>
      <c r="Z9" s="84">
        <v>0</v>
      </c>
      <c r="AA9" s="86">
        <f t="shared" ref="AA9:AT9" si="1">AVERAGE(AA29,AA44,AA60)</f>
        <v>2028.3333333333333</v>
      </c>
      <c r="AB9" s="103">
        <f t="shared" si="1"/>
        <v>31.433333333333337</v>
      </c>
      <c r="AC9" s="104">
        <f t="shared" si="1"/>
        <v>5.2388888888888895E-2</v>
      </c>
      <c r="AD9" s="105">
        <f t="shared" si="1"/>
        <v>0.91666666666666663</v>
      </c>
      <c r="AE9" s="86">
        <f t="shared" si="1"/>
        <v>1788.3333333333333</v>
      </c>
      <c r="AF9" s="103">
        <f t="shared" si="1"/>
        <v>24.533333333333331</v>
      </c>
      <c r="AG9" s="104">
        <f t="shared" si="1"/>
        <v>4.0888888888888884E-2</v>
      </c>
      <c r="AH9" s="105">
        <f t="shared" si="1"/>
        <v>0.95000000000000007</v>
      </c>
      <c r="AI9" s="86">
        <f t="shared" si="1"/>
        <v>1571.6666666666667</v>
      </c>
      <c r="AJ9" s="103">
        <f t="shared" si="1"/>
        <v>22.099999999999998</v>
      </c>
      <c r="AK9" s="104">
        <f t="shared" si="1"/>
        <v>3.6833333333333336E-2</v>
      </c>
      <c r="AL9" s="105">
        <f t="shared" si="1"/>
        <v>0.95666666666666667</v>
      </c>
      <c r="AM9" s="86">
        <f t="shared" si="1"/>
        <v>1338.3333333333333</v>
      </c>
      <c r="AN9" s="103">
        <f t="shared" si="1"/>
        <v>21.866666666666664</v>
      </c>
      <c r="AO9" s="104">
        <f t="shared" si="1"/>
        <v>3.6444444444444446E-2</v>
      </c>
      <c r="AP9" s="105">
        <f t="shared" si="1"/>
        <v>0.95899999999999996</v>
      </c>
      <c r="AQ9" s="86">
        <f t="shared" si="1"/>
        <v>1126.6666666666667</v>
      </c>
      <c r="AR9" s="103">
        <f t="shared" si="1"/>
        <v>20.099999999999998</v>
      </c>
      <c r="AS9" s="104">
        <f t="shared" si="1"/>
        <v>3.3500000000000002E-2</v>
      </c>
      <c r="AT9" s="105">
        <f t="shared" si="1"/>
        <v>0.96099999999999997</v>
      </c>
    </row>
    <row r="10" spans="1:46" x14ac:dyDescent="0.2">
      <c r="B10" s="52">
        <v>1</v>
      </c>
      <c r="C10" s="46">
        <f t="shared" ref="C10:V10" si="2">AVERAGE(C30,C46,C62)</f>
        <v>2331.6666666666665</v>
      </c>
      <c r="D10" s="41">
        <f t="shared" si="2"/>
        <v>25</v>
      </c>
      <c r="E10" s="42">
        <f t="shared" si="2"/>
        <v>4.1666666666666664E-2</v>
      </c>
      <c r="F10" s="47">
        <f t="shared" si="2"/>
        <v>0.95599999999999996</v>
      </c>
      <c r="G10" s="46">
        <f t="shared" si="2"/>
        <v>2095</v>
      </c>
      <c r="H10" s="41">
        <f t="shared" si="2"/>
        <v>20.466666666666665</v>
      </c>
      <c r="I10" s="42">
        <f t="shared" si="2"/>
        <v>3.4111111111111113E-2</v>
      </c>
      <c r="J10" s="47">
        <f t="shared" si="2"/>
        <v>0.96933333333333327</v>
      </c>
      <c r="K10" s="46">
        <f t="shared" si="2"/>
        <v>1831.6666666666667</v>
      </c>
      <c r="L10" s="41">
        <f t="shared" si="2"/>
        <v>19.633333333333329</v>
      </c>
      <c r="M10" s="42">
        <f t="shared" si="2"/>
        <v>3.2722222222222215E-2</v>
      </c>
      <c r="N10" s="47">
        <f t="shared" si="2"/>
        <v>0.96966666666666657</v>
      </c>
      <c r="O10" s="46">
        <f t="shared" si="2"/>
        <v>1598.3333333333333</v>
      </c>
      <c r="P10" s="41">
        <f t="shared" si="2"/>
        <v>19.7</v>
      </c>
      <c r="Q10" s="42">
        <f t="shared" si="2"/>
        <v>3.2833333333333332E-2</v>
      </c>
      <c r="R10" s="47">
        <f t="shared" si="2"/>
        <v>0.97033333333333316</v>
      </c>
      <c r="S10" s="46">
        <f t="shared" si="2"/>
        <v>1310</v>
      </c>
      <c r="T10" s="41">
        <f t="shared" si="2"/>
        <v>19.433333333333334</v>
      </c>
      <c r="U10" s="42">
        <f t="shared" si="2"/>
        <v>3.2388888888888891E-2</v>
      </c>
      <c r="V10" s="47">
        <f t="shared" si="2"/>
        <v>0.97133333333333327</v>
      </c>
      <c r="Z10" s="84">
        <v>1</v>
      </c>
      <c r="AA10" s="46">
        <f t="shared" ref="AA10:AD10" si="3">AVERAGE(AA30,AA45,AA61)</f>
        <v>2331.6666666666665</v>
      </c>
      <c r="AB10" s="37">
        <f t="shared" si="3"/>
        <v>29.333333333333332</v>
      </c>
      <c r="AC10" s="106">
        <f t="shared" si="3"/>
        <v>4.8888888888888891E-2</v>
      </c>
      <c r="AD10" s="107">
        <f t="shared" si="3"/>
        <v>0.94333333333333336</v>
      </c>
      <c r="AE10" s="46">
        <f t="shared" ref="AE10:AT10" si="4">AVERAGE(AE30,AE45,AE61)</f>
        <v>2095</v>
      </c>
      <c r="AF10" s="37">
        <f t="shared" si="4"/>
        <v>23.466666666666669</v>
      </c>
      <c r="AG10" s="106">
        <f t="shared" si="4"/>
        <v>3.9111111111111117E-2</v>
      </c>
      <c r="AH10" s="107">
        <f t="shared" si="4"/>
        <v>0.96233333333333337</v>
      </c>
      <c r="AI10" s="46">
        <f t="shared" si="4"/>
        <v>1831.6666666666667</v>
      </c>
      <c r="AJ10" s="37">
        <f t="shared" si="4"/>
        <v>21.633333333333336</v>
      </c>
      <c r="AK10" s="106">
        <f t="shared" si="4"/>
        <v>3.6055555555555556E-2</v>
      </c>
      <c r="AL10" s="107">
        <f t="shared" si="4"/>
        <v>0.96566666666666656</v>
      </c>
      <c r="AM10" s="46">
        <f t="shared" si="4"/>
        <v>1598.3333333333333</v>
      </c>
      <c r="AN10" s="37">
        <f t="shared" si="4"/>
        <v>21.200000000000003</v>
      </c>
      <c r="AO10" s="106">
        <f t="shared" si="4"/>
        <v>3.5333333333333335E-2</v>
      </c>
      <c r="AP10" s="107">
        <f t="shared" si="4"/>
        <v>0.96799999999999997</v>
      </c>
      <c r="AQ10" s="46">
        <f t="shared" si="4"/>
        <v>1310</v>
      </c>
      <c r="AR10" s="37">
        <f t="shared" si="4"/>
        <v>21.166666666666668</v>
      </c>
      <c r="AS10" s="106">
        <f t="shared" si="4"/>
        <v>3.5277777777777776E-2</v>
      </c>
      <c r="AT10" s="107">
        <f t="shared" si="4"/>
        <v>0.96733333333333327</v>
      </c>
    </row>
    <row r="11" spans="1:46" x14ac:dyDescent="0.2">
      <c r="B11" s="52">
        <v>2</v>
      </c>
      <c r="C11" s="46">
        <f t="shared" ref="C11:V11" si="5">AVERAGE(C31,C47,C63)</f>
        <v>1701.6666666666667</v>
      </c>
      <c r="D11" s="41">
        <f t="shared" si="5"/>
        <v>14.466666666666669</v>
      </c>
      <c r="E11" s="42">
        <f t="shared" si="5"/>
        <v>2.4111111111111111E-2</v>
      </c>
      <c r="F11" s="47">
        <f t="shared" si="5"/>
        <v>0.7413333333333334</v>
      </c>
      <c r="G11" s="46">
        <f t="shared" si="5"/>
        <v>1491.6666666666667</v>
      </c>
      <c r="H11" s="41">
        <f t="shared" si="5"/>
        <v>13.266666666666666</v>
      </c>
      <c r="I11" s="42">
        <f t="shared" si="5"/>
        <v>2.2111111111111113E-2</v>
      </c>
      <c r="J11" s="47">
        <f t="shared" si="5"/>
        <v>0.84</v>
      </c>
      <c r="K11" s="46">
        <f t="shared" si="5"/>
        <v>1291.6666666666667</v>
      </c>
      <c r="L11" s="41">
        <f t="shared" si="5"/>
        <v>12.966666666666667</v>
      </c>
      <c r="M11" s="42">
        <f t="shared" si="5"/>
        <v>2.1611111111111112E-2</v>
      </c>
      <c r="N11" s="47">
        <f t="shared" si="5"/>
        <v>0.83700000000000008</v>
      </c>
      <c r="O11" s="46">
        <f t="shared" si="5"/>
        <v>1093.3333333333333</v>
      </c>
      <c r="P11" s="41">
        <f t="shared" si="5"/>
        <v>12.366666666666667</v>
      </c>
      <c r="Q11" s="42">
        <f t="shared" si="5"/>
        <v>2.0611111111111111E-2</v>
      </c>
      <c r="R11" s="47">
        <f t="shared" si="5"/>
        <v>0.84233333333333338</v>
      </c>
      <c r="S11" s="46">
        <f t="shared" si="5"/>
        <v>896.66666666666663</v>
      </c>
      <c r="T11" s="41">
        <f t="shared" si="5"/>
        <v>11.666666666666666</v>
      </c>
      <c r="U11" s="42">
        <f t="shared" si="5"/>
        <v>1.9444444444444445E-2</v>
      </c>
      <c r="V11" s="47">
        <f t="shared" si="5"/>
        <v>0.84799999999999998</v>
      </c>
      <c r="Z11" s="84">
        <v>2</v>
      </c>
      <c r="AA11" s="46">
        <f t="shared" ref="AA11:AD11" si="6">AVERAGE(AA31,AA46,AA62)</f>
        <v>1701.6666666666667</v>
      </c>
      <c r="AB11" s="37">
        <f t="shared" si="6"/>
        <v>16.266666666666666</v>
      </c>
      <c r="AC11" s="106">
        <f t="shared" si="6"/>
        <v>2.711111111111111E-2</v>
      </c>
      <c r="AD11" s="107">
        <f t="shared" si="6"/>
        <v>0.71966666666666657</v>
      </c>
      <c r="AE11" s="46">
        <f t="shared" ref="AE11:AT11" si="7">AVERAGE(AE31,AE46,AE62)</f>
        <v>1491.6666666666667</v>
      </c>
      <c r="AF11" s="37">
        <f t="shared" si="7"/>
        <v>14.366666666666667</v>
      </c>
      <c r="AG11" s="106">
        <f t="shared" si="7"/>
        <v>2.3944444444444445E-2</v>
      </c>
      <c r="AH11" s="107">
        <f t="shared" si="7"/>
        <v>0.83799999999999997</v>
      </c>
      <c r="AI11" s="46">
        <f t="shared" si="7"/>
        <v>1291.6666666666667</v>
      </c>
      <c r="AJ11" s="37">
        <f t="shared" si="7"/>
        <v>14.4</v>
      </c>
      <c r="AK11" s="106">
        <f t="shared" si="7"/>
        <v>2.3999999999999997E-2</v>
      </c>
      <c r="AL11" s="107">
        <f t="shared" si="7"/>
        <v>0.83066666666666666</v>
      </c>
      <c r="AM11" s="46">
        <f t="shared" si="7"/>
        <v>1093.3333333333333</v>
      </c>
      <c r="AN11" s="37">
        <f t="shared" si="7"/>
        <v>13.233333333333333</v>
      </c>
      <c r="AO11" s="106">
        <f t="shared" si="7"/>
        <v>2.2055555555555554E-2</v>
      </c>
      <c r="AP11" s="107">
        <f t="shared" si="7"/>
        <v>0.83399999999999996</v>
      </c>
      <c r="AQ11" s="46">
        <f t="shared" si="7"/>
        <v>896.66666666666663</v>
      </c>
      <c r="AR11" s="37">
        <f t="shared" si="7"/>
        <v>13.1</v>
      </c>
      <c r="AS11" s="106">
        <f t="shared" si="7"/>
        <v>2.1833333333333333E-2</v>
      </c>
      <c r="AT11" s="107">
        <f t="shared" si="7"/>
        <v>0.84500000000000008</v>
      </c>
    </row>
    <row r="12" spans="1:46" x14ac:dyDescent="0.2">
      <c r="B12" s="52">
        <v>3</v>
      </c>
      <c r="C12" s="46">
        <f t="shared" ref="C12:V12" si="8">AVERAGE(C32,C48,C64)</f>
        <v>1641.6666666666667</v>
      </c>
      <c r="D12" s="41">
        <f t="shared" si="8"/>
        <v>25.566666666666666</v>
      </c>
      <c r="E12" s="42">
        <f t="shared" si="8"/>
        <v>4.2611111111111107E-2</v>
      </c>
      <c r="F12" s="47">
        <f t="shared" si="8"/>
        <v>0.96366666666666667</v>
      </c>
      <c r="G12" s="46">
        <f t="shared" si="8"/>
        <v>1448.3333333333333</v>
      </c>
      <c r="H12" s="41">
        <f t="shared" si="8"/>
        <v>20.566666666666666</v>
      </c>
      <c r="I12" s="42">
        <f t="shared" si="8"/>
        <v>3.4277777777777775E-2</v>
      </c>
      <c r="J12" s="47">
        <f t="shared" si="8"/>
        <v>0.97499999999999998</v>
      </c>
      <c r="K12" s="46">
        <f t="shared" si="8"/>
        <v>1271.6666666666667</v>
      </c>
      <c r="L12" s="41">
        <f t="shared" si="8"/>
        <v>18.766666666666666</v>
      </c>
      <c r="M12" s="42">
        <f t="shared" si="8"/>
        <v>3.1277777777777772E-2</v>
      </c>
      <c r="N12" s="47">
        <f t="shared" si="8"/>
        <v>0.97866666666666668</v>
      </c>
      <c r="O12" s="46">
        <f t="shared" si="8"/>
        <v>1083.3333333333333</v>
      </c>
      <c r="P12" s="41">
        <f t="shared" si="8"/>
        <v>18.966666666666665</v>
      </c>
      <c r="Q12" s="42">
        <f t="shared" si="8"/>
        <v>3.1611111111111111E-2</v>
      </c>
      <c r="R12" s="47">
        <f t="shared" si="8"/>
        <v>0.97899999999999998</v>
      </c>
      <c r="S12" s="46">
        <f t="shared" si="8"/>
        <v>916.66666666666663</v>
      </c>
      <c r="T12" s="41">
        <f t="shared" si="8"/>
        <v>18.333333333333336</v>
      </c>
      <c r="U12" s="42">
        <f t="shared" si="8"/>
        <v>3.0555555555555558E-2</v>
      </c>
      <c r="V12" s="47">
        <f t="shared" si="8"/>
        <v>0.98</v>
      </c>
      <c r="Z12" s="84">
        <v>3</v>
      </c>
      <c r="AA12" s="46">
        <f t="shared" ref="AA12:AD12" si="9">AVERAGE(AA32,AA47,AA63)</f>
        <v>1641.6666666666667</v>
      </c>
      <c r="AB12" s="37">
        <f t="shared" si="9"/>
        <v>33.633333333333333</v>
      </c>
      <c r="AC12" s="106">
        <f t="shared" si="9"/>
        <v>5.605555555555556E-2</v>
      </c>
      <c r="AD12" s="107">
        <f t="shared" si="9"/>
        <v>0.94200000000000006</v>
      </c>
      <c r="AE12" s="46">
        <f t="shared" ref="AE12:AT12" si="10">AVERAGE(AE32,AE47,AE63)</f>
        <v>1448.3333333333333</v>
      </c>
      <c r="AF12" s="37">
        <f t="shared" si="10"/>
        <v>24.766666666666666</v>
      </c>
      <c r="AG12" s="106">
        <f t="shared" si="10"/>
        <v>4.1277777777777781E-2</v>
      </c>
      <c r="AH12" s="107">
        <f t="shared" si="10"/>
        <v>0.96666666666666667</v>
      </c>
      <c r="AI12" s="46">
        <f t="shared" si="10"/>
        <v>1271.6666666666667</v>
      </c>
      <c r="AJ12" s="37">
        <f t="shared" si="10"/>
        <v>21.7</v>
      </c>
      <c r="AK12" s="106">
        <f t="shared" si="10"/>
        <v>3.6166666666666659E-2</v>
      </c>
      <c r="AL12" s="107">
        <f t="shared" si="10"/>
        <v>0.97366666666666657</v>
      </c>
      <c r="AM12" s="46">
        <f t="shared" si="10"/>
        <v>1083.3333333333333</v>
      </c>
      <c r="AN12" s="37">
        <f t="shared" si="10"/>
        <v>20.133333333333336</v>
      </c>
      <c r="AO12" s="106">
        <f t="shared" si="10"/>
        <v>3.3555555555555554E-2</v>
      </c>
      <c r="AP12" s="107">
        <f t="shared" si="10"/>
        <v>0.97733333333333328</v>
      </c>
      <c r="AQ12" s="46">
        <f t="shared" si="10"/>
        <v>916.66666666666663</v>
      </c>
      <c r="AR12" s="37">
        <f t="shared" si="10"/>
        <v>20.166666666666668</v>
      </c>
      <c r="AS12" s="106">
        <f t="shared" si="10"/>
        <v>3.3611111111111119E-2</v>
      </c>
      <c r="AT12" s="107">
        <f t="shared" si="10"/>
        <v>0.97699999999999998</v>
      </c>
    </row>
    <row r="13" spans="1:46" x14ac:dyDescent="0.2">
      <c r="B13" s="52">
        <v>4</v>
      </c>
      <c r="C13" s="46">
        <f t="shared" ref="C13:V13" si="11">AVERAGE(C33,C49,C65)</f>
        <v>1530</v>
      </c>
      <c r="D13" s="41">
        <f t="shared" si="11"/>
        <v>32.9</v>
      </c>
      <c r="E13" s="42">
        <f t="shared" si="11"/>
        <v>5.4833333333333324E-2</v>
      </c>
      <c r="F13" s="47">
        <f t="shared" si="11"/>
        <v>0.92133333333333323</v>
      </c>
      <c r="G13" s="46">
        <f t="shared" si="11"/>
        <v>1358.3333333333333</v>
      </c>
      <c r="H13" s="41">
        <f t="shared" si="11"/>
        <v>26.666666666666668</v>
      </c>
      <c r="I13" s="42">
        <f t="shared" si="11"/>
        <v>4.4444444444444446E-2</v>
      </c>
      <c r="J13" s="47">
        <f t="shared" si="11"/>
        <v>0.94366666666666665</v>
      </c>
      <c r="K13" s="46">
        <f t="shared" si="11"/>
        <v>1201.6666666666667</v>
      </c>
      <c r="L13" s="41">
        <f t="shared" si="11"/>
        <v>22.766666666666666</v>
      </c>
      <c r="M13" s="42">
        <f t="shared" si="11"/>
        <v>3.7944444444444447E-2</v>
      </c>
      <c r="N13" s="47">
        <f t="shared" si="11"/>
        <v>0.96233333333333337</v>
      </c>
      <c r="O13" s="46">
        <f t="shared" si="11"/>
        <v>1015</v>
      </c>
      <c r="P13" s="41">
        <f t="shared" si="11"/>
        <v>21.633333333333336</v>
      </c>
      <c r="Q13" s="42">
        <f t="shared" si="11"/>
        <v>3.6055555555555556E-2</v>
      </c>
      <c r="R13" s="47">
        <f t="shared" si="11"/>
        <v>0.96466666666666656</v>
      </c>
      <c r="S13" s="46">
        <f t="shared" si="11"/>
        <v>856.66666666666663</v>
      </c>
      <c r="T13" s="41">
        <f t="shared" si="11"/>
        <v>20.366666666666664</v>
      </c>
      <c r="U13" s="42">
        <f t="shared" si="11"/>
        <v>3.3944444444444444E-2</v>
      </c>
      <c r="V13" s="47">
        <f t="shared" si="11"/>
        <v>0.96799999999999997</v>
      </c>
      <c r="Z13" s="84">
        <v>4</v>
      </c>
      <c r="AA13" s="46">
        <f t="shared" ref="AA13:AD13" si="12">AVERAGE(AA33,AA48,AA64)</f>
        <v>1530</v>
      </c>
      <c r="AB13" s="37">
        <f t="shared" si="12"/>
        <v>37.800000000000004</v>
      </c>
      <c r="AC13" s="106">
        <f t="shared" si="12"/>
        <v>6.3E-2</v>
      </c>
      <c r="AD13" s="107">
        <f t="shared" si="12"/>
        <v>0.90166666666666673</v>
      </c>
      <c r="AE13" s="46">
        <f t="shared" ref="AE13:AT13" si="13">AVERAGE(AE33,AE48,AE64)</f>
        <v>1358.3333333333333</v>
      </c>
      <c r="AF13" s="37">
        <f t="shared" si="13"/>
        <v>33.033333333333331</v>
      </c>
      <c r="AG13" s="106">
        <f t="shared" si="13"/>
        <v>5.5055555555555559E-2</v>
      </c>
      <c r="AH13" s="107">
        <f t="shared" si="13"/>
        <v>0.91599999999999993</v>
      </c>
      <c r="AI13" s="46">
        <f t="shared" si="13"/>
        <v>1201.6666666666667</v>
      </c>
      <c r="AJ13" s="37">
        <f t="shared" si="13"/>
        <v>26.8</v>
      </c>
      <c r="AK13" s="106">
        <f t="shared" si="13"/>
        <v>4.4666666666666667E-2</v>
      </c>
      <c r="AL13" s="107">
        <f t="shared" si="13"/>
        <v>0.94833333333333325</v>
      </c>
      <c r="AM13" s="46">
        <f t="shared" si="13"/>
        <v>1015</v>
      </c>
      <c r="AN13" s="37">
        <f t="shared" si="13"/>
        <v>25.066666666666666</v>
      </c>
      <c r="AO13" s="106">
        <f t="shared" si="13"/>
        <v>4.1777777777777775E-2</v>
      </c>
      <c r="AP13" s="107">
        <f t="shared" si="13"/>
        <v>0.95333333333333348</v>
      </c>
      <c r="AQ13" s="46">
        <f t="shared" si="13"/>
        <v>856.66666666666663</v>
      </c>
      <c r="AR13" s="37">
        <f t="shared" si="13"/>
        <v>23.633333333333336</v>
      </c>
      <c r="AS13" s="106">
        <f t="shared" si="13"/>
        <v>3.938888888888889E-2</v>
      </c>
      <c r="AT13" s="107">
        <f t="shared" si="13"/>
        <v>0.95733333333333326</v>
      </c>
    </row>
    <row r="14" spans="1:46" x14ac:dyDescent="0.2">
      <c r="B14" s="52">
        <v>5</v>
      </c>
      <c r="C14" s="46">
        <f t="shared" ref="C14:V14" si="14">AVERAGE(C34,C50,C66)</f>
        <v>1356.6666666666667</v>
      </c>
      <c r="D14" s="41">
        <f t="shared" si="14"/>
        <v>32.833333333333336</v>
      </c>
      <c r="E14" s="42">
        <f t="shared" si="14"/>
        <v>5.4722222222222228E-2</v>
      </c>
      <c r="F14" s="47">
        <f t="shared" si="14"/>
        <v>0.92600000000000005</v>
      </c>
      <c r="G14" s="46">
        <f t="shared" si="14"/>
        <v>1223.3333333333333</v>
      </c>
      <c r="H14" s="41">
        <f t="shared" si="14"/>
        <v>23.566666666666666</v>
      </c>
      <c r="I14" s="42">
        <f t="shared" si="14"/>
        <v>3.927777777777778E-2</v>
      </c>
      <c r="J14" s="47">
        <f t="shared" si="14"/>
        <v>0.95699999999999985</v>
      </c>
      <c r="K14" s="46">
        <f t="shared" si="14"/>
        <v>1048.3333333333333</v>
      </c>
      <c r="L14" s="41">
        <f t="shared" si="14"/>
        <v>21.333333333333332</v>
      </c>
      <c r="M14" s="42">
        <f t="shared" si="14"/>
        <v>3.5555555555555556E-2</v>
      </c>
      <c r="N14" s="47">
        <f t="shared" si="14"/>
        <v>0.96300000000000008</v>
      </c>
      <c r="O14" s="46">
        <f t="shared" si="14"/>
        <v>915</v>
      </c>
      <c r="P14" s="41">
        <f t="shared" si="14"/>
        <v>20.633333333333333</v>
      </c>
      <c r="Q14" s="42">
        <f t="shared" si="14"/>
        <v>3.4388888888888892E-2</v>
      </c>
      <c r="R14" s="47">
        <f t="shared" si="14"/>
        <v>0.96466666666666656</v>
      </c>
      <c r="S14" s="46">
        <f t="shared" si="14"/>
        <v>766.66666666666663</v>
      </c>
      <c r="T14" s="41">
        <f t="shared" si="14"/>
        <v>20.733333333333334</v>
      </c>
      <c r="U14" s="42">
        <f t="shared" si="14"/>
        <v>3.4555555555555555E-2</v>
      </c>
      <c r="V14" s="47">
        <f t="shared" si="14"/>
        <v>0.96366666666666667</v>
      </c>
      <c r="Z14" s="84">
        <v>5</v>
      </c>
      <c r="AA14" s="46">
        <f t="shared" ref="AA14:AD14" si="15">AVERAGE(AA34,AA49,AA65)</f>
        <v>1356.6666666666667</v>
      </c>
      <c r="AB14" s="37">
        <f t="shared" si="15"/>
        <v>37.5</v>
      </c>
      <c r="AC14" s="106">
        <f t="shared" si="15"/>
        <v>6.25E-2</v>
      </c>
      <c r="AD14" s="107">
        <f t="shared" si="15"/>
        <v>0.90900000000000014</v>
      </c>
      <c r="AE14" s="46">
        <f t="shared" ref="AE14:AT14" si="16">AVERAGE(AE34,AE49,AE65)</f>
        <v>1223.3333333333333</v>
      </c>
      <c r="AF14" s="37">
        <f t="shared" si="16"/>
        <v>27.633333333333336</v>
      </c>
      <c r="AG14" s="106">
        <f t="shared" si="16"/>
        <v>4.6055555555555551E-2</v>
      </c>
      <c r="AH14" s="107">
        <f t="shared" si="16"/>
        <v>0.94499999999999995</v>
      </c>
      <c r="AI14" s="46">
        <f t="shared" si="16"/>
        <v>1048.3333333333333</v>
      </c>
      <c r="AJ14" s="37">
        <f t="shared" si="16"/>
        <v>24.366666666666664</v>
      </c>
      <c r="AK14" s="106">
        <f t="shared" si="16"/>
        <v>4.0611111111111105E-2</v>
      </c>
      <c r="AL14" s="107">
        <f t="shared" si="16"/>
        <v>0.95500000000000007</v>
      </c>
      <c r="AM14" s="46">
        <f t="shared" si="16"/>
        <v>915</v>
      </c>
      <c r="AN14" s="37">
        <f t="shared" si="16"/>
        <v>23.166666666666668</v>
      </c>
      <c r="AO14" s="106">
        <f t="shared" si="16"/>
        <v>3.8611111111111117E-2</v>
      </c>
      <c r="AP14" s="107">
        <f t="shared" si="16"/>
        <v>0.95866666666666678</v>
      </c>
      <c r="AQ14" s="46">
        <f t="shared" si="16"/>
        <v>766.66666666666663</v>
      </c>
      <c r="AR14" s="37">
        <f t="shared" si="16"/>
        <v>23.133333333333336</v>
      </c>
      <c r="AS14" s="106">
        <f t="shared" si="16"/>
        <v>3.8555555555555558E-2</v>
      </c>
      <c r="AT14" s="107">
        <f t="shared" si="16"/>
        <v>0.95733333333333326</v>
      </c>
    </row>
    <row r="15" spans="1:46" x14ac:dyDescent="0.2">
      <c r="B15" s="52">
        <v>6</v>
      </c>
      <c r="C15" s="46">
        <f t="shared" ref="C15:V15" si="17">AVERAGE(C35,C51,C67)</f>
        <v>1475</v>
      </c>
      <c r="D15" s="41">
        <f t="shared" si="17"/>
        <v>39.966666666666661</v>
      </c>
      <c r="E15" s="42">
        <f t="shared" si="17"/>
        <v>6.6611111111111107E-2</v>
      </c>
      <c r="F15" s="47">
        <f t="shared" si="17"/>
        <v>0.87300000000000011</v>
      </c>
      <c r="G15" s="46">
        <f t="shared" si="17"/>
        <v>1333.3333333333333</v>
      </c>
      <c r="H15" s="41">
        <f t="shared" si="17"/>
        <v>25.033333333333331</v>
      </c>
      <c r="I15" s="42">
        <f t="shared" si="17"/>
        <v>4.1722222222222223E-2</v>
      </c>
      <c r="J15" s="47">
        <f t="shared" si="17"/>
        <v>0.94933333333333325</v>
      </c>
      <c r="K15" s="46">
        <f t="shared" si="17"/>
        <v>1176.6666666666667</v>
      </c>
      <c r="L15" s="41">
        <f t="shared" si="17"/>
        <v>21.666666666666668</v>
      </c>
      <c r="M15" s="42">
        <f t="shared" si="17"/>
        <v>3.6111111111111115E-2</v>
      </c>
      <c r="N15" s="47">
        <f t="shared" si="17"/>
        <v>0.95833333333333337</v>
      </c>
      <c r="O15" s="46">
        <f t="shared" si="17"/>
        <v>998.33333333333337</v>
      </c>
      <c r="P15" s="41">
        <f t="shared" si="17"/>
        <v>20.433333333333334</v>
      </c>
      <c r="Q15" s="42">
        <f t="shared" si="17"/>
        <v>3.4055555555555554E-2</v>
      </c>
      <c r="R15" s="47">
        <f t="shared" si="17"/>
        <v>0.96166666666666656</v>
      </c>
      <c r="S15" s="46">
        <f t="shared" si="17"/>
        <v>835</v>
      </c>
      <c r="T15" s="41">
        <f t="shared" si="17"/>
        <v>20.8</v>
      </c>
      <c r="U15" s="42">
        <f t="shared" si="17"/>
        <v>3.4666666666666665E-2</v>
      </c>
      <c r="V15" s="47">
        <f t="shared" si="17"/>
        <v>0.96233333333333337</v>
      </c>
      <c r="Z15" s="84">
        <v>6</v>
      </c>
      <c r="AA15" s="46">
        <f t="shared" ref="AA15:AD15" si="18">AVERAGE(AA35,AA50,AA66)</f>
        <v>1475</v>
      </c>
      <c r="AB15" s="37">
        <f t="shared" si="18"/>
        <v>43.733333333333327</v>
      </c>
      <c r="AC15" s="106">
        <f t="shared" si="18"/>
        <v>7.2888888888888892E-2</v>
      </c>
      <c r="AD15" s="107">
        <f t="shared" si="18"/>
        <v>0.8566666666666668</v>
      </c>
      <c r="AE15" s="46">
        <f t="shared" ref="AE15:AT15" si="19">AVERAGE(AE35,AE50,AE66)</f>
        <v>1333.3333333333333</v>
      </c>
      <c r="AF15" s="37">
        <f t="shared" si="19"/>
        <v>28.8</v>
      </c>
      <c r="AG15" s="106">
        <f t="shared" si="19"/>
        <v>4.7999999999999994E-2</v>
      </c>
      <c r="AH15" s="107">
        <f t="shared" si="19"/>
        <v>0.93766666666666654</v>
      </c>
      <c r="AI15" s="46">
        <f t="shared" si="19"/>
        <v>1176.6666666666667</v>
      </c>
      <c r="AJ15" s="37">
        <f t="shared" si="19"/>
        <v>25.899999999999995</v>
      </c>
      <c r="AK15" s="106">
        <f t="shared" si="19"/>
        <v>4.3166666666666666E-2</v>
      </c>
      <c r="AL15" s="107">
        <f t="shared" si="19"/>
        <v>0.94366666666666665</v>
      </c>
      <c r="AM15" s="46">
        <f t="shared" si="19"/>
        <v>998.33333333333337</v>
      </c>
      <c r="AN15" s="37">
        <f t="shared" si="19"/>
        <v>22.3</v>
      </c>
      <c r="AO15" s="106">
        <f t="shared" si="19"/>
        <v>3.716666666666666E-2</v>
      </c>
      <c r="AP15" s="107">
        <f t="shared" si="19"/>
        <v>0.95800000000000007</v>
      </c>
      <c r="AQ15" s="46">
        <f t="shared" si="19"/>
        <v>835</v>
      </c>
      <c r="AR15" s="37">
        <f t="shared" si="19"/>
        <v>23.066666666666666</v>
      </c>
      <c r="AS15" s="106">
        <f t="shared" si="19"/>
        <v>3.8444444444444448E-2</v>
      </c>
      <c r="AT15" s="107">
        <f t="shared" si="19"/>
        <v>0.95766666666666656</v>
      </c>
    </row>
    <row r="16" spans="1:46" ht="16" thickBot="1" x14ac:dyDescent="0.25">
      <c r="B16" s="53">
        <v>7</v>
      </c>
      <c r="C16" s="48">
        <f t="shared" ref="C16:V16" si="20">AVERAGE(C36,C52,C68)</f>
        <v>1050</v>
      </c>
      <c r="D16" s="49">
        <f t="shared" si="20"/>
        <v>26.533333333333331</v>
      </c>
      <c r="E16" s="50">
        <f t="shared" si="20"/>
        <v>4.4222222222222218E-2</v>
      </c>
      <c r="F16" s="51">
        <f t="shared" si="20"/>
        <v>0.82399999999999995</v>
      </c>
      <c r="G16" s="48">
        <f t="shared" si="20"/>
        <v>921.66666666666663</v>
      </c>
      <c r="H16" s="49">
        <f t="shared" si="20"/>
        <v>16.033333333333331</v>
      </c>
      <c r="I16" s="50">
        <f t="shared" si="20"/>
        <v>2.672222222222222E-2</v>
      </c>
      <c r="J16" s="51">
        <f t="shared" si="20"/>
        <v>0.88633333333333331</v>
      </c>
      <c r="K16" s="48">
        <f t="shared" si="20"/>
        <v>806.66666666666663</v>
      </c>
      <c r="L16" s="49">
        <f t="shared" si="20"/>
        <v>16.333333333333332</v>
      </c>
      <c r="M16" s="50">
        <f t="shared" si="20"/>
        <v>2.7222222222222221E-2</v>
      </c>
      <c r="N16" s="51">
        <f t="shared" si="20"/>
        <v>0.89200000000000002</v>
      </c>
      <c r="O16" s="48">
        <f t="shared" si="20"/>
        <v>703.33333333333337</v>
      </c>
      <c r="P16" s="49">
        <f t="shared" si="20"/>
        <v>15.300000000000002</v>
      </c>
      <c r="Q16" s="50">
        <f t="shared" si="20"/>
        <v>2.5499999999999998E-2</v>
      </c>
      <c r="R16" s="51">
        <f t="shared" si="20"/>
        <v>0.90200000000000014</v>
      </c>
      <c r="S16" s="48">
        <f t="shared" si="20"/>
        <v>576.66666666666663</v>
      </c>
      <c r="T16" s="49">
        <f t="shared" si="20"/>
        <v>14.866666666666667</v>
      </c>
      <c r="U16" s="50">
        <f t="shared" si="20"/>
        <v>2.4777777777777777E-2</v>
      </c>
      <c r="V16" s="51">
        <f t="shared" si="20"/>
        <v>0.91299999999999992</v>
      </c>
      <c r="Z16" s="85">
        <v>7</v>
      </c>
      <c r="AA16" s="48">
        <f t="shared" ref="AA16:AD16" si="21">AVERAGE(AA36,AA51,AA67)</f>
        <v>1050</v>
      </c>
      <c r="AB16" s="35">
        <f t="shared" si="21"/>
        <v>31.399999999999995</v>
      </c>
      <c r="AC16" s="108">
        <f t="shared" si="21"/>
        <v>5.2333333333333336E-2</v>
      </c>
      <c r="AD16" s="109">
        <f t="shared" si="21"/>
        <v>0.78500000000000003</v>
      </c>
      <c r="AE16" s="48">
        <f t="shared" ref="AE16:AT16" si="22">AVERAGE(AE36,AE51,AE67)</f>
        <v>921.66666666666663</v>
      </c>
      <c r="AF16" s="35">
        <f t="shared" si="22"/>
        <v>20.766666666666666</v>
      </c>
      <c r="AG16" s="108">
        <f t="shared" si="22"/>
        <v>3.4611111111111113E-2</v>
      </c>
      <c r="AH16" s="109">
        <f t="shared" si="22"/>
        <v>0.85966666666666658</v>
      </c>
      <c r="AI16" s="48">
        <f t="shared" si="22"/>
        <v>806.66666666666663</v>
      </c>
      <c r="AJ16" s="35">
        <f t="shared" si="22"/>
        <v>18.833333333333332</v>
      </c>
      <c r="AK16" s="108">
        <f t="shared" si="22"/>
        <v>3.138888888888889E-2</v>
      </c>
      <c r="AL16" s="109">
        <f t="shared" si="22"/>
        <v>0.8823333333333333</v>
      </c>
      <c r="AM16" s="48">
        <f t="shared" si="22"/>
        <v>703.33333333333337</v>
      </c>
      <c r="AN16" s="35">
        <f t="shared" si="22"/>
        <v>17.266666666666666</v>
      </c>
      <c r="AO16" s="108">
        <f t="shared" si="22"/>
        <v>2.8777777777777777E-2</v>
      </c>
      <c r="AP16" s="109">
        <f t="shared" si="22"/>
        <v>0.88733333333333331</v>
      </c>
      <c r="AQ16" s="48">
        <f t="shared" si="22"/>
        <v>576.66666666666663</v>
      </c>
      <c r="AR16" s="35">
        <f t="shared" si="22"/>
        <v>16.8</v>
      </c>
      <c r="AS16" s="108">
        <f t="shared" si="22"/>
        <v>2.7999999999999997E-2</v>
      </c>
      <c r="AT16" s="109">
        <f t="shared" si="22"/>
        <v>0.9</v>
      </c>
    </row>
    <row r="17" spans="1:46" ht="16" thickBot="1" x14ac:dyDescent="0.25">
      <c r="B17" s="27"/>
      <c r="C17" s="37"/>
      <c r="D17" s="28"/>
      <c r="E17" s="42"/>
      <c r="F17" s="110"/>
      <c r="G17" s="37"/>
      <c r="H17" s="28"/>
      <c r="I17" s="42"/>
      <c r="J17" s="110"/>
      <c r="K17" s="28"/>
      <c r="L17" s="41"/>
      <c r="M17" s="42"/>
      <c r="N17" s="110"/>
      <c r="O17" s="28"/>
      <c r="P17" s="27"/>
      <c r="Q17" s="42"/>
      <c r="R17" s="27"/>
      <c r="S17" s="28"/>
      <c r="T17" s="27"/>
      <c r="U17" s="42"/>
      <c r="V17" s="110"/>
      <c r="Z17" s="27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</row>
    <row r="18" spans="1:46" ht="16" thickBot="1" x14ac:dyDescent="0.25">
      <c r="B18" s="28" t="s">
        <v>11</v>
      </c>
      <c r="C18" s="28"/>
      <c r="D18" s="56">
        <f>AVERAGE(D38,D54,D70)</f>
        <v>25.753602744948534</v>
      </c>
      <c r="E18" s="59">
        <f>AVERAGE(E38,E54,E70)</f>
        <v>4.292267124158089E-2</v>
      </c>
      <c r="F18" s="57">
        <f>AVERAGE(F38,F54,F70)</f>
        <v>0.90623408311094167</v>
      </c>
      <c r="G18" s="28"/>
      <c r="H18" s="56">
        <f>AVERAGE(H38,H54,H70)</f>
        <v>19.83443396226415</v>
      </c>
      <c r="I18" s="59">
        <f>AVERAGE(I38,I54,I70)</f>
        <v>3.3057389937106919E-2</v>
      </c>
      <c r="J18" s="57">
        <f>AVERAGE(J38,J54,J70)</f>
        <v>0.94293682104059462</v>
      </c>
      <c r="K18" s="28"/>
      <c r="L18" s="56">
        <f>AVERAGE(L38,L54,L70)</f>
        <v>18.577303921568628</v>
      </c>
      <c r="M18" s="59">
        <f>AVERAGE(M38,M54,M70)</f>
        <v>3.0962173202614379E-2</v>
      </c>
      <c r="N18" s="57">
        <f>AVERAGE(N38,N54,N70)</f>
        <v>0.94588071895424841</v>
      </c>
      <c r="O18" s="28"/>
      <c r="P18" s="56">
        <f>AVERAGE(P38,P54,P70)</f>
        <v>18.358185629883746</v>
      </c>
      <c r="Q18" s="59">
        <f>AVERAGE(Q38,Q54,Q70)</f>
        <v>3.059697604980624E-2</v>
      </c>
      <c r="R18" s="57">
        <f>AVERAGE(R38,R54,R70)</f>
        <v>0.94784619782732982</v>
      </c>
      <c r="S18" s="28"/>
      <c r="T18" s="56">
        <f>AVERAGE(T38,T54,T70)</f>
        <v>17.863166323495772</v>
      </c>
      <c r="U18" s="59">
        <f>AVERAGE(U38,U54,U70)</f>
        <v>2.9771943872492945E-2</v>
      </c>
      <c r="V18" s="57">
        <f>AVERAGE(V38,V54,V70)</f>
        <v>0.95104140928849235</v>
      </c>
      <c r="Z18" s="28" t="s">
        <v>11</v>
      </c>
      <c r="AA18" s="28"/>
      <c r="AB18" s="56">
        <f>AVERAGE(AB38,AB53,AB69)</f>
        <v>30.349104079298513</v>
      </c>
      <c r="AC18" s="95">
        <f>AVERAGE(AC38,AC53,AC69)</f>
        <v>5.0581840132164185E-2</v>
      </c>
      <c r="AD18" s="95">
        <f>AVERAGE(AD38,AD53,AD69)</f>
        <v>0.88737031388994791</v>
      </c>
      <c r="AE18" s="28"/>
      <c r="AF18" s="56">
        <f>AVERAGE(AF38,AF53,AF69)</f>
        <v>23.372598627787308</v>
      </c>
      <c r="AG18" s="95">
        <f>AVERAGE(AG38,AG53,AG69)</f>
        <v>3.8954331046312178E-2</v>
      </c>
      <c r="AH18" s="95">
        <f>AVERAGE(AH38,AH53,AH69)</f>
        <v>0.93185506003430529</v>
      </c>
      <c r="AI18" s="28"/>
      <c r="AJ18" s="56">
        <f>AVERAGE(AJ38,AJ53,AJ69)</f>
        <v>21.162663398692811</v>
      </c>
      <c r="AK18" s="95">
        <f>AVERAGE(AK38,AK53,AK69)</f>
        <v>3.5271105664488017E-2</v>
      </c>
      <c r="AL18" s="95">
        <f>AVERAGE(AL38,AL53,AL69)</f>
        <v>0.93830882352941158</v>
      </c>
      <c r="AM18" s="28"/>
      <c r="AN18" s="56">
        <f>AVERAGE(AN38,AN53,AN69)</f>
        <v>20.082675814751287</v>
      </c>
      <c r="AO18" s="95">
        <f>AVERAGE(AO38,AO53,AO69)</f>
        <v>3.3471126357918816E-2</v>
      </c>
      <c r="AP18" s="95">
        <f>AVERAGE(AP38,AP53,AP69)</f>
        <v>0.94254049933295214</v>
      </c>
      <c r="AQ18" s="28"/>
      <c r="AR18" s="56">
        <f>AVERAGE(AR38,AR53,AR69)</f>
        <v>19.840974605353466</v>
      </c>
      <c r="AS18" s="95">
        <f>AVERAGE(AS38,AS53,AS69)</f>
        <v>3.3068291008922439E-2</v>
      </c>
      <c r="AT18" s="95">
        <f>AVERAGE(AT38,AT53,AT69)</f>
        <v>0.94566048959048266</v>
      </c>
    </row>
    <row r="19" spans="1:46" x14ac:dyDescent="0.2">
      <c r="E19" s="16"/>
    </row>
    <row r="20" spans="1:46" x14ac:dyDescent="0.2">
      <c r="D20" s="99"/>
      <c r="E20" s="16"/>
      <c r="H20" s="99"/>
      <c r="L20" s="99"/>
      <c r="P20" s="99"/>
      <c r="T20" s="99"/>
    </row>
    <row r="21" spans="1:46" x14ac:dyDescent="0.2">
      <c r="C21" s="24"/>
      <c r="D21" s="1"/>
      <c r="E21" s="8"/>
      <c r="G21" s="24"/>
      <c r="K21" s="24"/>
      <c r="O21" s="24"/>
      <c r="S21" s="24"/>
    </row>
    <row r="22" spans="1:46" x14ac:dyDescent="0.2">
      <c r="C22" s="24"/>
      <c r="D22" s="1"/>
      <c r="E22" s="8"/>
      <c r="G22" s="24"/>
      <c r="K22" s="24"/>
      <c r="O22" s="24"/>
      <c r="S22" s="24"/>
    </row>
    <row r="23" spans="1:46" s="32" customFormat="1" ht="16" thickBot="1" x14ac:dyDescent="0.25">
      <c r="C23" s="35"/>
      <c r="D23" s="34"/>
      <c r="E23" s="111"/>
      <c r="G23" s="35"/>
      <c r="K23" s="35"/>
      <c r="O23" s="35"/>
      <c r="S23" s="35"/>
      <c r="X23" s="93"/>
    </row>
    <row r="24" spans="1:46" s="33" customFormat="1" ht="15.75" customHeight="1" thickBot="1" x14ac:dyDescent="0.25">
      <c r="C24" s="36"/>
      <c r="G24" s="36"/>
      <c r="X24" s="94"/>
    </row>
    <row r="25" spans="1:46" ht="15.75" customHeight="1" x14ac:dyDescent="0.2"/>
    <row r="26" spans="1:46" ht="15.75" customHeight="1" x14ac:dyDescent="0.2"/>
    <row r="27" spans="1:46" ht="15.75" customHeight="1" x14ac:dyDescent="0.2">
      <c r="A27" s="1" t="s">
        <v>23</v>
      </c>
      <c r="D27" s="134">
        <v>0.1</v>
      </c>
      <c r="E27" s="133"/>
      <c r="F27" s="133"/>
      <c r="G27" s="2"/>
      <c r="H27" s="134">
        <v>0.2</v>
      </c>
      <c r="I27" s="133"/>
      <c r="J27" s="133"/>
      <c r="K27" s="2"/>
      <c r="L27" s="134">
        <v>0.3</v>
      </c>
      <c r="M27" s="133"/>
      <c r="N27" s="133"/>
      <c r="O27" s="2"/>
      <c r="P27" s="134">
        <v>0.4</v>
      </c>
      <c r="Q27" s="133"/>
      <c r="R27" s="133"/>
      <c r="S27" s="2"/>
      <c r="T27" s="134">
        <v>0.5</v>
      </c>
      <c r="U27" s="133"/>
      <c r="V27" s="133"/>
      <c r="Y27" s="1" t="s">
        <v>23</v>
      </c>
      <c r="AB27" s="134">
        <v>0.1</v>
      </c>
      <c r="AC27" s="133"/>
      <c r="AD27" s="133"/>
      <c r="AE27" s="2"/>
      <c r="AF27" s="134">
        <v>0.2</v>
      </c>
      <c r="AG27" s="133"/>
      <c r="AH27" s="133"/>
      <c r="AI27" s="2"/>
      <c r="AJ27" s="134">
        <v>0.3</v>
      </c>
      <c r="AK27" s="133"/>
      <c r="AL27" s="133"/>
      <c r="AM27" s="2"/>
      <c r="AN27" s="134">
        <v>0.4</v>
      </c>
      <c r="AO27" s="133"/>
      <c r="AP27" s="133"/>
      <c r="AQ27" s="2"/>
      <c r="AR27" s="134">
        <v>0.5</v>
      </c>
      <c r="AS27" s="133"/>
      <c r="AT27" s="133"/>
    </row>
    <row r="28" spans="1:46" ht="15.75" customHeight="1" thickBot="1" x14ac:dyDescent="0.25">
      <c r="B28" s="13" t="s">
        <v>8</v>
      </c>
      <c r="C28" s="22" t="s">
        <v>22</v>
      </c>
      <c r="D28" s="14" t="s">
        <v>7</v>
      </c>
      <c r="E28" s="13" t="s">
        <v>9</v>
      </c>
      <c r="F28" s="13" t="s">
        <v>10</v>
      </c>
      <c r="G28" s="22" t="s">
        <v>22</v>
      </c>
      <c r="H28" s="14" t="s">
        <v>7</v>
      </c>
      <c r="I28" s="13" t="s">
        <v>9</v>
      </c>
      <c r="J28" s="13" t="s">
        <v>10</v>
      </c>
      <c r="K28" s="22" t="s">
        <v>22</v>
      </c>
      <c r="L28" s="13" t="s">
        <v>7</v>
      </c>
      <c r="M28" s="13" t="s">
        <v>9</v>
      </c>
      <c r="N28" s="13" t="s">
        <v>10</v>
      </c>
      <c r="O28" s="22" t="s">
        <v>22</v>
      </c>
      <c r="P28" s="13" t="s">
        <v>7</v>
      </c>
      <c r="Q28" s="13" t="s">
        <v>9</v>
      </c>
      <c r="R28" s="13" t="s">
        <v>10</v>
      </c>
      <c r="S28" s="22" t="s">
        <v>22</v>
      </c>
      <c r="T28" s="13" t="s">
        <v>7</v>
      </c>
      <c r="U28" s="13" t="s">
        <v>9</v>
      </c>
      <c r="V28" s="13" t="s">
        <v>10</v>
      </c>
      <c r="Z28" s="13" t="s">
        <v>8</v>
      </c>
      <c r="AA28" s="22" t="s">
        <v>22</v>
      </c>
      <c r="AB28" s="14" t="s">
        <v>7</v>
      </c>
      <c r="AC28" s="13" t="s">
        <v>9</v>
      </c>
      <c r="AD28" s="13" t="s">
        <v>10</v>
      </c>
      <c r="AE28" s="22" t="s">
        <v>22</v>
      </c>
      <c r="AF28" s="14" t="s">
        <v>7</v>
      </c>
      <c r="AG28" s="13" t="s">
        <v>9</v>
      </c>
      <c r="AH28" s="13" t="s">
        <v>10</v>
      </c>
      <c r="AI28" s="22" t="s">
        <v>22</v>
      </c>
      <c r="AJ28" s="13" t="s">
        <v>7</v>
      </c>
      <c r="AK28" s="13" t="s">
        <v>9</v>
      </c>
      <c r="AL28" s="13" t="s">
        <v>10</v>
      </c>
      <c r="AM28" s="22" t="s">
        <v>22</v>
      </c>
      <c r="AN28" s="13" t="s">
        <v>7</v>
      </c>
      <c r="AO28" s="13" t="s">
        <v>9</v>
      </c>
      <c r="AP28" s="13" t="s">
        <v>10</v>
      </c>
      <c r="AQ28" s="22" t="s">
        <v>22</v>
      </c>
      <c r="AR28" s="13" t="s">
        <v>7</v>
      </c>
      <c r="AS28" s="13" t="s">
        <v>9</v>
      </c>
      <c r="AT28" s="13" t="s">
        <v>10</v>
      </c>
    </row>
    <row r="29" spans="1:46" ht="15.75" customHeight="1" x14ac:dyDescent="0.2">
      <c r="B29" s="1">
        <v>0</v>
      </c>
      <c r="C29" s="23">
        <v>1820</v>
      </c>
      <c r="D29" s="17">
        <v>24.2</v>
      </c>
      <c r="E29" s="16">
        <f t="shared" ref="E29:E36" si="23">D29/$A$5</f>
        <v>4.0333333333333332E-2</v>
      </c>
      <c r="F29" s="28">
        <v>0.91500000000000004</v>
      </c>
      <c r="G29" s="17">
        <v>1610</v>
      </c>
      <c r="H29" s="17">
        <v>16.600000000000001</v>
      </c>
      <c r="I29" s="16">
        <f t="shared" ref="I29:I36" si="24">H29/$A$5</f>
        <v>2.7666666666666669E-2</v>
      </c>
      <c r="J29" s="28">
        <v>0.95699999999999996</v>
      </c>
      <c r="K29" s="23">
        <v>1440</v>
      </c>
      <c r="L29" s="28">
        <v>14.8</v>
      </c>
      <c r="M29" s="16">
        <f t="shared" ref="M29:M36" si="25">L29/$A$5</f>
        <v>2.4666666666666667E-2</v>
      </c>
      <c r="N29" s="28">
        <v>0.96199999999999997</v>
      </c>
      <c r="O29" s="23">
        <v>1230</v>
      </c>
      <c r="P29" s="28">
        <v>17.399999999999999</v>
      </c>
      <c r="Q29" s="16">
        <f t="shared" ref="Q29:Q36" si="26">P29/$A$5</f>
        <v>2.8999999999999998E-2</v>
      </c>
      <c r="R29" s="28">
        <v>0.95399999999999996</v>
      </c>
      <c r="S29" s="23">
        <v>1045</v>
      </c>
      <c r="T29" s="28">
        <v>15.5</v>
      </c>
      <c r="U29" s="16">
        <f t="shared" ref="U29:U36" si="27">T29/$A$5</f>
        <v>2.5833333333333333E-2</v>
      </c>
      <c r="V29" s="28">
        <v>0.95699999999999996</v>
      </c>
      <c r="Z29" s="1">
        <v>0</v>
      </c>
      <c r="AA29" s="23">
        <v>1820</v>
      </c>
      <c r="AB29" s="17">
        <v>29.3</v>
      </c>
      <c r="AC29" s="16">
        <f>AB29/$A$5</f>
        <v>4.8833333333333333E-2</v>
      </c>
      <c r="AD29" s="28">
        <v>0.875</v>
      </c>
      <c r="AE29" s="17">
        <v>1610</v>
      </c>
      <c r="AF29" s="17">
        <v>20.8</v>
      </c>
      <c r="AG29" s="16">
        <f t="shared" ref="AG29:AG36" si="28">AF29/$A$5</f>
        <v>3.4666666666666665E-2</v>
      </c>
      <c r="AH29" s="28">
        <v>0.93500000000000005</v>
      </c>
      <c r="AI29" s="23">
        <v>1440</v>
      </c>
      <c r="AJ29" s="28">
        <v>18.100000000000001</v>
      </c>
      <c r="AK29" s="16">
        <f t="shared" ref="AK29:AK36" si="29">AJ29/$A$5</f>
        <v>3.0166666666666668E-2</v>
      </c>
      <c r="AL29" s="28">
        <v>0.94699999999999995</v>
      </c>
      <c r="AM29" s="23">
        <v>1230</v>
      </c>
      <c r="AN29" s="28">
        <v>18.5</v>
      </c>
      <c r="AO29" s="16">
        <f t="shared" ref="AO29:AO36" si="30">AN29/$A$5</f>
        <v>3.0833333333333334E-2</v>
      </c>
      <c r="AP29" s="28">
        <v>0.95199999999999996</v>
      </c>
      <c r="AQ29" s="23">
        <v>1045</v>
      </c>
      <c r="AR29" s="28">
        <v>17.3</v>
      </c>
      <c r="AS29" s="16">
        <f t="shared" ref="AS29:AS36" si="31">AR29/$A$5</f>
        <v>2.8833333333333336E-2</v>
      </c>
      <c r="AT29" s="28">
        <v>0.94899999999999995</v>
      </c>
    </row>
    <row r="30" spans="1:46" ht="15.75" customHeight="1" x14ac:dyDescent="0.2">
      <c r="B30" s="1">
        <v>1</v>
      </c>
      <c r="C30" s="23">
        <v>2600</v>
      </c>
      <c r="D30" s="17">
        <v>23.5</v>
      </c>
      <c r="E30" s="16">
        <f t="shared" si="23"/>
        <v>3.9166666666666669E-2</v>
      </c>
      <c r="F30" s="28">
        <v>0.95599999999999996</v>
      </c>
      <c r="G30" s="17">
        <v>2370</v>
      </c>
      <c r="H30" s="17">
        <v>19.3</v>
      </c>
      <c r="I30" s="16">
        <f t="shared" si="24"/>
        <v>3.216666666666667E-2</v>
      </c>
      <c r="J30" s="28">
        <v>0.96899999999999997</v>
      </c>
      <c r="K30" s="23">
        <v>2020</v>
      </c>
      <c r="L30" s="28">
        <v>20.399999999999999</v>
      </c>
      <c r="M30" s="16">
        <f t="shared" si="25"/>
        <v>3.3999999999999996E-2</v>
      </c>
      <c r="N30" s="28">
        <v>0.96499999999999997</v>
      </c>
      <c r="O30" s="23">
        <v>1755</v>
      </c>
      <c r="P30" s="28">
        <v>20.6</v>
      </c>
      <c r="Q30" s="16">
        <f t="shared" si="26"/>
        <v>3.4333333333333334E-2</v>
      </c>
      <c r="R30" s="28">
        <v>0.96399999999999997</v>
      </c>
      <c r="S30" s="23">
        <v>1405</v>
      </c>
      <c r="T30" s="28">
        <v>19.7</v>
      </c>
      <c r="U30" s="16">
        <f t="shared" si="27"/>
        <v>3.2833333333333332E-2</v>
      </c>
      <c r="V30" s="28">
        <v>0.96899999999999997</v>
      </c>
      <c r="Z30" s="1">
        <v>1</v>
      </c>
      <c r="AA30" s="23">
        <v>2600</v>
      </c>
      <c r="AB30" s="17">
        <v>26.8</v>
      </c>
      <c r="AC30" s="16">
        <f t="shared" ref="AC30:AC36" si="32">AB30/$A$5</f>
        <v>4.4666666666666667E-2</v>
      </c>
      <c r="AD30" s="28">
        <v>0.94799999999999995</v>
      </c>
      <c r="AE30" s="17">
        <v>2370</v>
      </c>
      <c r="AF30" s="17">
        <v>24.1</v>
      </c>
      <c r="AG30" s="16">
        <f t="shared" si="28"/>
        <v>4.016666666666667E-2</v>
      </c>
      <c r="AH30" s="28">
        <v>0.95799999999999996</v>
      </c>
      <c r="AI30" s="23">
        <v>2020</v>
      </c>
      <c r="AJ30" s="28">
        <v>22</v>
      </c>
      <c r="AK30" s="16">
        <f t="shared" si="29"/>
        <v>3.6666666666666667E-2</v>
      </c>
      <c r="AL30" s="28">
        <v>0.96199999999999997</v>
      </c>
      <c r="AM30" s="23">
        <v>1755</v>
      </c>
      <c r="AN30" s="28">
        <v>21.3</v>
      </c>
      <c r="AO30" s="16">
        <f t="shared" si="30"/>
        <v>3.5500000000000004E-2</v>
      </c>
      <c r="AP30" s="28">
        <v>0.96499999999999997</v>
      </c>
      <c r="AQ30" s="23">
        <v>1405</v>
      </c>
      <c r="AR30" s="28">
        <v>20.9</v>
      </c>
      <c r="AS30" s="16">
        <f t="shared" si="31"/>
        <v>3.4833333333333334E-2</v>
      </c>
      <c r="AT30" s="28">
        <v>0.96599999999999997</v>
      </c>
    </row>
    <row r="31" spans="1:46" ht="15.75" customHeight="1" x14ac:dyDescent="0.2">
      <c r="B31" s="1">
        <v>2</v>
      </c>
      <c r="C31" s="23">
        <v>1865</v>
      </c>
      <c r="D31" s="17">
        <v>22.1</v>
      </c>
      <c r="E31" s="16">
        <f t="shared" si="23"/>
        <v>3.6833333333333336E-2</v>
      </c>
      <c r="F31" s="28">
        <v>0.96599999999999997</v>
      </c>
      <c r="G31" s="17">
        <v>1660</v>
      </c>
      <c r="H31" s="17">
        <v>21.8</v>
      </c>
      <c r="I31" s="16">
        <f t="shared" si="24"/>
        <v>3.6333333333333336E-2</v>
      </c>
      <c r="J31" s="28">
        <v>0.96799999999999997</v>
      </c>
      <c r="K31" s="23">
        <v>1420</v>
      </c>
      <c r="L31" s="28">
        <v>21.8</v>
      </c>
      <c r="M31" s="16">
        <f t="shared" si="25"/>
        <v>3.6333333333333336E-2</v>
      </c>
      <c r="N31" s="28">
        <v>0.96599999999999997</v>
      </c>
      <c r="O31" s="23">
        <v>1195</v>
      </c>
      <c r="P31" s="28">
        <v>20.6</v>
      </c>
      <c r="Q31" s="16">
        <f t="shared" si="26"/>
        <v>3.4333333333333334E-2</v>
      </c>
      <c r="R31" s="28">
        <v>0.97</v>
      </c>
      <c r="S31" s="23">
        <v>1020</v>
      </c>
      <c r="T31" s="28">
        <v>18.5</v>
      </c>
      <c r="U31" s="16">
        <f t="shared" si="27"/>
        <v>3.0833333333333334E-2</v>
      </c>
      <c r="V31" s="28">
        <v>0.97399999999999998</v>
      </c>
      <c r="Z31" s="1">
        <v>2</v>
      </c>
      <c r="AA31" s="23">
        <v>1865</v>
      </c>
      <c r="AB31" s="17">
        <v>24.8</v>
      </c>
      <c r="AC31" s="16">
        <f t="shared" si="32"/>
        <v>4.1333333333333333E-2</v>
      </c>
      <c r="AD31" s="28">
        <v>0.95899999999999996</v>
      </c>
      <c r="AE31" s="17">
        <v>1660</v>
      </c>
      <c r="AF31" s="17">
        <v>23.8</v>
      </c>
      <c r="AG31" s="16">
        <f t="shared" si="28"/>
        <v>3.966666666666667E-2</v>
      </c>
      <c r="AH31" s="28">
        <v>0.96299999999999997</v>
      </c>
      <c r="AI31" s="23">
        <v>1420</v>
      </c>
      <c r="AJ31" s="28">
        <v>24.9</v>
      </c>
      <c r="AK31" s="16">
        <f t="shared" si="29"/>
        <v>4.1499999999999995E-2</v>
      </c>
      <c r="AL31" s="28">
        <v>0.95599999999999996</v>
      </c>
      <c r="AM31" s="23">
        <v>1195</v>
      </c>
      <c r="AN31" s="28">
        <v>22.4</v>
      </c>
      <c r="AO31" s="16">
        <f t="shared" si="30"/>
        <v>3.7333333333333329E-2</v>
      </c>
      <c r="AP31" s="28">
        <v>0.96499999999999997</v>
      </c>
      <c r="AQ31" s="23">
        <v>1020</v>
      </c>
      <c r="AR31" s="28">
        <v>21.5</v>
      </c>
      <c r="AS31" s="16">
        <f t="shared" si="31"/>
        <v>3.5833333333333335E-2</v>
      </c>
      <c r="AT31" s="28">
        <v>0.97</v>
      </c>
    </row>
    <row r="32" spans="1:46" ht="15.75" customHeight="1" x14ac:dyDescent="0.2">
      <c r="B32" s="1">
        <v>3</v>
      </c>
      <c r="C32" s="23">
        <v>965</v>
      </c>
      <c r="D32" s="17">
        <v>31.6</v>
      </c>
      <c r="E32" s="16">
        <f t="shared" si="23"/>
        <v>5.2666666666666667E-2</v>
      </c>
      <c r="F32" s="28">
        <v>0.94699999999999995</v>
      </c>
      <c r="G32" s="17">
        <v>850</v>
      </c>
      <c r="H32" s="17">
        <v>24.7</v>
      </c>
      <c r="I32" s="16">
        <f t="shared" si="24"/>
        <v>4.1166666666666664E-2</v>
      </c>
      <c r="J32" s="28">
        <v>0.96599999999999997</v>
      </c>
      <c r="K32" s="23">
        <v>745</v>
      </c>
      <c r="L32" s="28">
        <v>20.100000000000001</v>
      </c>
      <c r="M32" s="16">
        <f t="shared" si="25"/>
        <v>3.3500000000000002E-2</v>
      </c>
      <c r="N32" s="28">
        <v>0.97799999999999998</v>
      </c>
      <c r="O32" s="23">
        <v>655</v>
      </c>
      <c r="P32" s="28">
        <v>19.7</v>
      </c>
      <c r="Q32" s="16">
        <f t="shared" si="26"/>
        <v>3.2833333333333332E-2</v>
      </c>
      <c r="R32" s="28">
        <v>0.97899999999999998</v>
      </c>
      <c r="S32" s="23">
        <v>550</v>
      </c>
      <c r="T32" s="28">
        <v>18.8</v>
      </c>
      <c r="U32" s="16">
        <f t="shared" si="27"/>
        <v>3.1333333333333331E-2</v>
      </c>
      <c r="V32" s="28">
        <v>0.98</v>
      </c>
      <c r="Z32" s="1">
        <v>3</v>
      </c>
      <c r="AA32" s="23">
        <v>965</v>
      </c>
      <c r="AB32" s="17">
        <v>42.7</v>
      </c>
      <c r="AC32" s="16">
        <f t="shared" si="32"/>
        <v>7.116666666666667E-2</v>
      </c>
      <c r="AD32" s="28">
        <v>0.91400000000000003</v>
      </c>
      <c r="AE32" s="17">
        <v>850</v>
      </c>
      <c r="AF32" s="17">
        <v>30.2</v>
      </c>
      <c r="AG32" s="16">
        <f t="shared" si="28"/>
        <v>5.0333333333333334E-2</v>
      </c>
      <c r="AH32" s="28">
        <v>0.95399999999999996</v>
      </c>
      <c r="AI32" s="23">
        <v>745</v>
      </c>
      <c r="AJ32" s="28">
        <v>23.1</v>
      </c>
      <c r="AK32" s="16">
        <f t="shared" si="29"/>
        <v>3.85E-2</v>
      </c>
      <c r="AL32" s="28">
        <v>0.97299999999999998</v>
      </c>
      <c r="AM32" s="23">
        <v>655</v>
      </c>
      <c r="AN32" s="28">
        <v>21.3</v>
      </c>
      <c r="AO32" s="16">
        <f t="shared" si="30"/>
        <v>3.5500000000000004E-2</v>
      </c>
      <c r="AP32" s="28">
        <v>0.97699999999999998</v>
      </c>
      <c r="AQ32" s="23">
        <v>550</v>
      </c>
      <c r="AR32" s="28">
        <v>21.1</v>
      </c>
      <c r="AS32" s="16">
        <f t="shared" si="31"/>
        <v>3.5166666666666672E-2</v>
      </c>
      <c r="AT32" s="28">
        <v>0.97599999999999998</v>
      </c>
    </row>
    <row r="33" spans="1:46" ht="15.75" customHeight="1" x14ac:dyDescent="0.2">
      <c r="B33" s="1">
        <v>4</v>
      </c>
      <c r="C33" s="23">
        <v>2075</v>
      </c>
      <c r="D33" s="17">
        <v>20.7</v>
      </c>
      <c r="E33" s="16">
        <f t="shared" si="23"/>
        <v>3.4499999999999996E-2</v>
      </c>
      <c r="F33" s="28">
        <v>0.97</v>
      </c>
      <c r="G33" s="17">
        <v>1815</v>
      </c>
      <c r="H33" s="17">
        <v>18</v>
      </c>
      <c r="I33" s="16">
        <f t="shared" si="24"/>
        <v>0.03</v>
      </c>
      <c r="J33" s="28">
        <v>0.97599999999999998</v>
      </c>
      <c r="K33" s="23">
        <v>1610</v>
      </c>
      <c r="L33" s="28">
        <v>17.600000000000001</v>
      </c>
      <c r="M33" s="16">
        <f t="shared" si="25"/>
        <v>2.9333333333333336E-2</v>
      </c>
      <c r="N33" s="28">
        <v>0.97499999999999998</v>
      </c>
      <c r="O33" s="23">
        <v>1330</v>
      </c>
      <c r="P33" s="28">
        <v>17.100000000000001</v>
      </c>
      <c r="Q33" s="16">
        <f t="shared" si="26"/>
        <v>2.8500000000000001E-2</v>
      </c>
      <c r="R33" s="28">
        <v>0.97699999999999998</v>
      </c>
      <c r="S33" s="23">
        <v>1140</v>
      </c>
      <c r="T33" s="28">
        <v>17.2</v>
      </c>
      <c r="U33" s="16">
        <f t="shared" si="27"/>
        <v>2.8666666666666667E-2</v>
      </c>
      <c r="V33" s="28">
        <v>0.97599999999999998</v>
      </c>
      <c r="Z33" s="1">
        <v>4</v>
      </c>
      <c r="AA33" s="23">
        <v>2075</v>
      </c>
      <c r="AB33" s="17">
        <v>24.7</v>
      </c>
      <c r="AC33" s="16">
        <f t="shared" si="32"/>
        <v>4.1166666666666664E-2</v>
      </c>
      <c r="AD33" s="28">
        <v>0.96099999999999997</v>
      </c>
      <c r="AE33" s="17">
        <v>1815</v>
      </c>
      <c r="AF33" s="17">
        <v>21.2</v>
      </c>
      <c r="AG33" s="16">
        <f t="shared" si="28"/>
        <v>3.5333333333333335E-2</v>
      </c>
      <c r="AH33" s="28">
        <v>0.96799999999999997</v>
      </c>
      <c r="AI33" s="23">
        <v>1610</v>
      </c>
      <c r="AJ33" s="28">
        <v>18.899999999999999</v>
      </c>
      <c r="AK33" s="16">
        <f t="shared" si="29"/>
        <v>3.15E-2</v>
      </c>
      <c r="AL33" s="28">
        <v>0.97099999999999997</v>
      </c>
      <c r="AM33" s="23">
        <v>1330</v>
      </c>
      <c r="AN33" s="28">
        <v>18.8</v>
      </c>
      <c r="AO33" s="16">
        <f t="shared" si="30"/>
        <v>3.1333333333333331E-2</v>
      </c>
      <c r="AP33" s="28">
        <v>0.97399999999999998</v>
      </c>
      <c r="AQ33" s="23">
        <v>1140</v>
      </c>
      <c r="AR33" s="28">
        <v>18.899999999999999</v>
      </c>
      <c r="AS33" s="16">
        <f t="shared" si="31"/>
        <v>3.15E-2</v>
      </c>
      <c r="AT33" s="28">
        <v>0.97399999999999998</v>
      </c>
    </row>
    <row r="34" spans="1:46" ht="15.75" customHeight="1" x14ac:dyDescent="0.2">
      <c r="B34" s="1">
        <v>5</v>
      </c>
      <c r="C34" s="23">
        <v>1165</v>
      </c>
      <c r="D34" s="17">
        <v>35.700000000000003</v>
      </c>
      <c r="E34" s="16">
        <f t="shared" si="23"/>
        <v>5.9500000000000004E-2</v>
      </c>
      <c r="F34" s="28">
        <v>0.89900000000000002</v>
      </c>
      <c r="G34" s="17">
        <v>1025</v>
      </c>
      <c r="H34" s="17">
        <v>24.2</v>
      </c>
      <c r="I34" s="16">
        <f t="shared" si="24"/>
        <v>4.0333333333333332E-2</v>
      </c>
      <c r="J34" s="28">
        <v>0.93899999999999995</v>
      </c>
      <c r="K34" s="23">
        <v>915</v>
      </c>
      <c r="L34" s="28">
        <v>23.2</v>
      </c>
      <c r="M34" s="16">
        <f t="shared" si="25"/>
        <v>3.8666666666666669E-2</v>
      </c>
      <c r="N34" s="28">
        <v>0.93899999999999995</v>
      </c>
      <c r="O34" s="23">
        <v>785</v>
      </c>
      <c r="P34" s="28">
        <v>22.6</v>
      </c>
      <c r="Q34" s="16">
        <f t="shared" si="26"/>
        <v>3.7666666666666668E-2</v>
      </c>
      <c r="R34" s="28">
        <v>0.94199999999999995</v>
      </c>
      <c r="S34" s="23">
        <v>690</v>
      </c>
      <c r="T34" s="28">
        <v>22.8</v>
      </c>
      <c r="U34" s="16">
        <f t="shared" si="27"/>
        <v>3.7999999999999999E-2</v>
      </c>
      <c r="V34" s="28">
        <v>0.93899999999999995</v>
      </c>
      <c r="Z34" s="1">
        <v>5</v>
      </c>
      <c r="AA34" s="23">
        <v>1165</v>
      </c>
      <c r="AB34" s="17">
        <v>41.3</v>
      </c>
      <c r="AC34" s="16">
        <f t="shared" si="32"/>
        <v>6.883333333333333E-2</v>
      </c>
      <c r="AD34" s="28">
        <v>0.86899999999999999</v>
      </c>
      <c r="AE34" s="17">
        <v>1025</v>
      </c>
      <c r="AF34" s="17">
        <v>29.5</v>
      </c>
      <c r="AG34" s="16">
        <f t="shared" si="28"/>
        <v>4.9166666666666664E-2</v>
      </c>
      <c r="AH34" s="28">
        <v>0.92</v>
      </c>
      <c r="AI34" s="23">
        <v>915</v>
      </c>
      <c r="AJ34" s="28">
        <v>26.7</v>
      </c>
      <c r="AK34" s="16">
        <f t="shared" si="29"/>
        <v>4.4499999999999998E-2</v>
      </c>
      <c r="AL34" s="28">
        <v>0.92900000000000005</v>
      </c>
      <c r="AM34" s="23">
        <v>785</v>
      </c>
      <c r="AN34" s="28">
        <v>25.4</v>
      </c>
      <c r="AO34" s="16">
        <f t="shared" si="30"/>
        <v>4.2333333333333334E-2</v>
      </c>
      <c r="AP34" s="28">
        <v>0.93400000000000005</v>
      </c>
      <c r="AQ34" s="23">
        <v>690</v>
      </c>
      <c r="AR34" s="28">
        <v>25.6</v>
      </c>
      <c r="AS34" s="16">
        <f t="shared" si="31"/>
        <v>4.2666666666666672E-2</v>
      </c>
      <c r="AT34" s="28">
        <v>0.92800000000000005</v>
      </c>
    </row>
    <row r="35" spans="1:46" ht="15.75" customHeight="1" x14ac:dyDescent="0.2">
      <c r="B35" s="1">
        <v>6</v>
      </c>
      <c r="C35" s="23">
        <v>1555</v>
      </c>
      <c r="D35" s="17">
        <v>32.6</v>
      </c>
      <c r="E35" s="16">
        <f t="shared" si="23"/>
        <v>5.4333333333333338E-2</v>
      </c>
      <c r="F35" s="28">
        <v>0.94899999999999995</v>
      </c>
      <c r="G35" s="17">
        <v>1375</v>
      </c>
      <c r="H35" s="17">
        <v>21.6</v>
      </c>
      <c r="I35" s="16">
        <f t="shared" si="24"/>
        <v>3.6000000000000004E-2</v>
      </c>
      <c r="J35" s="28">
        <v>0.97299999999999998</v>
      </c>
      <c r="K35" s="23">
        <v>1180</v>
      </c>
      <c r="L35" s="28">
        <v>20.100000000000001</v>
      </c>
      <c r="M35" s="16">
        <f t="shared" si="25"/>
        <v>3.3500000000000002E-2</v>
      </c>
      <c r="N35" s="28">
        <v>0.97699999999999998</v>
      </c>
      <c r="O35" s="23">
        <v>1055</v>
      </c>
      <c r="P35" s="28">
        <v>18.7</v>
      </c>
      <c r="Q35" s="16">
        <f t="shared" si="26"/>
        <v>3.1166666666666665E-2</v>
      </c>
      <c r="R35" s="28">
        <v>0.97799999999999998</v>
      </c>
      <c r="S35" s="23">
        <v>850</v>
      </c>
      <c r="T35" s="28">
        <v>20.3</v>
      </c>
      <c r="U35" s="16">
        <f t="shared" si="27"/>
        <v>3.3833333333333333E-2</v>
      </c>
      <c r="V35" s="28">
        <v>0.97699999999999998</v>
      </c>
      <c r="Z35" s="1">
        <v>6</v>
      </c>
      <c r="AA35" s="23">
        <v>1555</v>
      </c>
      <c r="AB35" s="17">
        <v>40.5</v>
      </c>
      <c r="AC35" s="16">
        <f t="shared" si="32"/>
        <v>6.7500000000000004E-2</v>
      </c>
      <c r="AD35" s="28">
        <v>0.92200000000000004</v>
      </c>
      <c r="AE35" s="17">
        <v>1375</v>
      </c>
      <c r="AF35" s="17">
        <v>25.9</v>
      </c>
      <c r="AG35" s="16">
        <f t="shared" si="28"/>
        <v>4.3166666666666666E-2</v>
      </c>
      <c r="AH35" s="28">
        <v>0.96299999999999997</v>
      </c>
      <c r="AI35" s="23">
        <v>1180</v>
      </c>
      <c r="AJ35" s="28">
        <v>22.3</v>
      </c>
      <c r="AK35" s="16">
        <f t="shared" si="29"/>
        <v>3.7166666666666667E-2</v>
      </c>
      <c r="AL35" s="28">
        <v>0.97399999999999998</v>
      </c>
      <c r="AM35" s="23">
        <v>1055</v>
      </c>
      <c r="AN35" s="28">
        <v>20.399999999999999</v>
      </c>
      <c r="AO35" s="16">
        <f t="shared" si="30"/>
        <v>3.3999999999999996E-2</v>
      </c>
      <c r="AP35" s="28">
        <v>0.97599999999999998</v>
      </c>
      <c r="AQ35" s="23">
        <v>850</v>
      </c>
      <c r="AR35" s="28">
        <v>22.8</v>
      </c>
      <c r="AS35" s="16">
        <f t="shared" si="31"/>
        <v>3.7999999999999999E-2</v>
      </c>
      <c r="AT35" s="28">
        <v>0.97199999999999998</v>
      </c>
    </row>
    <row r="36" spans="1:46" ht="15.75" customHeight="1" x14ac:dyDescent="0.2">
      <c r="B36" s="1">
        <v>7</v>
      </c>
      <c r="C36" s="23">
        <v>1070</v>
      </c>
      <c r="D36" s="17">
        <v>11.8</v>
      </c>
      <c r="E36" s="16">
        <f t="shared" si="23"/>
        <v>1.9666666666666669E-2</v>
      </c>
      <c r="F36" s="28">
        <v>0.72799999999999998</v>
      </c>
      <c r="G36" s="17">
        <v>955</v>
      </c>
      <c r="H36" s="17">
        <v>10</v>
      </c>
      <c r="I36" s="16">
        <f t="shared" si="24"/>
        <v>1.6666666666666666E-2</v>
      </c>
      <c r="J36" s="28">
        <v>0.75900000000000001</v>
      </c>
      <c r="K36" s="23">
        <v>870</v>
      </c>
      <c r="L36" s="28">
        <v>11.3</v>
      </c>
      <c r="M36" s="16">
        <f t="shared" si="25"/>
        <v>1.8833333333333334E-2</v>
      </c>
      <c r="N36" s="28">
        <v>0.78500000000000003</v>
      </c>
      <c r="O36" s="23">
        <v>740</v>
      </c>
      <c r="P36" s="28">
        <v>9.9</v>
      </c>
      <c r="Q36" s="16">
        <f t="shared" si="26"/>
        <v>1.6500000000000001E-2</v>
      </c>
      <c r="R36" s="28">
        <v>0.81100000000000005</v>
      </c>
      <c r="S36" s="23">
        <v>585</v>
      </c>
      <c r="T36" s="28">
        <v>9.4</v>
      </c>
      <c r="U36" s="16">
        <f t="shared" si="27"/>
        <v>1.5666666666666666E-2</v>
      </c>
      <c r="V36" s="28">
        <v>0.84099999999999997</v>
      </c>
      <c r="Z36" s="1">
        <v>7</v>
      </c>
      <c r="AA36" s="23">
        <v>1070</v>
      </c>
      <c r="AB36" s="17">
        <v>14.2</v>
      </c>
      <c r="AC36" s="16">
        <f t="shared" si="32"/>
        <v>2.3666666666666666E-2</v>
      </c>
      <c r="AD36" s="28">
        <v>0.68100000000000005</v>
      </c>
      <c r="AE36" s="17">
        <v>955</v>
      </c>
      <c r="AF36" s="17">
        <v>11.6</v>
      </c>
      <c r="AG36" s="16">
        <f t="shared" si="28"/>
        <v>1.9333333333333334E-2</v>
      </c>
      <c r="AH36" s="28">
        <v>0.72799999999999998</v>
      </c>
      <c r="AI36" s="23">
        <v>870</v>
      </c>
      <c r="AJ36" s="28">
        <v>12</v>
      </c>
      <c r="AK36" s="16">
        <f t="shared" si="29"/>
        <v>0.02</v>
      </c>
      <c r="AL36" s="28">
        <v>0.77200000000000002</v>
      </c>
      <c r="AM36" s="23">
        <v>740</v>
      </c>
      <c r="AN36" s="28">
        <v>10.9</v>
      </c>
      <c r="AO36" s="16">
        <f t="shared" si="30"/>
        <v>1.8166666666666668E-2</v>
      </c>
      <c r="AP36" s="28">
        <v>0.77600000000000002</v>
      </c>
      <c r="AQ36" s="23">
        <v>585</v>
      </c>
      <c r="AR36" s="28">
        <v>10.1</v>
      </c>
      <c r="AS36" s="16">
        <f t="shared" si="31"/>
        <v>1.6833333333333332E-2</v>
      </c>
      <c r="AT36" s="28">
        <v>0.82</v>
      </c>
    </row>
    <row r="37" spans="1:46" ht="15.75" customHeight="1" x14ac:dyDescent="0.2">
      <c r="C37" s="23"/>
      <c r="D37" s="17"/>
      <c r="G37" s="17"/>
      <c r="H37" s="17"/>
      <c r="K37" s="23"/>
      <c r="O37" s="23"/>
      <c r="S37" s="23"/>
      <c r="AA37" s="23"/>
      <c r="AB37" s="17"/>
      <c r="AE37" s="17"/>
      <c r="AF37" s="17"/>
      <c r="AI37" s="23"/>
      <c r="AK37" s="16"/>
      <c r="AM37" s="23"/>
      <c r="AO37" s="16"/>
      <c r="AQ37" s="23"/>
      <c r="AR37" s="1"/>
      <c r="AS37" s="16"/>
    </row>
    <row r="38" spans="1:46" ht="15.75" customHeight="1" x14ac:dyDescent="0.2">
      <c r="B38" s="1" t="s">
        <v>11</v>
      </c>
      <c r="C38" s="23"/>
      <c r="D38" s="9">
        <f>SUMPRODUCT(C29:C36,D29:D36)/SUM(C29:C36)</f>
        <v>24.7591688905833</v>
      </c>
      <c r="E38" s="20">
        <f>SUMPRODUCT(C29:C36,E29:E36)/SUM(C29:C36)</f>
        <v>4.1265281484305499E-2</v>
      </c>
      <c r="F38" s="20">
        <f>SUMPRODUCT(C29:C36,F29:F36)/SUM(C29:C36)</f>
        <v>0.92879031643156684</v>
      </c>
      <c r="G38" s="17"/>
      <c r="H38" s="9">
        <f>SUMPRODUCT(G29:G36,H29:H36)/SUM(G29:G36)</f>
        <v>19.414665523156089</v>
      </c>
      <c r="I38" s="20">
        <f>SUMPRODUCT(G29:G36,I29:I36)/SUM(G29:G36)</f>
        <v>3.2357775871926814E-2</v>
      </c>
      <c r="J38" s="20">
        <f>SUMPRODUCT(G29:G36,J29:J36)/SUM(G29:G36)</f>
        <v>0.94870626072041153</v>
      </c>
      <c r="K38" s="23"/>
      <c r="L38" s="9">
        <f>SUMPRODUCT(K29:K36,L29:L36)/SUM(K29:K36)</f>
        <v>18.780735294117648</v>
      </c>
      <c r="M38" s="20">
        <f>SUMPRODUCT(K29:K36,M29:M36)/SUM(K29:K36)</f>
        <v>3.130122549019608E-2</v>
      </c>
      <c r="N38" s="20">
        <f>SUMPRODUCT(K29:K36,N29:N36)/SUM(K29:K36)</f>
        <v>0.95094656862745108</v>
      </c>
      <c r="O38" s="23"/>
      <c r="P38" s="9">
        <f>SUMPRODUCT(O29:O36,P29:P36)/SUM(O29:O36)</f>
        <v>18.595082904516868</v>
      </c>
      <c r="Q38" s="20">
        <f>SUMPRODUCT(O29:O36,Q29:Q36)/SUM(O29:O36)</f>
        <v>3.0991804840861441E-2</v>
      </c>
      <c r="R38" s="20">
        <f>SUMPRODUCT(O29:O36,R29:R36)/SUM(O29:O36)</f>
        <v>0.95328130360205832</v>
      </c>
      <c r="S38" s="23"/>
      <c r="T38" s="9">
        <f>SUMPRODUCT(S29:S36,T29:T36)/SUM(S29:S36)</f>
        <v>18.006863417982157</v>
      </c>
      <c r="U38" s="20">
        <f>SUMPRODUCT(S29:S36,U29:U36)/SUM(S29:S36)</f>
        <v>3.0011439029970256E-2</v>
      </c>
      <c r="V38" s="20">
        <f>SUMPRODUCT(S29:S36,V29:V36)/SUM(S29:S36)</f>
        <v>0.95771791352093327</v>
      </c>
      <c r="Z38" s="1" t="s">
        <v>11</v>
      </c>
      <c r="AA38" s="23"/>
      <c r="AB38" s="9">
        <f>SUMPRODUCT(AA29:AA36,AB29:AB36)/SUM(AA29:AA36)</f>
        <v>29.584597788791459</v>
      </c>
      <c r="AC38" s="20">
        <f>SUMPRODUCT(AA29:AA36,AC29:AC36)/SUM(AA29:AA36)</f>
        <v>4.9307662981319104E-2</v>
      </c>
      <c r="AD38" s="20">
        <f>SUMPRODUCT(AA29:AA36,AD29:AD36)/SUM(AA29:AA36)</f>
        <v>0.9071052230270682</v>
      </c>
      <c r="AE38" s="17"/>
      <c r="AF38" s="9">
        <f>SUMPRODUCT(AE29:AE36,AF29:AF36)/SUM(AE29:AE36)</f>
        <v>23.258061749571183</v>
      </c>
      <c r="AG38" s="20">
        <f>SUMPRODUCT(AE29:AE36,AG29:AG36)/SUM(AE29:AE36)</f>
        <v>3.8763436249285299E-2</v>
      </c>
      <c r="AH38" s="20">
        <f>SUMPRODUCT(AE29:AE36,AH29:AH36)/SUM(AE29:AE36)</f>
        <v>0.93521226415094327</v>
      </c>
      <c r="AI38" s="23"/>
      <c r="AJ38" s="9">
        <f>SUMPRODUCT(AI29:AI36,AJ29:AJ36)/SUM(AI29:AI36)</f>
        <v>21.047549019607843</v>
      </c>
      <c r="AK38" s="20">
        <f>SUMPRODUCT(AI29:AI36,AK29:AK36)/SUM(AI29:AI36)</f>
        <v>3.5079248366013074E-2</v>
      </c>
      <c r="AL38" s="20">
        <f>SUMPRODUCT(AI29:AI36,AL29:AL36)/SUM(AI29:AI36)</f>
        <v>0.94349313725490191</v>
      </c>
      <c r="AM38" s="23"/>
      <c r="AN38" s="9">
        <f>SUMPRODUCT(AM29:AM36,AN29:AN36)/SUM(AM29:AM36)</f>
        <v>20.055688965122929</v>
      </c>
      <c r="AO38" s="20">
        <f>SUMPRODUCT(AM29:AM36,AO29:AO36)/SUM(AM29:AM36)</f>
        <v>3.3426148275204882E-2</v>
      </c>
      <c r="AP38" s="20">
        <f>SUMPRODUCT(AM29:AM36,AP29:AP36)/SUM(AM29:AM36)</f>
        <v>0.94799028016009157</v>
      </c>
      <c r="AQ38" s="23"/>
      <c r="AR38" s="9">
        <f>SUMPRODUCT(AQ29:AQ36,AR29:AR36)/SUM(AQ29:AQ36)</f>
        <v>19.969320521619768</v>
      </c>
      <c r="AS38" s="20">
        <f>SUMPRODUCT(AQ29:AQ36,AS29:AS36)/SUM(AQ29:AQ36)</f>
        <v>3.3282200869366278E-2</v>
      </c>
      <c r="AT38" s="20">
        <f>SUMPRODUCT(AQ29:AQ36,AT29:AT36)/SUM(AQ29:AQ36)</f>
        <v>0.95150514756348648</v>
      </c>
    </row>
    <row r="39" spans="1:46" ht="15.75" customHeight="1" x14ac:dyDescent="0.2"/>
    <row r="40" spans="1:46" ht="15.75" customHeight="1" x14ac:dyDescent="0.2">
      <c r="C40" s="1">
        <f>SUM(C29:C36)</f>
        <v>13115</v>
      </c>
      <c r="G40" s="1">
        <f>SUM(G29:G36)</f>
        <v>11660</v>
      </c>
      <c r="K40" s="1">
        <f>SUM(K29:K36)</f>
        <v>10200</v>
      </c>
      <c r="O40" s="1">
        <f>SUM(O29:O36)</f>
        <v>8745</v>
      </c>
      <c r="S40" s="1">
        <f>SUM(S29:S36)</f>
        <v>7285</v>
      </c>
      <c r="AA40" s="1"/>
      <c r="AE40" s="1"/>
      <c r="AI40" s="1"/>
      <c r="AM40" s="1"/>
      <c r="AQ40" s="1"/>
    </row>
    <row r="41" spans="1:46" ht="15.75" customHeight="1" x14ac:dyDescent="0.2"/>
    <row r="42" spans="1:46" ht="15.75" customHeight="1" x14ac:dyDescent="0.2">
      <c r="Y42" s="1" t="s">
        <v>24</v>
      </c>
      <c r="AB42" s="134">
        <v>0.1</v>
      </c>
      <c r="AC42" s="133"/>
      <c r="AD42" s="133"/>
      <c r="AE42" s="2"/>
      <c r="AF42" s="134">
        <v>0.2</v>
      </c>
      <c r="AG42" s="133"/>
      <c r="AH42" s="133"/>
      <c r="AI42" s="2"/>
      <c r="AJ42" s="134">
        <v>0.3</v>
      </c>
      <c r="AK42" s="133"/>
      <c r="AL42" s="133"/>
      <c r="AM42" s="2"/>
      <c r="AN42" s="134">
        <v>0.4</v>
      </c>
      <c r="AO42" s="133"/>
      <c r="AP42" s="133"/>
      <c r="AQ42" s="2"/>
      <c r="AR42" s="134">
        <v>0.5</v>
      </c>
      <c r="AS42" s="133"/>
      <c r="AT42" s="133"/>
    </row>
    <row r="43" spans="1:46" ht="15.75" customHeight="1" thickBot="1" x14ac:dyDescent="0.25">
      <c r="A43" s="1" t="s">
        <v>24</v>
      </c>
      <c r="D43" s="134">
        <v>0.1</v>
      </c>
      <c r="E43" s="133"/>
      <c r="F43" s="133"/>
      <c r="G43" s="2"/>
      <c r="H43" s="134">
        <v>0.2</v>
      </c>
      <c r="I43" s="133"/>
      <c r="J43" s="133"/>
      <c r="K43" s="2"/>
      <c r="L43" s="134">
        <v>0.3</v>
      </c>
      <c r="M43" s="133"/>
      <c r="N43" s="133"/>
      <c r="O43" s="2"/>
      <c r="P43" s="134">
        <v>0.4</v>
      </c>
      <c r="Q43" s="133"/>
      <c r="R43" s="133"/>
      <c r="S43" s="2"/>
      <c r="T43" s="134">
        <v>0.5</v>
      </c>
      <c r="U43" s="133"/>
      <c r="V43" s="133"/>
      <c r="Z43" s="13" t="s">
        <v>8</v>
      </c>
      <c r="AA43" s="22"/>
      <c r="AB43" s="14" t="s">
        <v>7</v>
      </c>
      <c r="AC43" s="13" t="s">
        <v>9</v>
      </c>
      <c r="AD43" s="13" t="s">
        <v>10</v>
      </c>
      <c r="AE43" s="22" t="s">
        <v>22</v>
      </c>
      <c r="AF43" s="14" t="s">
        <v>7</v>
      </c>
      <c r="AG43" s="13" t="s">
        <v>9</v>
      </c>
      <c r="AH43" s="13" t="s">
        <v>10</v>
      </c>
      <c r="AI43" s="22" t="s">
        <v>22</v>
      </c>
      <c r="AJ43" s="13" t="s">
        <v>7</v>
      </c>
      <c r="AK43" s="13" t="s">
        <v>9</v>
      </c>
      <c r="AL43" s="13" t="s">
        <v>10</v>
      </c>
      <c r="AM43" s="22" t="s">
        <v>22</v>
      </c>
      <c r="AN43" s="13" t="s">
        <v>7</v>
      </c>
      <c r="AO43" s="13" t="s">
        <v>9</v>
      </c>
      <c r="AP43" s="13" t="s">
        <v>10</v>
      </c>
      <c r="AQ43" s="22" t="s">
        <v>22</v>
      </c>
      <c r="AR43" s="13" t="s">
        <v>7</v>
      </c>
      <c r="AS43" s="13" t="s">
        <v>9</v>
      </c>
      <c r="AT43" s="13" t="s">
        <v>10</v>
      </c>
    </row>
    <row r="44" spans="1:46" ht="15.75" customHeight="1" thickBot="1" x14ac:dyDescent="0.25">
      <c r="B44" s="13" t="s">
        <v>8</v>
      </c>
      <c r="C44" s="22" t="s">
        <v>22</v>
      </c>
      <c r="D44" s="14" t="s">
        <v>7</v>
      </c>
      <c r="E44" s="13" t="s">
        <v>9</v>
      </c>
      <c r="F44" s="13" t="s">
        <v>10</v>
      </c>
      <c r="G44" s="22" t="s">
        <v>22</v>
      </c>
      <c r="H44" s="14" t="s">
        <v>7</v>
      </c>
      <c r="I44" s="13" t="s">
        <v>9</v>
      </c>
      <c r="J44" s="13" t="s">
        <v>10</v>
      </c>
      <c r="K44" s="22" t="s">
        <v>22</v>
      </c>
      <c r="L44" s="13" t="s">
        <v>7</v>
      </c>
      <c r="M44" s="13" t="s">
        <v>9</v>
      </c>
      <c r="N44" s="13" t="s">
        <v>10</v>
      </c>
      <c r="O44" s="22" t="s">
        <v>22</v>
      </c>
      <c r="P44" s="13" t="s">
        <v>7</v>
      </c>
      <c r="Q44" s="13" t="s">
        <v>9</v>
      </c>
      <c r="R44" s="13" t="s">
        <v>10</v>
      </c>
      <c r="S44" s="22" t="s">
        <v>22</v>
      </c>
      <c r="T44" s="13" t="s">
        <v>7</v>
      </c>
      <c r="U44" s="13" t="s">
        <v>9</v>
      </c>
      <c r="V44" s="13" t="s">
        <v>10</v>
      </c>
      <c r="Z44" s="1">
        <v>0</v>
      </c>
      <c r="AA44" s="23">
        <v>2520</v>
      </c>
      <c r="AB44" s="17">
        <v>29.6</v>
      </c>
      <c r="AC44" s="16">
        <f>AB44/$A$5</f>
        <v>4.9333333333333333E-2</v>
      </c>
      <c r="AD44" s="28">
        <v>0.94</v>
      </c>
      <c r="AE44" s="17">
        <v>2205</v>
      </c>
      <c r="AF44" s="17">
        <v>21.9</v>
      </c>
      <c r="AG44" s="16">
        <f>AF44/$A$5</f>
        <v>3.6499999999999998E-2</v>
      </c>
      <c r="AH44" s="28">
        <v>0.96599999999999997</v>
      </c>
      <c r="AI44" s="23">
        <v>1955</v>
      </c>
      <c r="AJ44" s="17">
        <v>23</v>
      </c>
      <c r="AK44" s="16">
        <f>AJ44/$A$5</f>
        <v>3.833333333333333E-2</v>
      </c>
      <c r="AL44" s="28">
        <v>0.96299999999999997</v>
      </c>
      <c r="AM44" s="23">
        <v>1655</v>
      </c>
      <c r="AN44" s="17">
        <v>21.1</v>
      </c>
      <c r="AO44" s="16">
        <f>AN44/$A$5</f>
        <v>3.5166666666666672E-2</v>
      </c>
      <c r="AP44" s="28">
        <v>0.96799999999999997</v>
      </c>
      <c r="AQ44" s="23">
        <v>1355</v>
      </c>
      <c r="AR44" s="17">
        <v>20.2</v>
      </c>
      <c r="AS44" s="16">
        <f>AR44/$A$5</f>
        <v>3.3666666666666664E-2</v>
      </c>
      <c r="AT44" s="28">
        <v>0.97099999999999997</v>
      </c>
    </row>
    <row r="45" spans="1:46" ht="15.75" customHeight="1" x14ac:dyDescent="0.2">
      <c r="B45" s="1">
        <v>0</v>
      </c>
      <c r="C45" s="23">
        <v>2520</v>
      </c>
      <c r="D45" s="17">
        <v>25.3</v>
      </c>
      <c r="E45" s="16">
        <f t="shared" ref="E45:E52" si="33">D45/$A$5</f>
        <v>4.2166666666666665E-2</v>
      </c>
      <c r="F45" s="28">
        <v>0.95399999999999996</v>
      </c>
      <c r="G45" s="17">
        <v>2205</v>
      </c>
      <c r="H45" s="17">
        <v>20.2</v>
      </c>
      <c r="I45" s="16">
        <f t="shared" ref="I45:I52" si="34">H45/$A$5</f>
        <v>3.3666666666666664E-2</v>
      </c>
      <c r="J45" s="28">
        <v>0.97</v>
      </c>
      <c r="K45" s="23">
        <v>1955</v>
      </c>
      <c r="L45" s="28">
        <v>20.3</v>
      </c>
      <c r="M45" s="16">
        <f t="shared" ref="M45:M52" si="35">L45/$A$5</f>
        <v>3.3833333333333333E-2</v>
      </c>
      <c r="N45" s="28">
        <v>0.96899999999999997</v>
      </c>
      <c r="O45" s="23">
        <v>1655</v>
      </c>
      <c r="P45" s="28">
        <v>19</v>
      </c>
      <c r="Q45" s="16">
        <f t="shared" ref="Q45:Q52" si="36">P45/$A$5</f>
        <v>3.1666666666666669E-2</v>
      </c>
      <c r="R45" s="1">
        <v>0.97199999999999998</v>
      </c>
      <c r="S45" s="23">
        <v>1355</v>
      </c>
      <c r="T45" s="28">
        <v>18.3</v>
      </c>
      <c r="U45" s="16">
        <f t="shared" ref="U45:U52" si="37">T45/$A$5</f>
        <v>3.0500000000000003E-2</v>
      </c>
      <c r="V45" s="28">
        <v>0.97499999999999998</v>
      </c>
      <c r="Z45" s="1">
        <v>1</v>
      </c>
      <c r="AA45" s="23">
        <v>2530</v>
      </c>
      <c r="AB45" s="17">
        <v>29.2</v>
      </c>
      <c r="AC45" s="16">
        <f t="shared" ref="AC45:AC51" si="38">AB45/$A$5</f>
        <v>4.8666666666666664E-2</v>
      </c>
      <c r="AD45" s="28">
        <v>0.95599999999999996</v>
      </c>
      <c r="AE45" s="17">
        <v>2235</v>
      </c>
      <c r="AF45" s="17">
        <v>21.3</v>
      </c>
      <c r="AG45" s="16">
        <f t="shared" ref="AG45:AG51" si="39">AF45/$A$5</f>
        <v>3.5500000000000004E-2</v>
      </c>
      <c r="AH45" s="28">
        <v>0.97399999999999998</v>
      </c>
      <c r="AI45" s="23">
        <v>2010</v>
      </c>
      <c r="AJ45" s="17">
        <v>19.5</v>
      </c>
      <c r="AK45" s="16">
        <f t="shared" ref="AK45:AK51" si="40">AJ45/$A$5</f>
        <v>3.2500000000000001E-2</v>
      </c>
      <c r="AL45" s="28">
        <v>0.97599999999999998</v>
      </c>
      <c r="AM45" s="23">
        <v>1770</v>
      </c>
      <c r="AN45" s="17">
        <v>20.100000000000001</v>
      </c>
      <c r="AO45" s="16">
        <f t="shared" ref="AO45:AO51" si="41">AN45/$A$5</f>
        <v>3.3500000000000002E-2</v>
      </c>
      <c r="AP45" s="28">
        <v>0.97599999999999998</v>
      </c>
      <c r="AQ45" s="23">
        <v>1480</v>
      </c>
      <c r="AR45" s="17">
        <v>18.3</v>
      </c>
      <c r="AS45" s="16">
        <f t="shared" ref="AS45:AS51" si="42">AR45/$A$5</f>
        <v>3.0500000000000003E-2</v>
      </c>
      <c r="AT45" s="28">
        <v>0.97899999999999998</v>
      </c>
    </row>
    <row r="46" spans="1:46" ht="15.75" customHeight="1" x14ac:dyDescent="0.2">
      <c r="B46" s="1">
        <v>1</v>
      </c>
      <c r="C46" s="23">
        <v>2530</v>
      </c>
      <c r="D46" s="17">
        <v>23</v>
      </c>
      <c r="E46" s="16">
        <f t="shared" si="33"/>
        <v>3.833333333333333E-2</v>
      </c>
      <c r="F46" s="28">
        <v>0.96899999999999997</v>
      </c>
      <c r="G46" s="17">
        <v>2235</v>
      </c>
      <c r="H46" s="17">
        <v>18.7</v>
      </c>
      <c r="I46" s="16">
        <f t="shared" si="34"/>
        <v>3.1166666666666665E-2</v>
      </c>
      <c r="J46" s="28">
        <v>0.97899999999999998</v>
      </c>
      <c r="K46" s="23">
        <v>2010</v>
      </c>
      <c r="L46" s="28">
        <v>16.7</v>
      </c>
      <c r="M46" s="16">
        <f t="shared" si="35"/>
        <v>2.7833333333333331E-2</v>
      </c>
      <c r="N46" s="28">
        <v>0.98099999999999998</v>
      </c>
      <c r="O46" s="23">
        <v>1770</v>
      </c>
      <c r="P46" s="28">
        <v>17.7</v>
      </c>
      <c r="Q46" s="16">
        <f t="shared" si="36"/>
        <v>2.9499999999999998E-2</v>
      </c>
      <c r="R46" s="1">
        <v>0.98099999999999998</v>
      </c>
      <c r="S46" s="23">
        <v>1480</v>
      </c>
      <c r="T46" s="28">
        <v>16.899999999999999</v>
      </c>
      <c r="U46" s="16">
        <f t="shared" si="37"/>
        <v>2.8166666666666663E-2</v>
      </c>
      <c r="V46" s="28">
        <v>0.98099999999999998</v>
      </c>
      <c r="Z46" s="1">
        <v>2</v>
      </c>
      <c r="AA46" s="23">
        <v>1640</v>
      </c>
      <c r="AB46" s="17">
        <v>13.1</v>
      </c>
      <c r="AC46" s="16">
        <f t="shared" si="38"/>
        <v>2.1833333333333333E-2</v>
      </c>
      <c r="AD46" s="28">
        <v>0.45500000000000002</v>
      </c>
      <c r="AE46" s="17">
        <v>1430</v>
      </c>
      <c r="AF46" s="17">
        <v>9.6999999999999993</v>
      </c>
      <c r="AG46" s="16">
        <f t="shared" si="39"/>
        <v>1.6166666666666666E-2</v>
      </c>
      <c r="AH46" s="28">
        <v>0.74399999999999999</v>
      </c>
      <c r="AI46" s="23">
        <v>1275</v>
      </c>
      <c r="AJ46" s="17">
        <v>9.6</v>
      </c>
      <c r="AK46" s="16">
        <f t="shared" si="40"/>
        <v>1.6E-2</v>
      </c>
      <c r="AL46" s="28">
        <v>0.753</v>
      </c>
      <c r="AM46" s="23">
        <v>1020</v>
      </c>
      <c r="AN46" s="17">
        <v>9.1999999999999993</v>
      </c>
      <c r="AO46" s="16">
        <f t="shared" si="41"/>
        <v>1.5333333333333332E-2</v>
      </c>
      <c r="AP46" s="28">
        <v>0.75900000000000001</v>
      </c>
      <c r="AQ46" s="23">
        <v>835</v>
      </c>
      <c r="AR46" s="17">
        <v>9.3000000000000007</v>
      </c>
      <c r="AS46" s="16">
        <f t="shared" si="42"/>
        <v>1.5500000000000002E-2</v>
      </c>
      <c r="AT46" s="28">
        <v>0.76700000000000002</v>
      </c>
    </row>
    <row r="47" spans="1:46" ht="15.75" customHeight="1" x14ac:dyDescent="0.2">
      <c r="B47" s="1">
        <v>2</v>
      </c>
      <c r="C47" s="23">
        <v>1640</v>
      </c>
      <c r="D47" s="17">
        <v>12.8</v>
      </c>
      <c r="E47" s="16">
        <f t="shared" si="33"/>
        <v>2.1333333333333336E-2</v>
      </c>
      <c r="F47" s="28">
        <v>0.46500000000000002</v>
      </c>
      <c r="G47" s="17">
        <v>1430</v>
      </c>
      <c r="H47" s="17">
        <v>9.6</v>
      </c>
      <c r="I47" s="16">
        <f t="shared" si="34"/>
        <v>1.6E-2</v>
      </c>
      <c r="J47" s="28">
        <v>0.73199999999999998</v>
      </c>
      <c r="K47" s="23">
        <v>1275</v>
      </c>
      <c r="L47" s="28">
        <v>9</v>
      </c>
      <c r="M47" s="16">
        <f t="shared" si="35"/>
        <v>1.4999999999999999E-2</v>
      </c>
      <c r="N47" s="28">
        <v>0.76</v>
      </c>
      <c r="O47" s="23">
        <v>1020</v>
      </c>
      <c r="P47" s="28">
        <v>8.9</v>
      </c>
      <c r="Q47" s="16">
        <f t="shared" si="36"/>
        <v>1.4833333333333334E-2</v>
      </c>
      <c r="R47" s="1">
        <v>0.76700000000000002</v>
      </c>
      <c r="S47" s="23">
        <v>835</v>
      </c>
      <c r="T47" s="28">
        <v>9.1</v>
      </c>
      <c r="U47" s="16">
        <f t="shared" si="37"/>
        <v>1.5166666666666667E-2</v>
      </c>
      <c r="V47" s="28">
        <v>0.76900000000000002</v>
      </c>
      <c r="Z47" s="1">
        <v>3</v>
      </c>
      <c r="AA47" s="23">
        <v>1700</v>
      </c>
      <c r="AB47" s="17">
        <v>34.200000000000003</v>
      </c>
      <c r="AC47" s="16">
        <f t="shared" si="38"/>
        <v>5.7000000000000002E-2</v>
      </c>
      <c r="AD47" s="28">
        <v>0.94799999999999995</v>
      </c>
      <c r="AE47" s="17">
        <v>1475</v>
      </c>
      <c r="AF47" s="17">
        <v>22.7</v>
      </c>
      <c r="AG47" s="16">
        <f t="shared" si="39"/>
        <v>3.783333333333333E-2</v>
      </c>
      <c r="AH47" s="28">
        <v>0.97499999999999998</v>
      </c>
      <c r="AI47" s="23">
        <v>1270</v>
      </c>
      <c r="AJ47" s="17">
        <v>21.4</v>
      </c>
      <c r="AK47" s="16">
        <f t="shared" si="40"/>
        <v>3.5666666666666666E-2</v>
      </c>
      <c r="AL47" s="28">
        <v>0.97699999999999998</v>
      </c>
      <c r="AM47" s="23">
        <v>1060</v>
      </c>
      <c r="AN47" s="17">
        <v>20.8</v>
      </c>
      <c r="AO47" s="16">
        <f t="shared" si="41"/>
        <v>3.4666666666666665E-2</v>
      </c>
      <c r="AP47" s="28">
        <v>0.97599999999999998</v>
      </c>
      <c r="AQ47" s="23">
        <v>905</v>
      </c>
      <c r="AR47" s="17">
        <v>21.3</v>
      </c>
      <c r="AS47" s="16">
        <f t="shared" si="42"/>
        <v>3.5500000000000004E-2</v>
      </c>
      <c r="AT47" s="28">
        <v>0.97599999999999998</v>
      </c>
    </row>
    <row r="48" spans="1:46" ht="15.75" customHeight="1" x14ac:dyDescent="0.2">
      <c r="B48" s="1">
        <v>3</v>
      </c>
      <c r="C48" s="23">
        <v>1700</v>
      </c>
      <c r="D48" s="17">
        <v>26.5</v>
      </c>
      <c r="E48" s="16">
        <f t="shared" si="33"/>
        <v>4.4166666666666667E-2</v>
      </c>
      <c r="F48" s="28">
        <v>0.96699999999999997</v>
      </c>
      <c r="G48" s="17">
        <v>1475</v>
      </c>
      <c r="H48" s="17">
        <v>19.3</v>
      </c>
      <c r="I48" s="16">
        <f t="shared" si="34"/>
        <v>3.216666666666667E-2</v>
      </c>
      <c r="J48" s="28">
        <v>0.98</v>
      </c>
      <c r="K48" s="23">
        <v>1270</v>
      </c>
      <c r="L48" s="28">
        <v>18.399999999999999</v>
      </c>
      <c r="M48" s="16">
        <f t="shared" si="35"/>
        <v>3.0666666666666665E-2</v>
      </c>
      <c r="N48" s="28">
        <v>0.98099999999999998</v>
      </c>
      <c r="O48" s="23">
        <v>1060</v>
      </c>
      <c r="P48" s="28">
        <v>20.100000000000001</v>
      </c>
      <c r="Q48" s="16">
        <f t="shared" si="36"/>
        <v>3.3500000000000002E-2</v>
      </c>
      <c r="R48" s="28">
        <v>0.97699999999999998</v>
      </c>
      <c r="S48" s="23">
        <v>905</v>
      </c>
      <c r="T48" s="28">
        <v>19.600000000000001</v>
      </c>
      <c r="U48" s="16">
        <f t="shared" si="37"/>
        <v>3.266666666666667E-2</v>
      </c>
      <c r="V48" s="28">
        <v>0.97899999999999998</v>
      </c>
      <c r="Z48" s="1">
        <v>4</v>
      </c>
      <c r="AA48" s="23">
        <v>740</v>
      </c>
      <c r="AB48" s="17">
        <v>59.6</v>
      </c>
      <c r="AC48" s="16">
        <f t="shared" si="38"/>
        <v>9.9333333333333329E-2</v>
      </c>
      <c r="AD48" s="28">
        <v>0.81</v>
      </c>
      <c r="AE48" s="17">
        <v>675</v>
      </c>
      <c r="AF48" s="17">
        <v>53.6</v>
      </c>
      <c r="AG48" s="16">
        <f t="shared" si="39"/>
        <v>8.9333333333333334E-2</v>
      </c>
      <c r="AH48" s="28">
        <v>0.83099999999999996</v>
      </c>
      <c r="AI48" s="23">
        <v>585</v>
      </c>
      <c r="AJ48" s="17">
        <v>38.700000000000003</v>
      </c>
      <c r="AK48" s="16">
        <f t="shared" si="40"/>
        <v>6.4500000000000002E-2</v>
      </c>
      <c r="AL48" s="28">
        <v>0.92</v>
      </c>
      <c r="AM48" s="23">
        <v>520</v>
      </c>
      <c r="AN48" s="17">
        <v>33.9</v>
      </c>
      <c r="AO48" s="16">
        <f t="shared" si="41"/>
        <v>5.6499999999999995E-2</v>
      </c>
      <c r="AP48" s="28">
        <v>0.93200000000000005</v>
      </c>
      <c r="AQ48" s="23">
        <v>440</v>
      </c>
      <c r="AR48" s="17">
        <v>28.1</v>
      </c>
      <c r="AS48" s="16">
        <f t="shared" si="42"/>
        <v>4.6833333333333338E-2</v>
      </c>
      <c r="AT48" s="28">
        <v>0.95699999999999996</v>
      </c>
    </row>
    <row r="49" spans="1:46" ht="15.75" customHeight="1" x14ac:dyDescent="0.2">
      <c r="B49" s="1">
        <v>4</v>
      </c>
      <c r="C49" s="23">
        <v>740</v>
      </c>
      <c r="D49" s="17">
        <v>51</v>
      </c>
      <c r="E49" s="16">
        <f t="shared" si="33"/>
        <v>8.5000000000000006E-2</v>
      </c>
      <c r="F49" s="28">
        <v>0.85499999999999998</v>
      </c>
      <c r="G49" s="17">
        <v>675</v>
      </c>
      <c r="H49" s="17">
        <v>38.700000000000003</v>
      </c>
      <c r="I49" s="16">
        <f t="shared" si="34"/>
        <v>6.4500000000000002E-2</v>
      </c>
      <c r="J49" s="28">
        <v>0.90200000000000002</v>
      </c>
      <c r="K49" s="23">
        <v>585</v>
      </c>
      <c r="L49" s="28">
        <v>30</v>
      </c>
      <c r="M49" s="16">
        <f t="shared" si="35"/>
        <v>0.05</v>
      </c>
      <c r="N49" s="28">
        <v>0.95099999999999996</v>
      </c>
      <c r="O49" s="23">
        <v>520</v>
      </c>
      <c r="P49" s="28">
        <v>27.1</v>
      </c>
      <c r="Q49" s="16">
        <f t="shared" si="36"/>
        <v>4.5166666666666667E-2</v>
      </c>
      <c r="R49" s="28">
        <v>0.95599999999999996</v>
      </c>
      <c r="S49" s="23">
        <v>440</v>
      </c>
      <c r="T49" s="28">
        <v>23.4</v>
      </c>
      <c r="U49" s="16">
        <f t="shared" si="37"/>
        <v>3.9E-2</v>
      </c>
      <c r="V49" s="28">
        <v>0.96799999999999997</v>
      </c>
      <c r="Z49" s="1">
        <v>5</v>
      </c>
      <c r="AA49" s="23">
        <v>2030</v>
      </c>
      <c r="AB49" s="17">
        <v>25.2</v>
      </c>
      <c r="AC49" s="16">
        <f t="shared" si="38"/>
        <v>4.1999999999999996E-2</v>
      </c>
      <c r="AD49" s="28">
        <v>0.96499999999999997</v>
      </c>
      <c r="AE49" s="17">
        <v>1890</v>
      </c>
      <c r="AF49" s="17">
        <v>23.1</v>
      </c>
      <c r="AG49" s="16">
        <f t="shared" si="39"/>
        <v>3.85E-2</v>
      </c>
      <c r="AH49" s="28">
        <v>0.96899999999999997</v>
      </c>
      <c r="AI49" s="23">
        <v>1570</v>
      </c>
      <c r="AJ49" s="17">
        <v>19.600000000000001</v>
      </c>
      <c r="AK49" s="16">
        <f t="shared" si="40"/>
        <v>3.266666666666667E-2</v>
      </c>
      <c r="AL49" s="28">
        <v>0.97699999999999998</v>
      </c>
      <c r="AM49" s="23">
        <v>1390</v>
      </c>
      <c r="AN49" s="17">
        <v>20.100000000000001</v>
      </c>
      <c r="AO49" s="16">
        <f t="shared" si="41"/>
        <v>3.3500000000000002E-2</v>
      </c>
      <c r="AP49" s="28">
        <v>0.97599999999999998</v>
      </c>
      <c r="AQ49" s="23">
        <v>1145</v>
      </c>
      <c r="AR49" s="17">
        <v>21</v>
      </c>
      <c r="AS49" s="16">
        <f t="shared" si="42"/>
        <v>3.5000000000000003E-2</v>
      </c>
      <c r="AT49" s="28">
        <v>0.97399999999999998</v>
      </c>
    </row>
    <row r="50" spans="1:46" ht="15.75" customHeight="1" x14ac:dyDescent="0.2">
      <c r="B50" s="1">
        <v>5</v>
      </c>
      <c r="C50" s="23">
        <v>2030</v>
      </c>
      <c r="D50" s="17">
        <v>20.8</v>
      </c>
      <c r="E50" s="16">
        <f t="shared" si="33"/>
        <v>3.4666666666666665E-2</v>
      </c>
      <c r="F50" s="28">
        <v>0.97299999999999998</v>
      </c>
      <c r="G50" s="17">
        <v>1890</v>
      </c>
      <c r="H50" s="17">
        <v>20.5</v>
      </c>
      <c r="I50" s="16">
        <f t="shared" si="34"/>
        <v>3.4166666666666665E-2</v>
      </c>
      <c r="J50" s="28">
        <v>0.97399999999999998</v>
      </c>
      <c r="K50" s="23">
        <v>1570</v>
      </c>
      <c r="L50" s="28">
        <v>18.3</v>
      </c>
      <c r="M50" s="16">
        <f t="shared" si="35"/>
        <v>3.0500000000000003E-2</v>
      </c>
      <c r="N50" s="28">
        <v>0.98</v>
      </c>
      <c r="O50" s="23">
        <v>1390</v>
      </c>
      <c r="P50" s="28">
        <v>18.2</v>
      </c>
      <c r="Q50" s="16">
        <f t="shared" si="36"/>
        <v>3.0333333333333334E-2</v>
      </c>
      <c r="R50" s="28">
        <v>0.97899999999999998</v>
      </c>
      <c r="S50" s="23">
        <v>1145</v>
      </c>
      <c r="T50" s="28">
        <v>19.600000000000001</v>
      </c>
      <c r="U50" s="16">
        <f t="shared" si="37"/>
        <v>3.266666666666667E-2</v>
      </c>
      <c r="V50" s="28">
        <v>0.97599999999999998</v>
      </c>
      <c r="Z50" s="1">
        <v>6</v>
      </c>
      <c r="AA50" s="23">
        <v>850</v>
      </c>
      <c r="AB50" s="17">
        <v>57.5</v>
      </c>
      <c r="AC50" s="16">
        <f t="shared" si="38"/>
        <v>9.583333333333334E-2</v>
      </c>
      <c r="AD50" s="28">
        <v>0.78500000000000003</v>
      </c>
      <c r="AE50" s="17">
        <v>785</v>
      </c>
      <c r="AF50" s="17">
        <v>38.9</v>
      </c>
      <c r="AG50" s="16">
        <f t="shared" si="39"/>
        <v>6.4833333333333326E-2</v>
      </c>
      <c r="AH50" s="28">
        <v>0.90800000000000003</v>
      </c>
      <c r="AI50" s="23">
        <v>695</v>
      </c>
      <c r="AJ50" s="17">
        <v>35.799999999999997</v>
      </c>
      <c r="AK50" s="16">
        <f t="shared" si="40"/>
        <v>5.966666666666666E-2</v>
      </c>
      <c r="AL50" s="28">
        <v>0.91</v>
      </c>
      <c r="AM50" s="23">
        <v>585</v>
      </c>
      <c r="AN50" s="17">
        <v>27.9</v>
      </c>
      <c r="AO50" s="16">
        <f t="shared" si="41"/>
        <v>4.65E-2</v>
      </c>
      <c r="AP50" s="28">
        <v>0.94699999999999995</v>
      </c>
      <c r="AQ50" s="23">
        <v>505</v>
      </c>
      <c r="AR50" s="17">
        <v>28.6</v>
      </c>
      <c r="AS50" s="16">
        <f t="shared" si="42"/>
        <v>4.766666666666667E-2</v>
      </c>
      <c r="AT50" s="28">
        <v>0.94499999999999995</v>
      </c>
    </row>
    <row r="51" spans="1:46" ht="15.75" customHeight="1" x14ac:dyDescent="0.2">
      <c r="B51" s="1">
        <v>6</v>
      </c>
      <c r="C51" s="23">
        <v>850</v>
      </c>
      <c r="D51" s="17">
        <v>56.5</v>
      </c>
      <c r="E51" s="16">
        <f t="shared" si="33"/>
        <v>9.4166666666666662E-2</v>
      </c>
      <c r="F51" s="28">
        <v>0.80800000000000005</v>
      </c>
      <c r="G51" s="17">
        <v>785</v>
      </c>
      <c r="H51" s="17">
        <v>34.799999999999997</v>
      </c>
      <c r="I51" s="16">
        <f t="shared" si="34"/>
        <v>5.7999999999999996E-2</v>
      </c>
      <c r="J51" s="28">
        <v>0.92300000000000004</v>
      </c>
      <c r="K51" s="23">
        <v>695</v>
      </c>
      <c r="L51" s="28">
        <v>27.8</v>
      </c>
      <c r="M51" s="16">
        <f t="shared" si="35"/>
        <v>4.6333333333333337E-2</v>
      </c>
      <c r="N51" s="28">
        <v>0.94199999999999995</v>
      </c>
      <c r="O51" s="23">
        <v>585</v>
      </c>
      <c r="P51" s="28">
        <v>25.1</v>
      </c>
      <c r="Q51" s="16">
        <f t="shared" si="36"/>
        <v>4.1833333333333333E-2</v>
      </c>
      <c r="R51" s="28">
        <v>0.95499999999999996</v>
      </c>
      <c r="S51" s="23">
        <v>505</v>
      </c>
      <c r="T51" s="28">
        <v>26</v>
      </c>
      <c r="U51" s="16">
        <f t="shared" si="37"/>
        <v>4.3333333333333335E-2</v>
      </c>
      <c r="V51" s="28">
        <v>0.95299999999999996</v>
      </c>
      <c r="Z51" s="1">
        <v>7</v>
      </c>
      <c r="AA51" s="23">
        <v>1105</v>
      </c>
      <c r="AB51" s="17">
        <v>28.9</v>
      </c>
      <c r="AC51" s="16">
        <f t="shared" si="38"/>
        <v>4.8166666666666663E-2</v>
      </c>
      <c r="AD51" s="28">
        <v>0.78600000000000003</v>
      </c>
      <c r="AE51" s="17">
        <v>965</v>
      </c>
      <c r="AF51" s="17">
        <v>19.7</v>
      </c>
      <c r="AG51" s="16">
        <f t="shared" si="39"/>
        <v>3.2833333333333332E-2</v>
      </c>
      <c r="AH51" s="28">
        <v>0.89500000000000002</v>
      </c>
      <c r="AI51" s="23">
        <v>840</v>
      </c>
      <c r="AJ51" s="17">
        <v>17.399999999999999</v>
      </c>
      <c r="AK51" s="16">
        <f t="shared" si="40"/>
        <v>2.8999999999999998E-2</v>
      </c>
      <c r="AL51" s="28">
        <v>0.91</v>
      </c>
      <c r="AM51" s="23">
        <v>745</v>
      </c>
      <c r="AN51" s="17">
        <v>17</v>
      </c>
      <c r="AO51" s="16">
        <f t="shared" si="41"/>
        <v>2.8333333333333332E-2</v>
      </c>
      <c r="AP51" s="28">
        <v>0.91700000000000004</v>
      </c>
      <c r="AQ51" s="23">
        <v>620</v>
      </c>
      <c r="AR51" s="17">
        <v>17.2</v>
      </c>
      <c r="AS51" s="16">
        <f t="shared" si="42"/>
        <v>2.8666666666666667E-2</v>
      </c>
      <c r="AT51" s="28">
        <v>0.91400000000000003</v>
      </c>
    </row>
    <row r="52" spans="1:46" ht="15.75" customHeight="1" x14ac:dyDescent="0.2">
      <c r="B52" s="1">
        <v>7</v>
      </c>
      <c r="C52" s="23">
        <v>1105</v>
      </c>
      <c r="D52" s="17">
        <v>24.3</v>
      </c>
      <c r="E52" s="16">
        <f t="shared" si="33"/>
        <v>4.0500000000000001E-2</v>
      </c>
      <c r="F52" s="28">
        <v>0.82899999999999996</v>
      </c>
      <c r="G52" s="17">
        <v>965</v>
      </c>
      <c r="H52" s="17">
        <v>15.2</v>
      </c>
      <c r="I52" s="16">
        <f t="shared" si="34"/>
        <v>2.5333333333333333E-2</v>
      </c>
      <c r="J52" s="28">
        <v>0.92600000000000005</v>
      </c>
      <c r="K52" s="23">
        <v>840</v>
      </c>
      <c r="L52" s="28">
        <v>16.8</v>
      </c>
      <c r="M52" s="16">
        <f t="shared" si="35"/>
        <v>2.8000000000000001E-2</v>
      </c>
      <c r="N52" s="28">
        <v>0.91400000000000003</v>
      </c>
      <c r="O52" s="23">
        <v>745</v>
      </c>
      <c r="P52" s="28">
        <v>16.2</v>
      </c>
      <c r="Q52" s="16">
        <f t="shared" si="36"/>
        <v>2.7E-2</v>
      </c>
      <c r="R52" s="28">
        <v>0.91700000000000004</v>
      </c>
      <c r="S52" s="23">
        <v>620</v>
      </c>
      <c r="T52" s="28">
        <v>15.4</v>
      </c>
      <c r="U52" s="16">
        <f t="shared" si="37"/>
        <v>2.5666666666666667E-2</v>
      </c>
      <c r="V52" s="28">
        <v>0.92300000000000004</v>
      </c>
      <c r="AA52" s="23"/>
      <c r="AB52" s="17"/>
      <c r="AE52" s="17"/>
      <c r="AF52" s="17"/>
      <c r="AI52" s="23"/>
      <c r="AJ52" s="17"/>
      <c r="AM52" s="23"/>
      <c r="AN52" s="17"/>
      <c r="AQ52" s="23"/>
      <c r="AR52" s="17"/>
    </row>
    <row r="53" spans="1:46" ht="15.75" customHeight="1" x14ac:dyDescent="0.2">
      <c r="C53" s="23"/>
      <c r="D53" s="17"/>
      <c r="G53" s="17"/>
      <c r="H53" s="17"/>
      <c r="K53" s="23"/>
      <c r="O53" s="23"/>
      <c r="S53" s="23"/>
      <c r="T53" s="1"/>
      <c r="Z53" s="1" t="s">
        <v>11</v>
      </c>
      <c r="AA53" s="23"/>
      <c r="AB53" s="9">
        <f>SUMPRODUCT(AA44:AA51,AB44:AB51)/SUM(AA44:AA51)</f>
        <v>30.816736561189479</v>
      </c>
      <c r="AC53" s="20">
        <f>SUMPRODUCT(AA44:AA51,AC44:AC51)/SUM(AA44:AA51)</f>
        <v>5.1361227601982459E-2</v>
      </c>
      <c r="AD53" s="20">
        <f>SUMPRODUCT(AA44:AA51,AD44:AD51)/SUM(AA44:AA51)</f>
        <v>0.85698894395730074</v>
      </c>
      <c r="AE53" s="17"/>
      <c r="AF53" s="9">
        <f>SUMPRODUCT(AE44:AE51,AF44:AF51)/SUM(AE44:AE51)</f>
        <v>23.382032590051459</v>
      </c>
      <c r="AG53" s="20">
        <f>SUMPRODUCT(AE44:AE51,AG44:AG51)/SUM(AE44:AE51)</f>
        <v>3.8970054316752427E-2</v>
      </c>
      <c r="AH53" s="20">
        <f>SUMPRODUCT(AE44:AE51,AH44:AH51)/SUM(AE44:AE51)</f>
        <v>0.92433576329331035</v>
      </c>
      <c r="AI53" s="23"/>
      <c r="AJ53" s="9">
        <f>SUMPRODUCT(AI44:AI51,AJ44:AJ51)/SUM(AI44:AI51)</f>
        <v>21.224166666666665</v>
      </c>
      <c r="AK53" s="20">
        <f>SUMPRODUCT(AI44:AI51,AK44:AK51)/SUM(AI44:AI51)</f>
        <v>3.5373611111111113E-2</v>
      </c>
      <c r="AL53" s="20">
        <f>SUMPRODUCT(AI44:AI51,AL44:AL51)/SUM(AI44:AI51)</f>
        <v>0.93276764705882353</v>
      </c>
      <c r="AM53" s="23"/>
      <c r="AN53" s="9">
        <f>SUMPRODUCT(AM44:AM51,AN44:AN51)/SUM(AM44:AM51)</f>
        <v>20.181017724413952</v>
      </c>
      <c r="AO53" s="20">
        <f>SUMPRODUCT(AM44:AM51,AO44:AO51)/SUM(AM44:AM51)</f>
        <v>3.3635029540689913E-2</v>
      </c>
      <c r="AP53" s="20">
        <f>SUMPRODUCT(AM44:AM51,AP44:AP51)/SUM(AM44:AM51)</f>
        <v>0.9395929102344196</v>
      </c>
      <c r="AQ53" s="23"/>
      <c r="AR53" s="9">
        <f>SUMPRODUCT(AQ44:AQ51,AR44:AR51)/SUM(AQ44:AQ51)</f>
        <v>19.631159917638985</v>
      </c>
      <c r="AS53" s="20">
        <f>SUMPRODUCT(AQ44:AQ51,AS44:AS51)/SUM(AQ44:AQ51)</f>
        <v>3.2718599862731637E-2</v>
      </c>
      <c r="AT53" s="20">
        <f>SUMPRODUCT(AQ44:AQ51,AT44:AT51)/SUM(AQ44:AQ51)</f>
        <v>0.94283665065202482</v>
      </c>
    </row>
    <row r="54" spans="1:46" ht="15.75" customHeight="1" x14ac:dyDescent="0.2">
      <c r="B54" s="1" t="s">
        <v>11</v>
      </c>
      <c r="C54" s="23"/>
      <c r="D54" s="7">
        <f>SUMPRODUCT(C45:C52,D45:D52)/SUM(C45:C52)</f>
        <v>26.140182996568814</v>
      </c>
      <c r="E54" s="20">
        <f>SUMPRODUCT(C45:C52,E45:E52)/SUM(C45:C52)</f>
        <v>4.3566971660948028E-2</v>
      </c>
      <c r="F54" s="20">
        <f>SUMPRODUCT(C45:C52,F45:F52)/SUM(C45:C52)</f>
        <v>0.87479107891727015</v>
      </c>
      <c r="G54" s="17"/>
      <c r="H54" s="7">
        <f>SUMPRODUCT(G45:G52,H45:H52)/SUM(G45:G52)</f>
        <v>20.187349914236705</v>
      </c>
      <c r="I54" s="20">
        <f>SUMPRODUCT(G45:G52,I45:I52)/SUM(G45:G52)</f>
        <v>3.3645583190394505E-2</v>
      </c>
      <c r="J54" s="20">
        <f>SUMPRODUCT(G45:G52,J45:J52)/SUM(G45:G52)</f>
        <v>0.93370754716981141</v>
      </c>
      <c r="K54" s="23"/>
      <c r="L54" s="7">
        <f>SUMPRODUCT(K45:K52,L45:L52)/SUM(K45:K52)</f>
        <v>18.41279411764706</v>
      </c>
      <c r="M54" s="20">
        <f>SUMPRODUCT(K45:K52,M45:M52)/SUM(K45:K52)</f>
        <v>3.0687990196078423E-2</v>
      </c>
      <c r="N54" s="20">
        <f>SUMPRODUCT(K45:K52,N45:N52)/SUM(K45:K52)</f>
        <v>0.94102549019607851</v>
      </c>
      <c r="O54" s="23"/>
      <c r="P54" s="7">
        <f>SUMPRODUCT(O45:O52,P45:P52)/SUM(O45:O52)</f>
        <v>18.216180674671239</v>
      </c>
      <c r="Q54" s="20">
        <f>SUMPRODUCT(O45:O52,Q45:Q52)/SUM(O45:O52)</f>
        <v>3.0360301124452069E-2</v>
      </c>
      <c r="R54" s="20">
        <f>SUMPRODUCT(O45:O52,R45:R52)/SUM(O45:O52)</f>
        <v>0.94485534591194975</v>
      </c>
      <c r="S54" s="23"/>
      <c r="T54" s="7">
        <f>SUMPRODUCT(S45:S52,T45:T52)/SUM(S45:S52)</f>
        <v>17.921894303363075</v>
      </c>
      <c r="U54" s="20">
        <f>SUMPRODUCT(S45:S52,U45:U52)/SUM(S45:S52)</f>
        <v>2.9869823838938454E-2</v>
      </c>
      <c r="V54" s="20">
        <f>SUMPRODUCT(S45:S52,V45:V52)/SUM(S45:S52)</f>
        <v>0.94688812628689101</v>
      </c>
    </row>
    <row r="55" spans="1:46" ht="15.75" customHeight="1" x14ac:dyDescent="0.2">
      <c r="H55" s="1"/>
      <c r="AA55" s="1"/>
      <c r="AE55" s="1"/>
      <c r="AI55" s="1"/>
      <c r="AM55" s="1"/>
      <c r="AQ55" s="1"/>
    </row>
    <row r="56" spans="1:46" ht="15.75" customHeight="1" x14ac:dyDescent="0.2">
      <c r="C56" s="1">
        <f>SUM(C45:C52)</f>
        <v>13115</v>
      </c>
      <c r="G56" s="1">
        <f>SUM(G45:G52)</f>
        <v>11660</v>
      </c>
      <c r="K56" s="1">
        <f>SUM(K45:K52)</f>
        <v>10200</v>
      </c>
      <c r="O56" s="1">
        <f>SUM(O45:O52)</f>
        <v>8745</v>
      </c>
      <c r="S56" s="1">
        <f>SUM(S45:S52)</f>
        <v>7285</v>
      </c>
    </row>
    <row r="57" spans="1:46" ht="15.75" customHeight="1" x14ac:dyDescent="0.2"/>
    <row r="58" spans="1:46" ht="15.75" customHeight="1" x14ac:dyDescent="0.2">
      <c r="Y58" s="1" t="s">
        <v>25</v>
      </c>
      <c r="AB58" s="134">
        <v>0.1</v>
      </c>
      <c r="AC58" s="133"/>
      <c r="AD58" s="133"/>
      <c r="AE58" s="2"/>
      <c r="AF58" s="134">
        <v>0.2</v>
      </c>
      <c r="AG58" s="133"/>
      <c r="AH58" s="133"/>
      <c r="AI58" s="2"/>
      <c r="AJ58" s="134">
        <v>0.3</v>
      </c>
      <c r="AK58" s="133"/>
      <c r="AL58" s="133"/>
      <c r="AM58" s="2"/>
      <c r="AN58" s="134">
        <v>0.4</v>
      </c>
      <c r="AO58" s="133"/>
      <c r="AP58" s="133"/>
      <c r="AQ58" s="2"/>
      <c r="AR58" s="134">
        <v>0.5</v>
      </c>
      <c r="AS58" s="133"/>
      <c r="AT58" s="133"/>
    </row>
    <row r="59" spans="1:46" ht="15.75" customHeight="1" thickBot="1" x14ac:dyDescent="0.25">
      <c r="A59" s="1" t="s">
        <v>25</v>
      </c>
      <c r="D59" s="134">
        <v>0.1</v>
      </c>
      <c r="E59" s="133"/>
      <c r="F59" s="133"/>
      <c r="G59" s="2"/>
      <c r="H59" s="134">
        <v>0.2</v>
      </c>
      <c r="I59" s="133"/>
      <c r="J59" s="133"/>
      <c r="K59" s="2"/>
      <c r="L59" s="134">
        <v>0.3</v>
      </c>
      <c r="M59" s="133"/>
      <c r="N59" s="133"/>
      <c r="O59" s="2"/>
      <c r="P59" s="134">
        <v>0.4</v>
      </c>
      <c r="Q59" s="133"/>
      <c r="R59" s="133"/>
      <c r="S59" s="2"/>
      <c r="T59" s="134">
        <v>0.5</v>
      </c>
      <c r="U59" s="133"/>
      <c r="V59" s="133"/>
      <c r="Z59" s="13" t="s">
        <v>8</v>
      </c>
      <c r="AA59" s="22"/>
      <c r="AB59" s="14" t="s">
        <v>7</v>
      </c>
      <c r="AC59" s="13" t="s">
        <v>9</v>
      </c>
      <c r="AD59" s="13" t="s">
        <v>10</v>
      </c>
      <c r="AE59" s="22" t="s">
        <v>22</v>
      </c>
      <c r="AF59" s="14" t="s">
        <v>7</v>
      </c>
      <c r="AG59" s="13" t="s">
        <v>9</v>
      </c>
      <c r="AH59" s="13" t="s">
        <v>10</v>
      </c>
      <c r="AI59" s="22" t="s">
        <v>22</v>
      </c>
      <c r="AJ59" s="13" t="s">
        <v>7</v>
      </c>
      <c r="AK59" s="13" t="s">
        <v>9</v>
      </c>
      <c r="AL59" s="13" t="s">
        <v>10</v>
      </c>
      <c r="AM59" s="22" t="s">
        <v>22</v>
      </c>
      <c r="AN59" s="13" t="s">
        <v>7</v>
      </c>
      <c r="AO59" s="13" t="s">
        <v>9</v>
      </c>
      <c r="AP59" s="13" t="s">
        <v>10</v>
      </c>
      <c r="AQ59" s="22" t="s">
        <v>22</v>
      </c>
      <c r="AR59" s="13" t="s">
        <v>7</v>
      </c>
      <c r="AS59" s="13" t="s">
        <v>9</v>
      </c>
      <c r="AT59" s="13" t="s">
        <v>10</v>
      </c>
    </row>
    <row r="60" spans="1:46" ht="15.75" customHeight="1" thickBot="1" x14ac:dyDescent="0.25">
      <c r="B60" s="13" t="s">
        <v>8</v>
      </c>
      <c r="C60" s="22" t="s">
        <v>22</v>
      </c>
      <c r="D60" s="14" t="s">
        <v>7</v>
      </c>
      <c r="E60" s="13" t="s">
        <v>9</v>
      </c>
      <c r="F60" s="13" t="s">
        <v>10</v>
      </c>
      <c r="G60" s="22" t="s">
        <v>22</v>
      </c>
      <c r="H60" s="14" t="s">
        <v>7</v>
      </c>
      <c r="I60" s="13" t="s">
        <v>9</v>
      </c>
      <c r="J60" s="13" t="s">
        <v>10</v>
      </c>
      <c r="K60" s="22" t="s">
        <v>22</v>
      </c>
      <c r="L60" s="13" t="s">
        <v>7</v>
      </c>
      <c r="M60" s="13" t="s">
        <v>9</v>
      </c>
      <c r="N60" s="13" t="s">
        <v>10</v>
      </c>
      <c r="O60" s="22" t="s">
        <v>22</v>
      </c>
      <c r="P60" s="13" t="s">
        <v>7</v>
      </c>
      <c r="Q60" s="13" t="s">
        <v>9</v>
      </c>
      <c r="R60" s="13" t="s">
        <v>10</v>
      </c>
      <c r="S60" s="22" t="s">
        <v>22</v>
      </c>
      <c r="T60" s="13" t="s">
        <v>7</v>
      </c>
      <c r="U60" s="13" t="s">
        <v>9</v>
      </c>
      <c r="V60" s="13" t="s">
        <v>10</v>
      </c>
      <c r="Z60" s="1">
        <v>0</v>
      </c>
      <c r="AA60" s="23">
        <v>1745</v>
      </c>
      <c r="AB60" s="17">
        <v>35.4</v>
      </c>
      <c r="AC60" s="16">
        <f>AB60/$A$5</f>
        <v>5.8999999999999997E-2</v>
      </c>
      <c r="AD60" s="28">
        <v>0.93500000000000005</v>
      </c>
      <c r="AE60" s="17">
        <v>1550</v>
      </c>
      <c r="AF60" s="17">
        <v>30.9</v>
      </c>
      <c r="AG60" s="16">
        <f>AF60/$A$5</f>
        <v>5.1499999999999997E-2</v>
      </c>
      <c r="AH60" s="28">
        <v>0.94899999999999995</v>
      </c>
      <c r="AI60" s="23">
        <v>1320</v>
      </c>
      <c r="AJ60" s="17">
        <v>25.2</v>
      </c>
      <c r="AK60" s="16">
        <f>AJ60/$A$5</f>
        <v>4.1999999999999996E-2</v>
      </c>
      <c r="AL60" s="28">
        <v>0.96</v>
      </c>
      <c r="AM60" s="23">
        <v>1130</v>
      </c>
      <c r="AN60" s="17">
        <v>26</v>
      </c>
      <c r="AO60" s="16">
        <f>AN60/$A$5</f>
        <v>4.3333333333333335E-2</v>
      </c>
      <c r="AP60" s="28">
        <v>0.95699999999999996</v>
      </c>
      <c r="AQ60" s="23">
        <v>980</v>
      </c>
      <c r="AR60" s="17">
        <v>22.8</v>
      </c>
      <c r="AS60" s="16">
        <f>AR60/$A$5</f>
        <v>3.7999999999999999E-2</v>
      </c>
      <c r="AT60" s="28">
        <v>0.96299999999999997</v>
      </c>
    </row>
    <row r="61" spans="1:46" ht="15.75" customHeight="1" x14ac:dyDescent="0.2">
      <c r="B61" s="1">
        <v>0</v>
      </c>
      <c r="C61" s="23">
        <v>1745</v>
      </c>
      <c r="D61" s="17">
        <v>27.3</v>
      </c>
      <c r="E61" s="16">
        <f t="shared" ref="E61:E68" si="43">D61/$A$5</f>
        <v>4.5499999999999999E-2</v>
      </c>
      <c r="F61" s="28">
        <v>0.95899999999999996</v>
      </c>
      <c r="G61" s="17">
        <v>1550</v>
      </c>
      <c r="H61" s="17">
        <v>22.6</v>
      </c>
      <c r="I61" s="16">
        <f t="shared" ref="I61:I68" si="44">H61/$A$5</f>
        <v>3.7666666666666668E-2</v>
      </c>
      <c r="J61" s="28">
        <v>0.96799999999999997</v>
      </c>
      <c r="K61" s="23">
        <v>1320</v>
      </c>
      <c r="L61" s="28">
        <v>21.5</v>
      </c>
      <c r="M61" s="16">
        <f t="shared" ref="M61:M68" si="45">L61/$A$5</f>
        <v>3.5833333333333335E-2</v>
      </c>
      <c r="N61" s="28">
        <v>0.96899999999999997</v>
      </c>
      <c r="O61" s="23">
        <v>1130</v>
      </c>
      <c r="P61" s="28">
        <v>23.1</v>
      </c>
      <c r="Q61" s="16">
        <f t="shared" ref="Q61:Q68" si="46">P61/$A$5</f>
        <v>3.85E-2</v>
      </c>
      <c r="R61" s="28">
        <v>0.96399999999999997</v>
      </c>
      <c r="S61" s="23">
        <v>980</v>
      </c>
      <c r="T61" s="28">
        <v>20.3</v>
      </c>
      <c r="U61" s="16">
        <f t="shared" ref="U61:U68" si="47">T61/$A$5</f>
        <v>3.3833333333333333E-2</v>
      </c>
      <c r="V61" s="28">
        <v>0.96599999999999997</v>
      </c>
      <c r="Z61" s="1">
        <v>1</v>
      </c>
      <c r="AA61" s="23">
        <v>1865</v>
      </c>
      <c r="AB61" s="17">
        <v>32</v>
      </c>
      <c r="AC61" s="16">
        <f t="shared" ref="AC61:AC67" si="48">AB61/$A$5</f>
        <v>5.3333333333333337E-2</v>
      </c>
      <c r="AD61" s="28">
        <v>0.92600000000000005</v>
      </c>
      <c r="AE61" s="17">
        <v>1680</v>
      </c>
      <c r="AF61" s="17">
        <v>25</v>
      </c>
      <c r="AG61" s="16">
        <f t="shared" ref="AG61:AG67" si="49">AF61/$A$5</f>
        <v>4.1666666666666664E-2</v>
      </c>
      <c r="AH61" s="28">
        <v>0.95499999999999996</v>
      </c>
      <c r="AI61" s="23">
        <v>1465</v>
      </c>
      <c r="AJ61" s="17">
        <v>23.4</v>
      </c>
      <c r="AK61" s="16">
        <f t="shared" ref="AK61:AK67" si="50">AJ61/$A$5</f>
        <v>3.9E-2</v>
      </c>
      <c r="AL61" s="28">
        <v>0.95899999999999996</v>
      </c>
      <c r="AM61" s="23">
        <v>1270</v>
      </c>
      <c r="AN61" s="17">
        <v>22.2</v>
      </c>
      <c r="AO61" s="16">
        <f t="shared" ref="AO61:AO67" si="51">AN61/$A$5</f>
        <v>3.6999999999999998E-2</v>
      </c>
      <c r="AP61" s="28">
        <v>0.96299999999999997</v>
      </c>
      <c r="AQ61" s="23">
        <v>1045</v>
      </c>
      <c r="AR61" s="17">
        <v>24.3</v>
      </c>
      <c r="AS61" s="16">
        <f t="shared" ref="AS61:AS67" si="52">AR61/$A$5</f>
        <v>4.0500000000000001E-2</v>
      </c>
      <c r="AT61" s="28">
        <v>0.95699999999999996</v>
      </c>
    </row>
    <row r="62" spans="1:46" ht="15.75" customHeight="1" x14ac:dyDescent="0.2">
      <c r="B62" s="1">
        <v>1</v>
      </c>
      <c r="C62" s="23">
        <v>1865</v>
      </c>
      <c r="D62" s="17">
        <v>28.5</v>
      </c>
      <c r="E62" s="16">
        <f t="shared" si="43"/>
        <v>4.7500000000000001E-2</v>
      </c>
      <c r="F62" s="28">
        <v>0.94299999999999995</v>
      </c>
      <c r="G62" s="17">
        <v>1680</v>
      </c>
      <c r="H62" s="17">
        <v>23.4</v>
      </c>
      <c r="I62" s="16">
        <f t="shared" si="44"/>
        <v>3.9E-2</v>
      </c>
      <c r="J62" s="28">
        <v>0.96</v>
      </c>
      <c r="K62" s="23">
        <v>1465</v>
      </c>
      <c r="L62" s="28">
        <v>21.8</v>
      </c>
      <c r="M62" s="16">
        <f t="shared" si="45"/>
        <v>3.6333333333333336E-2</v>
      </c>
      <c r="N62" s="28">
        <v>0.96299999999999997</v>
      </c>
      <c r="O62" s="23">
        <v>1270</v>
      </c>
      <c r="P62" s="28">
        <v>20.8</v>
      </c>
      <c r="Q62" s="16">
        <f t="shared" si="46"/>
        <v>3.4666666666666665E-2</v>
      </c>
      <c r="R62" s="28">
        <v>0.96599999999999997</v>
      </c>
      <c r="S62" s="23">
        <v>1045</v>
      </c>
      <c r="T62" s="28">
        <v>21.7</v>
      </c>
      <c r="U62" s="16">
        <f t="shared" si="47"/>
        <v>3.6166666666666666E-2</v>
      </c>
      <c r="V62" s="28">
        <v>0.96399999999999997</v>
      </c>
      <c r="Z62" s="1">
        <v>2</v>
      </c>
      <c r="AA62" s="23">
        <v>1600</v>
      </c>
      <c r="AB62" s="17">
        <v>10.9</v>
      </c>
      <c r="AC62" s="16">
        <f t="shared" si="48"/>
        <v>1.8166666666666668E-2</v>
      </c>
      <c r="AD62" s="28">
        <v>0.745</v>
      </c>
      <c r="AE62" s="17">
        <v>1385</v>
      </c>
      <c r="AF62" s="17">
        <v>9.6</v>
      </c>
      <c r="AG62" s="16">
        <f t="shared" si="49"/>
        <v>1.6E-2</v>
      </c>
      <c r="AH62" s="28">
        <v>0.80700000000000005</v>
      </c>
      <c r="AI62" s="23">
        <v>1180</v>
      </c>
      <c r="AJ62" s="17">
        <v>8.6999999999999993</v>
      </c>
      <c r="AK62" s="16">
        <f t="shared" si="50"/>
        <v>1.4499999999999999E-2</v>
      </c>
      <c r="AL62" s="28">
        <v>0.78300000000000003</v>
      </c>
      <c r="AM62" s="23">
        <v>1065</v>
      </c>
      <c r="AN62" s="17">
        <v>8.1</v>
      </c>
      <c r="AO62" s="16">
        <f t="shared" si="51"/>
        <v>1.35E-2</v>
      </c>
      <c r="AP62" s="28">
        <v>0.77800000000000002</v>
      </c>
      <c r="AQ62" s="23">
        <v>835</v>
      </c>
      <c r="AR62" s="17">
        <v>8.5</v>
      </c>
      <c r="AS62" s="16">
        <f t="shared" si="52"/>
        <v>1.4166666666666666E-2</v>
      </c>
      <c r="AT62" s="28">
        <v>0.79800000000000004</v>
      </c>
    </row>
    <row r="63" spans="1:46" ht="15.75" customHeight="1" x14ac:dyDescent="0.2">
      <c r="B63" s="1">
        <v>2</v>
      </c>
      <c r="C63" s="23">
        <v>1600</v>
      </c>
      <c r="D63" s="17">
        <v>8.5</v>
      </c>
      <c r="E63" s="16">
        <f t="shared" si="43"/>
        <v>1.4166666666666666E-2</v>
      </c>
      <c r="F63" s="28">
        <v>0.79300000000000004</v>
      </c>
      <c r="G63" s="17">
        <v>1385</v>
      </c>
      <c r="H63" s="17">
        <v>8.4</v>
      </c>
      <c r="I63" s="16">
        <f t="shared" si="44"/>
        <v>1.4E-2</v>
      </c>
      <c r="J63" s="28">
        <v>0.82</v>
      </c>
      <c r="K63" s="23">
        <v>1180</v>
      </c>
      <c r="L63" s="28">
        <v>8.1</v>
      </c>
      <c r="M63" s="16">
        <f t="shared" si="45"/>
        <v>1.35E-2</v>
      </c>
      <c r="N63" s="28">
        <v>0.78500000000000003</v>
      </c>
      <c r="O63" s="23">
        <v>1065</v>
      </c>
      <c r="P63" s="28">
        <v>7.6</v>
      </c>
      <c r="Q63" s="16">
        <f t="shared" si="46"/>
        <v>1.2666666666666666E-2</v>
      </c>
      <c r="R63" s="28">
        <v>0.79</v>
      </c>
      <c r="S63" s="23">
        <v>835</v>
      </c>
      <c r="T63" s="28">
        <v>7.4</v>
      </c>
      <c r="U63" s="16">
        <f t="shared" si="47"/>
        <v>1.2333333333333333E-2</v>
      </c>
      <c r="V63" s="28">
        <v>0.80100000000000005</v>
      </c>
      <c r="Z63" s="1">
        <v>3</v>
      </c>
      <c r="AA63" s="23">
        <v>2260</v>
      </c>
      <c r="AB63" s="17">
        <v>24</v>
      </c>
      <c r="AC63" s="16">
        <f t="shared" si="48"/>
        <v>0.04</v>
      </c>
      <c r="AD63" s="28">
        <v>0.96399999999999997</v>
      </c>
      <c r="AE63" s="17">
        <v>2020</v>
      </c>
      <c r="AF63" s="17">
        <v>21.4</v>
      </c>
      <c r="AG63" s="16">
        <f t="shared" si="49"/>
        <v>3.5666666666666666E-2</v>
      </c>
      <c r="AH63" s="28">
        <v>0.97099999999999997</v>
      </c>
      <c r="AI63" s="23">
        <v>1800</v>
      </c>
      <c r="AJ63" s="17">
        <v>20.6</v>
      </c>
      <c r="AK63" s="16">
        <f t="shared" si="50"/>
        <v>3.4333333333333334E-2</v>
      </c>
      <c r="AL63" s="28">
        <v>0.97099999999999997</v>
      </c>
      <c r="AM63" s="23">
        <v>1535</v>
      </c>
      <c r="AN63" s="17">
        <v>18.3</v>
      </c>
      <c r="AO63" s="16">
        <f t="shared" si="51"/>
        <v>3.0500000000000003E-2</v>
      </c>
      <c r="AP63" s="28">
        <v>0.97899999999999998</v>
      </c>
      <c r="AQ63" s="23">
        <v>1295</v>
      </c>
      <c r="AR63" s="17">
        <v>18.100000000000001</v>
      </c>
      <c r="AS63" s="16">
        <f t="shared" si="52"/>
        <v>3.0166666666666668E-2</v>
      </c>
      <c r="AT63" s="28">
        <v>0.97899999999999998</v>
      </c>
    </row>
    <row r="64" spans="1:46" ht="15.75" customHeight="1" x14ac:dyDescent="0.2">
      <c r="B64" s="1">
        <v>3</v>
      </c>
      <c r="C64" s="23">
        <v>2260</v>
      </c>
      <c r="D64" s="17">
        <v>18.600000000000001</v>
      </c>
      <c r="E64" s="16">
        <f t="shared" si="43"/>
        <v>3.1000000000000003E-2</v>
      </c>
      <c r="F64" s="28">
        <v>0.97699999999999998</v>
      </c>
      <c r="G64" s="17">
        <v>2020</v>
      </c>
      <c r="H64" s="17">
        <v>17.7</v>
      </c>
      <c r="I64" s="16">
        <f t="shared" si="44"/>
        <v>2.9499999999999998E-2</v>
      </c>
      <c r="J64" s="28">
        <v>0.97899999999999998</v>
      </c>
      <c r="K64" s="23">
        <v>1800</v>
      </c>
      <c r="L64" s="28">
        <v>17.8</v>
      </c>
      <c r="M64" s="16">
        <f t="shared" si="45"/>
        <v>2.9666666666666668E-2</v>
      </c>
      <c r="N64" s="28">
        <v>0.97699999999999998</v>
      </c>
      <c r="O64" s="23">
        <v>1535</v>
      </c>
      <c r="P64" s="28">
        <v>17.100000000000001</v>
      </c>
      <c r="Q64" s="16">
        <f t="shared" si="46"/>
        <v>2.8500000000000001E-2</v>
      </c>
      <c r="R64" s="28">
        <v>0.98099999999999998</v>
      </c>
      <c r="S64" s="23">
        <v>1295</v>
      </c>
      <c r="T64" s="28">
        <v>16.600000000000001</v>
      </c>
      <c r="U64" s="16">
        <f t="shared" si="47"/>
        <v>2.7666666666666669E-2</v>
      </c>
      <c r="V64" s="28">
        <v>0.98099999999999998</v>
      </c>
      <c r="Z64" s="1">
        <v>4</v>
      </c>
      <c r="AA64" s="23">
        <v>1775</v>
      </c>
      <c r="AB64" s="17">
        <v>29.1</v>
      </c>
      <c r="AC64" s="16">
        <f t="shared" si="48"/>
        <v>4.8500000000000001E-2</v>
      </c>
      <c r="AD64" s="28">
        <v>0.93400000000000005</v>
      </c>
      <c r="AE64" s="17">
        <v>1585</v>
      </c>
      <c r="AF64" s="17">
        <v>24.3</v>
      </c>
      <c r="AG64" s="16">
        <f t="shared" si="49"/>
        <v>4.0500000000000001E-2</v>
      </c>
      <c r="AH64" s="28">
        <v>0.94899999999999995</v>
      </c>
      <c r="AI64" s="23">
        <v>1410</v>
      </c>
      <c r="AJ64" s="17">
        <v>22.8</v>
      </c>
      <c r="AK64" s="16">
        <f t="shared" si="50"/>
        <v>3.7999999999999999E-2</v>
      </c>
      <c r="AL64" s="28">
        <v>0.95399999999999996</v>
      </c>
      <c r="AM64" s="23">
        <v>1195</v>
      </c>
      <c r="AN64" s="17">
        <v>22.5</v>
      </c>
      <c r="AO64" s="16">
        <f t="shared" si="51"/>
        <v>3.7499999999999999E-2</v>
      </c>
      <c r="AP64" s="28">
        <v>0.95399999999999996</v>
      </c>
      <c r="AQ64" s="23">
        <v>990</v>
      </c>
      <c r="AR64" s="17">
        <v>23.9</v>
      </c>
      <c r="AS64" s="16">
        <f t="shared" si="52"/>
        <v>3.9833333333333332E-2</v>
      </c>
      <c r="AT64" s="28">
        <v>0.94099999999999995</v>
      </c>
    </row>
    <row r="65" spans="2:46" ht="15.75" customHeight="1" x14ac:dyDescent="0.2">
      <c r="B65" s="1">
        <v>4</v>
      </c>
      <c r="C65" s="23">
        <v>1775</v>
      </c>
      <c r="D65" s="17">
        <v>27</v>
      </c>
      <c r="E65" s="16">
        <f t="shared" si="43"/>
        <v>4.4999999999999998E-2</v>
      </c>
      <c r="F65" s="28">
        <v>0.93899999999999995</v>
      </c>
      <c r="G65" s="17">
        <v>1585</v>
      </c>
      <c r="H65" s="17">
        <v>23.3</v>
      </c>
      <c r="I65" s="16">
        <f t="shared" si="44"/>
        <v>3.8833333333333338E-2</v>
      </c>
      <c r="J65" s="28">
        <v>0.95299999999999996</v>
      </c>
      <c r="K65" s="23">
        <v>1410</v>
      </c>
      <c r="L65" s="28">
        <v>20.7</v>
      </c>
      <c r="M65" s="16">
        <f t="shared" si="45"/>
        <v>3.4499999999999996E-2</v>
      </c>
      <c r="N65" s="28">
        <v>0.96099999999999997</v>
      </c>
      <c r="O65" s="23">
        <v>1195</v>
      </c>
      <c r="P65" s="28">
        <v>20.7</v>
      </c>
      <c r="Q65" s="16">
        <f t="shared" si="46"/>
        <v>3.4499999999999996E-2</v>
      </c>
      <c r="R65" s="28">
        <v>0.96099999999999997</v>
      </c>
      <c r="S65" s="23">
        <v>990</v>
      </c>
      <c r="T65" s="28">
        <v>20.5</v>
      </c>
      <c r="U65" s="16">
        <f t="shared" si="47"/>
        <v>3.4166666666666665E-2</v>
      </c>
      <c r="V65" s="28">
        <v>0.96</v>
      </c>
      <c r="Z65" s="1">
        <v>5</v>
      </c>
      <c r="AA65" s="23">
        <v>875</v>
      </c>
      <c r="AB65" s="17">
        <v>46</v>
      </c>
      <c r="AC65" s="16">
        <f t="shared" si="48"/>
        <v>7.6666666666666661E-2</v>
      </c>
      <c r="AD65" s="28">
        <v>0.89300000000000002</v>
      </c>
      <c r="AE65" s="17">
        <v>755</v>
      </c>
      <c r="AF65" s="17">
        <v>30.3</v>
      </c>
      <c r="AG65" s="16">
        <f t="shared" si="49"/>
        <v>5.0500000000000003E-2</v>
      </c>
      <c r="AH65" s="28">
        <v>0.94599999999999995</v>
      </c>
      <c r="AI65" s="23">
        <v>660</v>
      </c>
      <c r="AJ65" s="17">
        <v>26.8</v>
      </c>
      <c r="AK65" s="16">
        <f t="shared" si="50"/>
        <v>4.4666666666666667E-2</v>
      </c>
      <c r="AL65" s="28">
        <v>0.95899999999999996</v>
      </c>
      <c r="AM65" s="23">
        <v>570</v>
      </c>
      <c r="AN65" s="17">
        <v>24</v>
      </c>
      <c r="AO65" s="16">
        <f t="shared" si="51"/>
        <v>0.04</v>
      </c>
      <c r="AP65" s="28">
        <v>0.96599999999999997</v>
      </c>
      <c r="AQ65" s="23">
        <v>465</v>
      </c>
      <c r="AR65" s="17">
        <v>22.8</v>
      </c>
      <c r="AS65" s="16">
        <f t="shared" si="52"/>
        <v>3.7999999999999999E-2</v>
      </c>
      <c r="AT65" s="28">
        <v>0.97</v>
      </c>
    </row>
    <row r="66" spans="2:46" ht="15.75" customHeight="1" x14ac:dyDescent="0.2">
      <c r="B66" s="1">
        <v>5</v>
      </c>
      <c r="C66" s="23">
        <v>875</v>
      </c>
      <c r="D66" s="17">
        <v>42</v>
      </c>
      <c r="E66" s="16">
        <f t="shared" si="43"/>
        <v>7.0000000000000007E-2</v>
      </c>
      <c r="F66" s="28">
        <v>0.90600000000000003</v>
      </c>
      <c r="G66" s="17">
        <v>755</v>
      </c>
      <c r="H66" s="17">
        <v>26</v>
      </c>
      <c r="I66" s="16">
        <f t="shared" si="44"/>
        <v>4.3333333333333335E-2</v>
      </c>
      <c r="J66" s="28">
        <v>0.95799999999999996</v>
      </c>
      <c r="K66" s="23">
        <v>660</v>
      </c>
      <c r="L66" s="28">
        <v>22.5</v>
      </c>
      <c r="M66" s="16">
        <f t="shared" si="45"/>
        <v>3.7499999999999999E-2</v>
      </c>
      <c r="N66" s="28">
        <v>0.97</v>
      </c>
      <c r="O66" s="23">
        <v>570</v>
      </c>
      <c r="P66" s="28">
        <v>21.1</v>
      </c>
      <c r="Q66" s="16">
        <f t="shared" si="46"/>
        <v>3.5166666666666672E-2</v>
      </c>
      <c r="R66" s="28">
        <v>0.97299999999999998</v>
      </c>
      <c r="S66" s="23">
        <v>465</v>
      </c>
      <c r="T66" s="28">
        <v>19.8</v>
      </c>
      <c r="U66" s="16">
        <f t="shared" si="47"/>
        <v>3.3000000000000002E-2</v>
      </c>
      <c r="V66" s="28">
        <v>0.97599999999999998</v>
      </c>
      <c r="Z66" s="1">
        <v>6</v>
      </c>
      <c r="AA66" s="23">
        <v>2020</v>
      </c>
      <c r="AB66" s="17">
        <v>33.200000000000003</v>
      </c>
      <c r="AC66" s="16">
        <f t="shared" si="48"/>
        <v>5.5333333333333339E-2</v>
      </c>
      <c r="AD66" s="28">
        <v>0.86299999999999999</v>
      </c>
      <c r="AE66" s="17">
        <v>1840</v>
      </c>
      <c r="AF66" s="17">
        <v>21.6</v>
      </c>
      <c r="AG66" s="16">
        <f t="shared" si="49"/>
        <v>3.6000000000000004E-2</v>
      </c>
      <c r="AH66" s="28">
        <v>0.94199999999999995</v>
      </c>
      <c r="AI66" s="23">
        <v>1655</v>
      </c>
      <c r="AJ66" s="17">
        <v>19.600000000000001</v>
      </c>
      <c r="AK66" s="16">
        <f t="shared" si="50"/>
        <v>3.266666666666667E-2</v>
      </c>
      <c r="AL66" s="28">
        <v>0.94699999999999995</v>
      </c>
      <c r="AM66" s="23">
        <v>1355</v>
      </c>
      <c r="AN66" s="17">
        <v>18.600000000000001</v>
      </c>
      <c r="AO66" s="16">
        <f t="shared" si="51"/>
        <v>3.1000000000000003E-2</v>
      </c>
      <c r="AP66" s="28">
        <v>0.95099999999999996</v>
      </c>
      <c r="AQ66" s="23">
        <v>1150</v>
      </c>
      <c r="AR66" s="17">
        <v>17.8</v>
      </c>
      <c r="AS66" s="16">
        <f t="shared" si="52"/>
        <v>2.9666666666666668E-2</v>
      </c>
      <c r="AT66" s="28">
        <v>0.95599999999999996</v>
      </c>
    </row>
    <row r="67" spans="2:46" ht="15.75" customHeight="1" x14ac:dyDescent="0.2">
      <c r="B67" s="1">
        <v>6</v>
      </c>
      <c r="C67" s="23">
        <v>2020</v>
      </c>
      <c r="D67" s="17">
        <v>30.8</v>
      </c>
      <c r="E67" s="16">
        <f t="shared" si="43"/>
        <v>5.1333333333333335E-2</v>
      </c>
      <c r="F67" s="28">
        <v>0.86199999999999999</v>
      </c>
      <c r="G67" s="17">
        <v>1840</v>
      </c>
      <c r="H67" s="17">
        <v>18.7</v>
      </c>
      <c r="I67" s="16">
        <f t="shared" si="44"/>
        <v>3.1166666666666665E-2</v>
      </c>
      <c r="J67" s="28">
        <v>0.95199999999999996</v>
      </c>
      <c r="K67" s="23">
        <v>1655</v>
      </c>
      <c r="L67" s="28">
        <v>17.100000000000001</v>
      </c>
      <c r="M67" s="16">
        <f t="shared" si="45"/>
        <v>2.8500000000000001E-2</v>
      </c>
      <c r="N67" s="28">
        <v>0.95599999999999996</v>
      </c>
      <c r="O67" s="23">
        <v>1355</v>
      </c>
      <c r="P67" s="28">
        <v>17.5</v>
      </c>
      <c r="Q67" s="16">
        <f t="shared" si="46"/>
        <v>2.9166666666666667E-2</v>
      </c>
      <c r="R67" s="28">
        <v>0.95199999999999996</v>
      </c>
      <c r="S67" s="23">
        <v>1150</v>
      </c>
      <c r="T67" s="28">
        <v>16.100000000000001</v>
      </c>
      <c r="U67" s="16">
        <f t="shared" si="47"/>
        <v>2.6833333333333334E-2</v>
      </c>
      <c r="V67" s="28">
        <v>0.95699999999999996</v>
      </c>
      <c r="Z67" s="1">
        <v>7</v>
      </c>
      <c r="AA67" s="23">
        <v>975</v>
      </c>
      <c r="AB67" s="17">
        <v>51.1</v>
      </c>
      <c r="AC67" s="16">
        <f t="shared" si="48"/>
        <v>8.5166666666666668E-2</v>
      </c>
      <c r="AD67" s="28">
        <v>0.88800000000000001</v>
      </c>
      <c r="AE67" s="17">
        <v>845</v>
      </c>
      <c r="AF67" s="17">
        <v>31</v>
      </c>
      <c r="AG67" s="16">
        <f t="shared" si="49"/>
        <v>5.1666666666666666E-2</v>
      </c>
      <c r="AH67" s="28">
        <v>0.95599999999999996</v>
      </c>
      <c r="AI67" s="23">
        <v>710</v>
      </c>
      <c r="AJ67" s="17">
        <v>27.1</v>
      </c>
      <c r="AK67" s="16">
        <f t="shared" si="50"/>
        <v>4.5166666666666667E-2</v>
      </c>
      <c r="AL67" s="28">
        <v>0.96499999999999997</v>
      </c>
      <c r="AM67" s="23">
        <v>625</v>
      </c>
      <c r="AN67" s="17">
        <v>23.9</v>
      </c>
      <c r="AO67" s="16">
        <f t="shared" si="51"/>
        <v>3.9833333333333332E-2</v>
      </c>
      <c r="AP67" s="28">
        <v>0.96899999999999997</v>
      </c>
      <c r="AQ67" s="23">
        <v>525</v>
      </c>
      <c r="AR67" s="17">
        <v>23.1</v>
      </c>
      <c r="AS67" s="16">
        <f t="shared" si="52"/>
        <v>3.85E-2</v>
      </c>
      <c r="AT67" s="28">
        <v>0.96599999999999997</v>
      </c>
    </row>
    <row r="68" spans="2:46" ht="15.75" customHeight="1" x14ac:dyDescent="0.2">
      <c r="B68" s="1">
        <v>7</v>
      </c>
      <c r="C68" s="23">
        <v>975</v>
      </c>
      <c r="D68" s="17">
        <v>43.5</v>
      </c>
      <c r="E68" s="16">
        <f t="shared" si="43"/>
        <v>7.2499999999999995E-2</v>
      </c>
      <c r="F68" s="28">
        <v>0.91500000000000004</v>
      </c>
      <c r="G68" s="17">
        <v>845</v>
      </c>
      <c r="H68" s="17">
        <v>22.9</v>
      </c>
      <c r="I68" s="16">
        <f t="shared" si="44"/>
        <v>3.8166666666666661E-2</v>
      </c>
      <c r="J68" s="28">
        <v>0.97399999999999998</v>
      </c>
      <c r="K68" s="23">
        <v>710</v>
      </c>
      <c r="L68" s="28">
        <v>20.9</v>
      </c>
      <c r="M68" s="16">
        <f t="shared" si="45"/>
        <v>3.4833333333333334E-2</v>
      </c>
      <c r="N68" s="28">
        <v>0.97699999999999998</v>
      </c>
      <c r="O68" s="23">
        <v>625</v>
      </c>
      <c r="P68" s="28">
        <v>19.8</v>
      </c>
      <c r="Q68" s="16">
        <f t="shared" si="46"/>
        <v>3.3000000000000002E-2</v>
      </c>
      <c r="R68" s="28">
        <v>0.97799999999999998</v>
      </c>
      <c r="S68" s="23">
        <v>525</v>
      </c>
      <c r="T68" s="28">
        <v>19.8</v>
      </c>
      <c r="U68" s="16">
        <f t="shared" si="47"/>
        <v>3.3000000000000002E-2</v>
      </c>
      <c r="V68" s="28">
        <v>0.97499999999999998</v>
      </c>
      <c r="AA68" s="23"/>
      <c r="AB68" s="17"/>
      <c r="AE68" s="17"/>
      <c r="AF68" s="17"/>
      <c r="AI68" s="23"/>
      <c r="AJ68" s="17"/>
      <c r="AM68" s="23"/>
      <c r="AN68" s="17"/>
      <c r="AQ68" s="23"/>
      <c r="AR68" s="17"/>
    </row>
    <row r="69" spans="2:46" ht="15.75" customHeight="1" x14ac:dyDescent="0.2">
      <c r="C69" s="23"/>
      <c r="D69" s="17"/>
      <c r="G69" s="17"/>
      <c r="H69" s="17"/>
      <c r="K69" s="23"/>
      <c r="O69" s="23"/>
      <c r="S69" s="23"/>
      <c r="Z69" s="1" t="s">
        <v>11</v>
      </c>
      <c r="AA69" s="23"/>
      <c r="AB69" s="9">
        <f>SUMPRODUCT(AA60:AA67,AB60:AB67)/SUM(AA60:AA67)</f>
        <v>30.645977887914601</v>
      </c>
      <c r="AC69" s="20">
        <f>SUMPRODUCT(AA60:AA67,AC60:AC67)/SUM(AA60:AA67)</f>
        <v>5.1076629813191006E-2</v>
      </c>
      <c r="AD69" s="20">
        <f>SUMPRODUCT(AA60:AA67,AD60:AD67)/SUM(AA60:AA67)</f>
        <v>0.89801677468547458</v>
      </c>
      <c r="AE69" s="17"/>
      <c r="AF69" s="9">
        <f>SUMPRODUCT(AE60:AE67,AF60:AF67)/SUM(AE60:AE67)</f>
        <v>23.477701543739279</v>
      </c>
      <c r="AG69" s="20">
        <f>SUMPRODUCT(AE60:AE67,AG60:AG67)/SUM(AE60:AE67)</f>
        <v>3.9129502572898801E-2</v>
      </c>
      <c r="AH69" s="20">
        <f>SUMPRODUCT(AE60:AE67,AH60:AH67)/SUM(AE60:AE67)</f>
        <v>0.93601715265866214</v>
      </c>
      <c r="AI69" s="23"/>
      <c r="AJ69" s="9">
        <f>SUMPRODUCT(AI60:AI67,AJ60:AJ67)/SUM(AI60:AI67)</f>
        <v>21.21627450980392</v>
      </c>
      <c r="AK69" s="20">
        <f>SUMPRODUCT(AI60:AI67,AK60:AK67)/SUM(AI60:AI67)</f>
        <v>3.5360457516339872E-2</v>
      </c>
      <c r="AL69" s="20">
        <f>SUMPRODUCT(AI60:AI67,AL60:AL67)/SUM(AI60:AI67)</f>
        <v>0.93866568627450953</v>
      </c>
      <c r="AM69" s="23"/>
      <c r="AN69" s="9">
        <f>SUMPRODUCT(AM60:AM67,AN60:AN67)/SUM(AM60:AM67)</f>
        <v>20.01132075471698</v>
      </c>
      <c r="AO69" s="20">
        <f>SUMPRODUCT(AM60:AM67,AO60:AO67)/SUM(AM60:AM67)</f>
        <v>3.335220125786164E-2</v>
      </c>
      <c r="AP69" s="20">
        <f>SUMPRODUCT(AM60:AM67,AP60:AP67)/SUM(AM60:AM67)</f>
        <v>0.94003830760434537</v>
      </c>
      <c r="AQ69" s="23"/>
      <c r="AR69" s="9">
        <f>SUMPRODUCT(AQ60:AQ67,AR60:AR67)/SUM(AQ60:AQ67)</f>
        <v>19.922443376801649</v>
      </c>
      <c r="AS69" s="20">
        <f>SUMPRODUCT(AQ60:AQ67,AS60:AS67)/SUM(AQ60:AQ67)</f>
        <v>3.3204072294669415E-2</v>
      </c>
      <c r="AT69" s="20">
        <f>SUMPRODUCT(AQ60:AQ67,AT60:AT67)/SUM(AQ60:AQ67)</f>
        <v>0.94263967055593678</v>
      </c>
    </row>
    <row r="70" spans="2:46" ht="15.75" customHeight="1" x14ac:dyDescent="0.2">
      <c r="B70" s="1" t="s">
        <v>11</v>
      </c>
      <c r="C70" s="23"/>
      <c r="D70" s="9">
        <f>SUMPRODUCT(C61:C68,D61:D68)/SUM(C61:C68)</f>
        <v>26.36145634769348</v>
      </c>
      <c r="E70" s="20">
        <f>SUMPRODUCT(C61:C68,E61:E68)/SUM(C61:C68)</f>
        <v>4.3935760579489135E-2</v>
      </c>
      <c r="F70" s="20">
        <f>SUMPRODUCT(C61:C68,F61:F68)/SUM(C61:C68)</f>
        <v>0.91512085398398779</v>
      </c>
      <c r="G70" s="17"/>
      <c r="H70" s="7">
        <f>SUMPRODUCT(G61:G68,H61:H68)/SUM(G61:G68)</f>
        <v>19.901286449399656</v>
      </c>
      <c r="I70" s="20">
        <f>SUMPRODUCT(G61:G68,I61:I68)/SUM(G61:G68)</f>
        <v>3.3168810748999432E-2</v>
      </c>
      <c r="J70" s="20">
        <f>SUMPRODUCT(G61:G68,J61:J68)/SUM(G61:G68)</f>
        <v>0.94639665523156091</v>
      </c>
      <c r="K70" s="23"/>
      <c r="L70" s="7">
        <f>SUMPRODUCT(K61:K68,L61:L68)/SUM(K61:K68)</f>
        <v>18.538382352941177</v>
      </c>
      <c r="M70" s="20">
        <f>SUMPRODUCT(K61:K68,M61:M68)/SUM(K61:K68)</f>
        <v>3.0897303921568631E-2</v>
      </c>
      <c r="N70" s="20">
        <f>SUMPRODUCT(K61:K68,N61:N68)/SUM(K61:K68)</f>
        <v>0.94567009803921565</v>
      </c>
      <c r="O70" s="23"/>
      <c r="P70" s="7">
        <f>SUMPRODUCT(O61:O68,P61:P68)/SUM(O61:O68)</f>
        <v>18.263293310463123</v>
      </c>
      <c r="Q70" s="20">
        <f>SUMPRODUCT(O61:O68,Q61:Q68)/SUM(O61:O68)</f>
        <v>3.0438822184105204E-2</v>
      </c>
      <c r="R70" s="20">
        <f>SUMPRODUCT(O61:O68,R61:R68)/SUM(O61:O68)</f>
        <v>0.94540194396798161</v>
      </c>
      <c r="S70" s="23"/>
      <c r="T70" s="7">
        <f>SUMPRODUCT(S61:S68,T61:T68)/SUM(S61:S68)</f>
        <v>17.660741249142074</v>
      </c>
      <c r="U70" s="20">
        <f>SUMPRODUCT(S61:S68,U61:U68)/SUM(S61:S68)</f>
        <v>2.9434568748570124E-2</v>
      </c>
      <c r="V70" s="20">
        <f>SUMPRODUCT(S61:S68,V61:V68)/SUM(S61:S68)</f>
        <v>0.94851818805765276</v>
      </c>
    </row>
    <row r="71" spans="2:46" ht="15.75" customHeight="1" x14ac:dyDescent="0.2"/>
    <row r="72" spans="2:46" ht="15.75" customHeight="1" x14ac:dyDescent="0.2">
      <c r="C72" s="1">
        <f>SUM(C61:C68)</f>
        <v>13115</v>
      </c>
      <c r="G72" s="1">
        <f>SUM(G61:G68)</f>
        <v>11660</v>
      </c>
      <c r="K72" s="1">
        <f>SUM(K61:K68)</f>
        <v>10200</v>
      </c>
      <c r="O72" s="1">
        <f>SUM(O61:O68)</f>
        <v>8745</v>
      </c>
      <c r="S72" s="1">
        <f>SUM(S61:S68)</f>
        <v>7285</v>
      </c>
    </row>
    <row r="73" spans="2:46" ht="15.75" customHeight="1" x14ac:dyDescent="0.2"/>
    <row r="74" spans="2:46" ht="15.75" customHeight="1" x14ac:dyDescent="0.2"/>
    <row r="75" spans="2:46" ht="15.75" customHeight="1" x14ac:dyDescent="0.2"/>
    <row r="76" spans="2:46" ht="15.75" customHeight="1" x14ac:dyDescent="0.2"/>
    <row r="77" spans="2:46" ht="15.75" customHeight="1" x14ac:dyDescent="0.2"/>
    <row r="78" spans="2:46" ht="15.75" customHeight="1" x14ac:dyDescent="0.2"/>
    <row r="79" spans="2:46" ht="15.75" customHeight="1" x14ac:dyDescent="0.2"/>
    <row r="80" spans="2:4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40">
    <mergeCell ref="D7:F7"/>
    <mergeCell ref="H7:J7"/>
    <mergeCell ref="L7:N7"/>
    <mergeCell ref="P7:R7"/>
    <mergeCell ref="T7:V7"/>
    <mergeCell ref="D27:F27"/>
    <mergeCell ref="H27:J27"/>
    <mergeCell ref="T27:V27"/>
    <mergeCell ref="D59:F59"/>
    <mergeCell ref="H59:J59"/>
    <mergeCell ref="L59:N59"/>
    <mergeCell ref="P59:R59"/>
    <mergeCell ref="T59:V59"/>
    <mergeCell ref="L27:N27"/>
    <mergeCell ref="P27:R27"/>
    <mergeCell ref="D43:F43"/>
    <mergeCell ref="H43:J43"/>
    <mergeCell ref="L43:N43"/>
    <mergeCell ref="P43:R43"/>
    <mergeCell ref="T43:V43"/>
    <mergeCell ref="AB7:AD7"/>
    <mergeCell ref="AF7:AH7"/>
    <mergeCell ref="AJ7:AL7"/>
    <mergeCell ref="AN7:AP7"/>
    <mergeCell ref="AR7:AT7"/>
    <mergeCell ref="AB27:AD27"/>
    <mergeCell ref="AF27:AH27"/>
    <mergeCell ref="AJ27:AL27"/>
    <mergeCell ref="AN27:AP27"/>
    <mergeCell ref="AR27:AT27"/>
    <mergeCell ref="AB42:AD42"/>
    <mergeCell ref="AF42:AH42"/>
    <mergeCell ref="AJ42:AL42"/>
    <mergeCell ref="AN42:AP42"/>
    <mergeCell ref="AR42:AT42"/>
    <mergeCell ref="AB58:AD58"/>
    <mergeCell ref="AF58:AH58"/>
    <mergeCell ref="AJ58:AL58"/>
    <mergeCell ref="AN58:AP58"/>
    <mergeCell ref="AR58:AT58"/>
  </mergeCells>
  <pageMargins left="0.7" right="0.7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AT1003"/>
  <sheetViews>
    <sheetView zoomScale="60" zoomScaleNormal="60" workbookViewId="0">
      <selection activeCell="D20" sqref="D20:T20"/>
    </sheetView>
  </sheetViews>
  <sheetFormatPr baseColWidth="10" defaultColWidth="14.5" defaultRowHeight="15" customHeight="1" x14ac:dyDescent="0.2"/>
  <cols>
    <col min="1" max="1" width="17.83203125" bestFit="1" customWidth="1"/>
    <col min="2" max="2" width="12.5" customWidth="1"/>
    <col min="3" max="3" width="12.6640625" bestFit="1" customWidth="1"/>
    <col min="4" max="4" width="10.6640625" customWidth="1"/>
    <col min="5" max="5" width="12.83203125" bestFit="1" customWidth="1"/>
    <col min="6" max="6" width="11.5" bestFit="1" customWidth="1"/>
    <col min="7" max="7" width="12.6640625" bestFit="1" customWidth="1"/>
    <col min="8" max="8" width="10.6640625" customWidth="1"/>
    <col min="9" max="9" width="12.83203125" bestFit="1" customWidth="1"/>
    <col min="10" max="10" width="11.5" bestFit="1" customWidth="1"/>
    <col min="11" max="11" width="12.6640625" bestFit="1" customWidth="1"/>
    <col min="12" max="12" width="10.6640625" customWidth="1"/>
    <col min="13" max="13" width="12.83203125" bestFit="1" customWidth="1"/>
    <col min="14" max="14" width="11.5" bestFit="1" customWidth="1"/>
    <col min="15" max="15" width="12.6640625" bestFit="1" customWidth="1"/>
    <col min="16" max="16" width="10.6640625" customWidth="1"/>
    <col min="17" max="17" width="12.83203125" bestFit="1" customWidth="1"/>
    <col min="18" max="18" width="11.5" bestFit="1" customWidth="1"/>
    <col min="19" max="19" width="12.6640625" bestFit="1" customWidth="1"/>
    <col min="20" max="20" width="10.6640625" customWidth="1"/>
    <col min="21" max="21" width="12.83203125" bestFit="1" customWidth="1"/>
    <col min="22" max="22" width="11.5" bestFit="1" customWidth="1"/>
    <col min="23" max="23" width="10.6640625" customWidth="1"/>
    <col min="24" max="24" width="10.6640625" style="91" customWidth="1"/>
    <col min="25" max="26" width="10.6640625" customWidth="1"/>
    <col min="27" max="27" width="12.6640625" bestFit="1" customWidth="1"/>
    <col min="31" max="31" width="12.6640625" bestFit="1" customWidth="1"/>
  </cols>
  <sheetData>
    <row r="2" spans="1:46" ht="15" customHeight="1" x14ac:dyDescent="0.2">
      <c r="B2" t="s">
        <v>30</v>
      </c>
      <c r="Z2" t="s">
        <v>29</v>
      </c>
    </row>
    <row r="3" spans="1:46" x14ac:dyDescent="0.2">
      <c r="B3" s="1"/>
      <c r="C3" s="1"/>
      <c r="D3" s="1"/>
      <c r="E3" s="1"/>
    </row>
    <row r="4" spans="1:46" x14ac:dyDescent="0.2">
      <c r="A4" s="1" t="s">
        <v>26</v>
      </c>
    </row>
    <row r="5" spans="1:46" x14ac:dyDescent="0.2">
      <c r="A5" s="1">
        <v>759</v>
      </c>
    </row>
    <row r="7" spans="1:46" ht="16" thickBot="1" x14ac:dyDescent="0.25">
      <c r="A7" s="1"/>
      <c r="D7" s="134">
        <v>0.1</v>
      </c>
      <c r="E7" s="133"/>
      <c r="F7" s="133"/>
      <c r="G7" s="2"/>
      <c r="H7" s="134">
        <v>0.2</v>
      </c>
      <c r="I7" s="133"/>
      <c r="J7" s="133"/>
      <c r="K7" s="2"/>
      <c r="L7" s="134">
        <v>0.3</v>
      </c>
      <c r="M7" s="133"/>
      <c r="N7" s="133"/>
      <c r="O7" s="2"/>
      <c r="P7" s="134">
        <v>0.4</v>
      </c>
      <c r="Q7" s="133"/>
      <c r="R7" s="133"/>
      <c r="S7" s="2"/>
      <c r="T7" s="134">
        <v>0.5</v>
      </c>
      <c r="U7" s="133"/>
      <c r="V7" s="133"/>
      <c r="W7" s="12"/>
      <c r="X7" s="92"/>
      <c r="Y7" s="1"/>
      <c r="AB7" s="134">
        <v>0.1</v>
      </c>
      <c r="AC7" s="133"/>
      <c r="AD7" s="133"/>
      <c r="AE7" s="2"/>
      <c r="AF7" s="134">
        <v>0.2</v>
      </c>
      <c r="AG7" s="133"/>
      <c r="AH7" s="133"/>
      <c r="AI7" s="2"/>
      <c r="AJ7" s="134">
        <v>0.3</v>
      </c>
      <c r="AK7" s="133"/>
      <c r="AL7" s="133"/>
      <c r="AM7" s="2"/>
      <c r="AN7" s="134">
        <v>0.4</v>
      </c>
      <c r="AO7" s="133"/>
      <c r="AP7" s="133"/>
      <c r="AQ7" s="2"/>
      <c r="AR7" s="134">
        <v>0.5</v>
      </c>
      <c r="AS7" s="133"/>
      <c r="AT7" s="133"/>
    </row>
    <row r="8" spans="1:46" ht="16" thickBot="1" x14ac:dyDescent="0.25">
      <c r="B8" s="58" t="s">
        <v>8</v>
      </c>
      <c r="C8" s="43" t="s">
        <v>22</v>
      </c>
      <c r="D8" s="44" t="s">
        <v>7</v>
      </c>
      <c r="E8" s="36" t="s">
        <v>9</v>
      </c>
      <c r="F8" s="45" t="s">
        <v>10</v>
      </c>
      <c r="G8" s="43" t="s">
        <v>22</v>
      </c>
      <c r="H8" s="44" t="s">
        <v>7</v>
      </c>
      <c r="I8" s="36" t="s">
        <v>9</v>
      </c>
      <c r="J8" s="45" t="s">
        <v>10</v>
      </c>
      <c r="K8" s="43" t="s">
        <v>22</v>
      </c>
      <c r="L8" s="36" t="s">
        <v>7</v>
      </c>
      <c r="M8" s="36" t="s">
        <v>9</v>
      </c>
      <c r="N8" s="45" t="s">
        <v>10</v>
      </c>
      <c r="O8" s="43" t="s">
        <v>22</v>
      </c>
      <c r="P8" s="36" t="s">
        <v>7</v>
      </c>
      <c r="Q8" s="36" t="s">
        <v>9</v>
      </c>
      <c r="R8" s="45" t="s">
        <v>10</v>
      </c>
      <c r="S8" s="43" t="s">
        <v>22</v>
      </c>
      <c r="T8" s="36" t="s">
        <v>7</v>
      </c>
      <c r="U8" s="36" t="s">
        <v>9</v>
      </c>
      <c r="V8" s="45" t="s">
        <v>10</v>
      </c>
      <c r="Z8" s="58" t="s">
        <v>8</v>
      </c>
      <c r="AA8" s="62" t="s">
        <v>22</v>
      </c>
      <c r="AB8" s="36" t="s">
        <v>7</v>
      </c>
      <c r="AC8" s="36" t="s">
        <v>9</v>
      </c>
      <c r="AD8" s="45" t="s">
        <v>10</v>
      </c>
      <c r="AE8" s="62" t="s">
        <v>22</v>
      </c>
      <c r="AF8" s="36" t="s">
        <v>7</v>
      </c>
      <c r="AG8" s="36" t="s">
        <v>9</v>
      </c>
      <c r="AH8" s="45" t="s">
        <v>10</v>
      </c>
      <c r="AI8" s="62" t="s">
        <v>22</v>
      </c>
      <c r="AJ8" s="36" t="s">
        <v>7</v>
      </c>
      <c r="AK8" s="36" t="s">
        <v>9</v>
      </c>
      <c r="AL8" s="45" t="s">
        <v>10</v>
      </c>
      <c r="AM8" s="62" t="s">
        <v>22</v>
      </c>
      <c r="AN8" s="36" t="s">
        <v>7</v>
      </c>
      <c r="AO8" s="36" t="s">
        <v>9</v>
      </c>
      <c r="AP8" s="45" t="s">
        <v>10</v>
      </c>
      <c r="AQ8" s="62" t="s">
        <v>22</v>
      </c>
      <c r="AR8" s="36" t="s">
        <v>7</v>
      </c>
      <c r="AS8" s="36" t="s">
        <v>9</v>
      </c>
      <c r="AT8" s="45" t="s">
        <v>10</v>
      </c>
    </row>
    <row r="9" spans="1:46" x14ac:dyDescent="0.2">
      <c r="B9" s="52">
        <v>0</v>
      </c>
      <c r="C9" s="46">
        <f t="shared" ref="C9:V9" si="0">AVERAGE(C29,C45,C60)</f>
        <v>2175</v>
      </c>
      <c r="D9" s="41">
        <f t="shared" si="0"/>
        <v>30.833333333333332</v>
      </c>
      <c r="E9" s="42">
        <f t="shared" si="0"/>
        <v>4.062362758014932E-2</v>
      </c>
      <c r="F9" s="47">
        <f t="shared" si="0"/>
        <v>0.96466666666666667</v>
      </c>
      <c r="G9" s="46">
        <f t="shared" si="0"/>
        <v>1955</v>
      </c>
      <c r="H9" s="41">
        <f t="shared" si="0"/>
        <v>28.266666666666669</v>
      </c>
      <c r="I9" s="42">
        <f t="shared" si="0"/>
        <v>3.7241985068072025E-2</v>
      </c>
      <c r="J9" s="47">
        <f t="shared" si="0"/>
        <v>0.96899999999999997</v>
      </c>
      <c r="K9" s="46">
        <f t="shared" si="0"/>
        <v>1713.3333333333333</v>
      </c>
      <c r="L9" s="41">
        <f t="shared" si="0"/>
        <v>28.066666666666666</v>
      </c>
      <c r="M9" s="42">
        <f t="shared" si="0"/>
        <v>3.6978480456741326E-2</v>
      </c>
      <c r="N9" s="47">
        <f t="shared" si="0"/>
        <v>0.96866666666666668</v>
      </c>
      <c r="O9" s="46">
        <f t="shared" si="0"/>
        <v>1446.6666666666667</v>
      </c>
      <c r="P9" s="41">
        <f t="shared" si="0"/>
        <v>28.233333333333334</v>
      </c>
      <c r="Q9" s="42">
        <f t="shared" si="0"/>
        <v>3.7198067632850246E-2</v>
      </c>
      <c r="R9" s="47">
        <f t="shared" si="0"/>
        <v>0.96899999999999997</v>
      </c>
      <c r="S9" s="46">
        <f t="shared" si="0"/>
        <v>1235</v>
      </c>
      <c r="T9" s="41">
        <f t="shared" si="0"/>
        <v>28.933333333333334</v>
      </c>
      <c r="U9" s="42">
        <f t="shared" si="0"/>
        <v>3.8120333772507682E-2</v>
      </c>
      <c r="V9" s="47">
        <f t="shared" si="0"/>
        <v>0.96699999999999997</v>
      </c>
      <c r="Z9" s="52">
        <v>0</v>
      </c>
      <c r="AA9" s="86">
        <f t="shared" ref="AA9:AT9" si="1">AVERAGE(AA29,AA44,AA60)</f>
        <v>2175</v>
      </c>
      <c r="AB9" s="96">
        <f t="shared" si="1"/>
        <v>36.866666666666667</v>
      </c>
      <c r="AC9" s="97">
        <f t="shared" si="1"/>
        <v>4.8572683355292044E-2</v>
      </c>
      <c r="AD9" s="98">
        <f t="shared" si="1"/>
        <v>0.95499999999999996</v>
      </c>
      <c r="AE9" s="86">
        <f t="shared" si="1"/>
        <v>1955</v>
      </c>
      <c r="AF9" s="96">
        <f t="shared" si="1"/>
        <v>31.766666666666669</v>
      </c>
      <c r="AG9" s="97">
        <f t="shared" si="1"/>
        <v>4.1853315766359249E-2</v>
      </c>
      <c r="AH9" s="98">
        <f t="shared" si="1"/>
        <v>0.96399999999999997</v>
      </c>
      <c r="AI9" s="86">
        <f t="shared" si="1"/>
        <v>1713.3333333333333</v>
      </c>
      <c r="AJ9" s="96">
        <f t="shared" si="1"/>
        <v>31.633333333333336</v>
      </c>
      <c r="AK9" s="97">
        <f t="shared" si="1"/>
        <v>4.1677646025472109E-2</v>
      </c>
      <c r="AL9" s="98">
        <f t="shared" si="1"/>
        <v>0.96366666666666667</v>
      </c>
      <c r="AM9" s="86">
        <f t="shared" si="1"/>
        <v>1446.6666666666667</v>
      </c>
      <c r="AN9" s="96">
        <f t="shared" si="1"/>
        <v>30.7</v>
      </c>
      <c r="AO9" s="97">
        <f t="shared" si="1"/>
        <v>4.0447957839262187E-2</v>
      </c>
      <c r="AP9" s="98">
        <f t="shared" si="1"/>
        <v>0.96566666666666656</v>
      </c>
      <c r="AQ9" s="86">
        <f t="shared" si="1"/>
        <v>1235</v>
      </c>
      <c r="AR9" s="96">
        <f t="shared" si="1"/>
        <v>31.099999999999998</v>
      </c>
      <c r="AS9" s="97">
        <f t="shared" si="1"/>
        <v>4.0974967061923585E-2</v>
      </c>
      <c r="AT9" s="98">
        <f t="shared" si="1"/>
        <v>0.96433333333333326</v>
      </c>
    </row>
    <row r="10" spans="1:46" x14ac:dyDescent="0.2">
      <c r="B10" s="52">
        <v>1</v>
      </c>
      <c r="C10" s="46">
        <f t="shared" ref="C10:V10" si="2">AVERAGE(C30,C46,C61)</f>
        <v>2278.3333333333335</v>
      </c>
      <c r="D10" s="41">
        <f t="shared" si="2"/>
        <v>27.266666666666666</v>
      </c>
      <c r="E10" s="42">
        <f t="shared" si="2"/>
        <v>3.592446201141853E-2</v>
      </c>
      <c r="F10" s="47">
        <f t="shared" si="2"/>
        <v>0.95833333333333337</v>
      </c>
      <c r="G10" s="46">
        <f t="shared" si="2"/>
        <v>2016.6666666666667</v>
      </c>
      <c r="H10" s="41">
        <f t="shared" si="2"/>
        <v>26</v>
      </c>
      <c r="I10" s="42">
        <f t="shared" si="2"/>
        <v>3.4255599472990776E-2</v>
      </c>
      <c r="J10" s="47">
        <f t="shared" si="2"/>
        <v>0.95966666666666667</v>
      </c>
      <c r="K10" s="46">
        <f t="shared" si="2"/>
        <v>1753.3333333333333</v>
      </c>
      <c r="L10" s="41">
        <f t="shared" si="2"/>
        <v>26.099999999999998</v>
      </c>
      <c r="M10" s="42">
        <f t="shared" si="2"/>
        <v>3.4387351778656122E-2</v>
      </c>
      <c r="N10" s="47">
        <f t="shared" si="2"/>
        <v>0.95800000000000007</v>
      </c>
      <c r="O10" s="46">
        <f t="shared" si="2"/>
        <v>1506.6666666666667</v>
      </c>
      <c r="P10" s="41">
        <f t="shared" si="2"/>
        <v>24.766666666666666</v>
      </c>
      <c r="Q10" s="42">
        <f t="shared" si="2"/>
        <v>3.2630654369784802E-2</v>
      </c>
      <c r="R10" s="47">
        <f t="shared" si="2"/>
        <v>0.96099999999999997</v>
      </c>
      <c r="S10" s="46">
        <f t="shared" si="2"/>
        <v>1280</v>
      </c>
      <c r="T10" s="41">
        <f t="shared" si="2"/>
        <v>25.566666666666663</v>
      </c>
      <c r="U10" s="42">
        <f t="shared" si="2"/>
        <v>3.3684672815107598E-2</v>
      </c>
      <c r="V10" s="47">
        <f t="shared" si="2"/>
        <v>0.95733333333333326</v>
      </c>
      <c r="Z10" s="52">
        <v>1</v>
      </c>
      <c r="AA10" s="46">
        <f t="shared" ref="AA10:AD10" si="3">AVERAGE(AA30,AA45,AA61)</f>
        <v>2278.3333333333335</v>
      </c>
      <c r="AB10" s="61">
        <f t="shared" si="3"/>
        <v>34.733333333333327</v>
      </c>
      <c r="AC10" s="42">
        <f t="shared" si="3"/>
        <v>4.5761967501097935E-2</v>
      </c>
      <c r="AD10" s="47">
        <f t="shared" si="3"/>
        <v>0.93566666666666665</v>
      </c>
      <c r="AE10" s="46">
        <f t="shared" ref="AE10:AT10" si="4">AVERAGE(AE30,AE45,AE61)</f>
        <v>2016.6666666666667</v>
      </c>
      <c r="AF10" s="61">
        <f t="shared" si="4"/>
        <v>29.666666666666668</v>
      </c>
      <c r="AG10" s="42">
        <f t="shared" si="4"/>
        <v>3.9086517347386919E-2</v>
      </c>
      <c r="AH10" s="47">
        <f t="shared" si="4"/>
        <v>0.95033333333333336</v>
      </c>
      <c r="AI10" s="46">
        <f t="shared" si="4"/>
        <v>1753.3333333333333</v>
      </c>
      <c r="AJ10" s="61">
        <f t="shared" si="4"/>
        <v>28.066666666666663</v>
      </c>
      <c r="AK10" s="42">
        <f t="shared" si="4"/>
        <v>3.6978480456741319E-2</v>
      </c>
      <c r="AL10" s="47">
        <f t="shared" si="4"/>
        <v>0.95433333333333337</v>
      </c>
      <c r="AM10" s="46">
        <f t="shared" si="4"/>
        <v>1506.6666666666667</v>
      </c>
      <c r="AN10" s="61">
        <f t="shared" si="4"/>
        <v>27.599999999999998</v>
      </c>
      <c r="AO10" s="42">
        <f t="shared" si="4"/>
        <v>3.6363636363636355E-2</v>
      </c>
      <c r="AP10" s="47">
        <f t="shared" si="4"/>
        <v>0.95666666666666667</v>
      </c>
      <c r="AQ10" s="46">
        <f t="shared" si="4"/>
        <v>1280</v>
      </c>
      <c r="AR10" s="61">
        <f t="shared" si="4"/>
        <v>27.866666666666664</v>
      </c>
      <c r="AS10" s="42">
        <f t="shared" si="4"/>
        <v>3.6714975845410627E-2</v>
      </c>
      <c r="AT10" s="47">
        <f t="shared" si="4"/>
        <v>0.95500000000000007</v>
      </c>
    </row>
    <row r="11" spans="1:46" x14ac:dyDescent="0.2">
      <c r="B11" s="52">
        <v>2</v>
      </c>
      <c r="C11" s="46">
        <f t="shared" ref="C11:V11" si="5">AVERAGE(C31,C47,C62)</f>
        <v>1703.3333333333333</v>
      </c>
      <c r="D11" s="41">
        <f t="shared" si="5"/>
        <v>34.633333333333333</v>
      </c>
      <c r="E11" s="42">
        <f t="shared" si="5"/>
        <v>4.5630215195432589E-2</v>
      </c>
      <c r="F11" s="47">
        <f t="shared" si="5"/>
        <v>0.85833333333333339</v>
      </c>
      <c r="G11" s="46">
        <f t="shared" si="5"/>
        <v>1485</v>
      </c>
      <c r="H11" s="41">
        <f t="shared" si="5"/>
        <v>26.400000000000002</v>
      </c>
      <c r="I11" s="42">
        <f t="shared" si="5"/>
        <v>3.4782608695652174E-2</v>
      </c>
      <c r="J11" s="47">
        <f t="shared" si="5"/>
        <v>0.88300000000000001</v>
      </c>
      <c r="K11" s="46">
        <f t="shared" si="5"/>
        <v>1328.3333333333333</v>
      </c>
      <c r="L11" s="41">
        <f t="shared" si="5"/>
        <v>24.2</v>
      </c>
      <c r="M11" s="42">
        <f t="shared" si="5"/>
        <v>3.1884057971014491E-2</v>
      </c>
      <c r="N11" s="47">
        <f t="shared" si="5"/>
        <v>0.89566666666666661</v>
      </c>
      <c r="O11" s="46">
        <f t="shared" si="5"/>
        <v>1123.3333333333333</v>
      </c>
      <c r="P11" s="41">
        <f t="shared" si="5"/>
        <v>23.433333333333334</v>
      </c>
      <c r="Q11" s="42">
        <f t="shared" si="5"/>
        <v>3.0873956960913482E-2</v>
      </c>
      <c r="R11" s="47">
        <f t="shared" si="5"/>
        <v>0.90566666666666673</v>
      </c>
      <c r="S11" s="46">
        <f t="shared" si="5"/>
        <v>918.33333333333337</v>
      </c>
      <c r="T11" s="41">
        <f t="shared" si="5"/>
        <v>25.133333333333336</v>
      </c>
      <c r="U11" s="42">
        <f t="shared" si="5"/>
        <v>3.311374615722442E-2</v>
      </c>
      <c r="V11" s="47">
        <f t="shared" si="5"/>
        <v>0.89500000000000002</v>
      </c>
      <c r="Z11" s="52">
        <v>2</v>
      </c>
      <c r="AA11" s="46">
        <f t="shared" ref="AA11:AD11" si="6">AVERAGE(AA31,AA46,AA62)</f>
        <v>1703.3333333333333</v>
      </c>
      <c r="AB11" s="61">
        <f t="shared" si="6"/>
        <v>40.699999999999996</v>
      </c>
      <c r="AC11" s="42">
        <f t="shared" si="6"/>
        <v>5.3623188405797106E-2</v>
      </c>
      <c r="AD11" s="47">
        <f t="shared" si="6"/>
        <v>0.82400000000000018</v>
      </c>
      <c r="AE11" s="46">
        <f t="shared" ref="AE11:AT11" si="7">AVERAGE(AE31,AE46,AE62)</f>
        <v>1485</v>
      </c>
      <c r="AF11" s="61">
        <f t="shared" si="7"/>
        <v>29.666666666666668</v>
      </c>
      <c r="AG11" s="42">
        <f t="shared" si="7"/>
        <v>3.9086517347386912E-2</v>
      </c>
      <c r="AH11" s="47">
        <f t="shared" si="7"/>
        <v>0.87699999999999989</v>
      </c>
      <c r="AI11" s="46">
        <f t="shared" si="7"/>
        <v>1328.3333333333333</v>
      </c>
      <c r="AJ11" s="61">
        <f t="shared" si="7"/>
        <v>27.766666666666669</v>
      </c>
      <c r="AK11" s="42">
        <f t="shared" si="7"/>
        <v>3.6583223539745281E-2</v>
      </c>
      <c r="AL11" s="47">
        <f t="shared" si="7"/>
        <v>0.8783333333333333</v>
      </c>
      <c r="AM11" s="46">
        <f t="shared" si="7"/>
        <v>1123.3333333333333</v>
      </c>
      <c r="AN11" s="61">
        <f t="shared" si="7"/>
        <v>25.233333333333334</v>
      </c>
      <c r="AO11" s="42">
        <f t="shared" si="7"/>
        <v>3.3245498462889767E-2</v>
      </c>
      <c r="AP11" s="47">
        <f t="shared" si="7"/>
        <v>0.89900000000000002</v>
      </c>
      <c r="AQ11" s="46">
        <f t="shared" si="7"/>
        <v>918.33333333333337</v>
      </c>
      <c r="AR11" s="61">
        <f t="shared" si="7"/>
        <v>25.766666666666669</v>
      </c>
      <c r="AS11" s="42">
        <f t="shared" si="7"/>
        <v>3.3948177426438297E-2</v>
      </c>
      <c r="AT11" s="47">
        <f t="shared" si="7"/>
        <v>0.90099999999999991</v>
      </c>
    </row>
    <row r="12" spans="1:46" x14ac:dyDescent="0.2">
      <c r="B12" s="52">
        <v>3</v>
      </c>
      <c r="C12" s="46">
        <f t="shared" ref="C12:V12" si="8">AVERAGE(C32,C48,C63)</f>
        <v>1408.3333333333333</v>
      </c>
      <c r="D12" s="41">
        <f t="shared" si="8"/>
        <v>41.666666666666664</v>
      </c>
      <c r="E12" s="42">
        <f t="shared" si="8"/>
        <v>5.4896794027228808E-2</v>
      </c>
      <c r="F12" s="47">
        <f t="shared" si="8"/>
        <v>0.95233333333333337</v>
      </c>
      <c r="G12" s="46">
        <f t="shared" si="8"/>
        <v>1243.3333333333333</v>
      </c>
      <c r="H12" s="41">
        <f t="shared" si="8"/>
        <v>27.633333333333336</v>
      </c>
      <c r="I12" s="42">
        <f t="shared" si="8"/>
        <v>3.6407553798858149E-2</v>
      </c>
      <c r="J12" s="47">
        <f t="shared" si="8"/>
        <v>0.97333333333333327</v>
      </c>
      <c r="K12" s="46">
        <f t="shared" si="8"/>
        <v>1095</v>
      </c>
      <c r="L12" s="41">
        <f t="shared" si="8"/>
        <v>24.566666666666666</v>
      </c>
      <c r="M12" s="42">
        <f t="shared" si="8"/>
        <v>3.236714975845411E-2</v>
      </c>
      <c r="N12" s="47">
        <f t="shared" si="8"/>
        <v>0.97633333333333328</v>
      </c>
      <c r="O12" s="46">
        <f t="shared" si="8"/>
        <v>946.66666666666663</v>
      </c>
      <c r="P12" s="41">
        <f t="shared" si="8"/>
        <v>24.666666666666668</v>
      </c>
      <c r="Q12" s="42">
        <f t="shared" si="8"/>
        <v>3.2498902064119456E-2</v>
      </c>
      <c r="R12" s="47">
        <f t="shared" si="8"/>
        <v>0.97633333333333328</v>
      </c>
      <c r="S12" s="46">
        <f t="shared" si="8"/>
        <v>770</v>
      </c>
      <c r="T12" s="41">
        <f t="shared" si="8"/>
        <v>25.466666666666669</v>
      </c>
      <c r="U12" s="42">
        <f t="shared" si="8"/>
        <v>3.3552920509442245E-2</v>
      </c>
      <c r="V12" s="47">
        <f t="shared" si="8"/>
        <v>0.97166666666666668</v>
      </c>
      <c r="Z12" s="52">
        <v>3</v>
      </c>
      <c r="AA12" s="46">
        <f t="shared" ref="AA12:AD12" si="9">AVERAGE(AA32,AA47,AA63)</f>
        <v>1408.3333333333333</v>
      </c>
      <c r="AB12" s="61">
        <f t="shared" si="9"/>
        <v>52</v>
      </c>
      <c r="AC12" s="42">
        <f t="shared" si="9"/>
        <v>6.8511198945981552E-2</v>
      </c>
      <c r="AD12" s="47">
        <f t="shared" si="9"/>
        <v>0.93</v>
      </c>
      <c r="AE12" s="46">
        <f t="shared" ref="AE12:AT12" si="10">AVERAGE(AE32,AE47,AE63)</f>
        <v>1243.3333333333333</v>
      </c>
      <c r="AF12" s="61">
        <f t="shared" si="10"/>
        <v>34.466666666666669</v>
      </c>
      <c r="AG12" s="42">
        <f t="shared" si="10"/>
        <v>4.5410628019323669E-2</v>
      </c>
      <c r="AH12" s="47">
        <f t="shared" si="10"/>
        <v>0.96266666666666667</v>
      </c>
      <c r="AI12" s="46">
        <f t="shared" si="10"/>
        <v>1095</v>
      </c>
      <c r="AJ12" s="61">
        <f t="shared" si="10"/>
        <v>28.166666666666668</v>
      </c>
      <c r="AK12" s="42">
        <f t="shared" si="10"/>
        <v>3.7110232762406679E-2</v>
      </c>
      <c r="AL12" s="47">
        <f t="shared" si="10"/>
        <v>0.97266666666666657</v>
      </c>
      <c r="AM12" s="46">
        <f t="shared" si="10"/>
        <v>946.66666666666663</v>
      </c>
      <c r="AN12" s="61">
        <f t="shared" si="10"/>
        <v>28.733333333333334</v>
      </c>
      <c r="AO12" s="42">
        <f t="shared" si="10"/>
        <v>3.785682916117699E-2</v>
      </c>
      <c r="AP12" s="47">
        <f t="shared" si="10"/>
        <v>0.97266666666666668</v>
      </c>
      <c r="AQ12" s="46">
        <f t="shared" si="10"/>
        <v>770</v>
      </c>
      <c r="AR12" s="61">
        <f t="shared" si="10"/>
        <v>30.033333333333331</v>
      </c>
      <c r="AS12" s="42">
        <f t="shared" si="10"/>
        <v>3.9569609134826524E-2</v>
      </c>
      <c r="AT12" s="47">
        <f t="shared" si="10"/>
        <v>0.96766666666666656</v>
      </c>
    </row>
    <row r="13" spans="1:46" x14ac:dyDescent="0.2">
      <c r="B13" s="52">
        <v>4</v>
      </c>
      <c r="C13" s="46">
        <f t="shared" ref="C13:V13" si="11">AVERAGE(C33,C49,C64)</f>
        <v>1525</v>
      </c>
      <c r="D13" s="41">
        <f t="shared" si="11"/>
        <v>33.333333333333336</v>
      </c>
      <c r="E13" s="42">
        <f t="shared" si="11"/>
        <v>4.3917435221783048E-2</v>
      </c>
      <c r="F13" s="47">
        <f t="shared" si="11"/>
        <v>0.96233333333333337</v>
      </c>
      <c r="G13" s="46">
        <f t="shared" si="11"/>
        <v>1348.3333333333333</v>
      </c>
      <c r="H13" s="41">
        <f t="shared" si="11"/>
        <v>28.733333333333334</v>
      </c>
      <c r="I13" s="42">
        <f t="shared" si="11"/>
        <v>3.785682916117699E-2</v>
      </c>
      <c r="J13" s="47">
        <f t="shared" si="11"/>
        <v>0.97000000000000008</v>
      </c>
      <c r="K13" s="46">
        <f t="shared" si="11"/>
        <v>1170</v>
      </c>
      <c r="L13" s="41">
        <f t="shared" si="11"/>
        <v>26.099999999999998</v>
      </c>
      <c r="M13" s="42">
        <f t="shared" si="11"/>
        <v>3.4387351778656129E-2</v>
      </c>
      <c r="N13" s="47">
        <f t="shared" si="11"/>
        <v>0.97266666666666668</v>
      </c>
      <c r="O13" s="46">
        <f t="shared" si="11"/>
        <v>1006.6666666666666</v>
      </c>
      <c r="P13" s="41">
        <f t="shared" si="11"/>
        <v>26.133333333333336</v>
      </c>
      <c r="Q13" s="42">
        <f t="shared" si="11"/>
        <v>3.4431269213877909E-2</v>
      </c>
      <c r="R13" s="47">
        <f t="shared" si="11"/>
        <v>0.97166666666666668</v>
      </c>
      <c r="S13" s="46">
        <f t="shared" si="11"/>
        <v>848.33333333333337</v>
      </c>
      <c r="T13" s="41">
        <f t="shared" si="11"/>
        <v>27.166666666666668</v>
      </c>
      <c r="U13" s="42">
        <f t="shared" si="11"/>
        <v>3.5792709705753184E-2</v>
      </c>
      <c r="V13" s="47">
        <f t="shared" si="11"/>
        <v>0.96933333333333327</v>
      </c>
      <c r="Z13" s="52">
        <v>4</v>
      </c>
      <c r="AA13" s="46">
        <f t="shared" ref="AA13:AD13" si="12">AVERAGE(AA33,AA48,AA64)</f>
        <v>1525</v>
      </c>
      <c r="AB13" s="61">
        <f t="shared" si="12"/>
        <v>40.866666666666667</v>
      </c>
      <c r="AC13" s="42">
        <f t="shared" si="12"/>
        <v>5.3842775581906012E-2</v>
      </c>
      <c r="AD13" s="47">
        <f t="shared" si="12"/>
        <v>0.94733333333333325</v>
      </c>
      <c r="AE13" s="46">
        <f t="shared" ref="AE13:AT13" si="13">AVERAGE(AE33,AE48,AE64)</f>
        <v>1348.3333333333333</v>
      </c>
      <c r="AF13" s="61">
        <f t="shared" si="13"/>
        <v>34.5</v>
      </c>
      <c r="AG13" s="42">
        <f t="shared" si="13"/>
        <v>4.5454545454545449E-2</v>
      </c>
      <c r="AH13" s="47">
        <f t="shared" si="13"/>
        <v>0.96133333333333326</v>
      </c>
      <c r="AI13" s="46">
        <f t="shared" si="13"/>
        <v>1170</v>
      </c>
      <c r="AJ13" s="61">
        <f t="shared" si="13"/>
        <v>29.966666666666669</v>
      </c>
      <c r="AK13" s="42">
        <f t="shared" si="13"/>
        <v>3.9481774264382957E-2</v>
      </c>
      <c r="AL13" s="47">
        <f t="shared" si="13"/>
        <v>0.96699999999999997</v>
      </c>
      <c r="AM13" s="46">
        <f t="shared" si="13"/>
        <v>1006.6666666666666</v>
      </c>
      <c r="AN13" s="61">
        <f t="shared" si="13"/>
        <v>28.466666666666669</v>
      </c>
      <c r="AO13" s="42">
        <f t="shared" si="13"/>
        <v>3.7505489679402725E-2</v>
      </c>
      <c r="AP13" s="47">
        <f t="shared" si="13"/>
        <v>0.96899999999999997</v>
      </c>
      <c r="AQ13" s="46">
        <f t="shared" si="13"/>
        <v>848.33333333333337</v>
      </c>
      <c r="AR13" s="61">
        <f t="shared" si="13"/>
        <v>29.166666666666668</v>
      </c>
      <c r="AS13" s="42">
        <f t="shared" si="13"/>
        <v>3.8427755819060161E-2</v>
      </c>
      <c r="AT13" s="47">
        <f t="shared" si="13"/>
        <v>0.96699999999999997</v>
      </c>
    </row>
    <row r="14" spans="1:46" x14ac:dyDescent="0.2">
      <c r="B14" s="52">
        <v>5</v>
      </c>
      <c r="C14" s="46">
        <f t="shared" ref="C14:V14" si="14">AVERAGE(C34,C50,C65)</f>
        <v>1588.3333333333333</v>
      </c>
      <c r="D14" s="41">
        <f t="shared" si="14"/>
        <v>28.033333333333331</v>
      </c>
      <c r="E14" s="42">
        <f t="shared" si="14"/>
        <v>3.6934563021519547E-2</v>
      </c>
      <c r="F14" s="47">
        <f t="shared" si="14"/>
        <v>0.95666666666666667</v>
      </c>
      <c r="G14" s="46">
        <f t="shared" si="14"/>
        <v>1446.6666666666667</v>
      </c>
      <c r="H14" s="41">
        <f t="shared" si="14"/>
        <v>25.366666666666664</v>
      </c>
      <c r="I14" s="42">
        <f t="shared" si="14"/>
        <v>3.3421168203776899E-2</v>
      </c>
      <c r="J14" s="47">
        <f t="shared" si="14"/>
        <v>0.95866666666666667</v>
      </c>
      <c r="K14" s="46">
        <f t="shared" si="14"/>
        <v>1255</v>
      </c>
      <c r="L14" s="41">
        <f t="shared" si="14"/>
        <v>23.900000000000002</v>
      </c>
      <c r="M14" s="42">
        <f t="shared" si="14"/>
        <v>3.1488801054018446E-2</v>
      </c>
      <c r="N14" s="47">
        <f t="shared" si="14"/>
        <v>0.96166666666666656</v>
      </c>
      <c r="O14" s="46">
        <f>AVERAGE(O34,O50,O65)</f>
        <v>1080</v>
      </c>
      <c r="P14" s="41">
        <f t="shared" si="14"/>
        <v>23.8</v>
      </c>
      <c r="Q14" s="42">
        <f t="shared" si="14"/>
        <v>3.1357048748353093E-2</v>
      </c>
      <c r="R14" s="47">
        <f t="shared" si="14"/>
        <v>0.96200000000000008</v>
      </c>
      <c r="S14" s="46">
        <f t="shared" si="14"/>
        <v>881.66666666666663</v>
      </c>
      <c r="T14" s="41">
        <f t="shared" si="14"/>
        <v>25</v>
      </c>
      <c r="U14" s="42">
        <f t="shared" si="14"/>
        <v>3.2938076416337281E-2</v>
      </c>
      <c r="V14" s="47">
        <f t="shared" si="14"/>
        <v>0.95633333333333326</v>
      </c>
      <c r="Z14" s="52">
        <v>5</v>
      </c>
      <c r="AA14" s="46">
        <f t="shared" ref="AA14:AD14" si="15">AVERAGE(AA34,AA49,AA65)</f>
        <v>1588.3333333333333</v>
      </c>
      <c r="AB14" s="61">
        <f t="shared" si="15"/>
        <v>34.933333333333337</v>
      </c>
      <c r="AC14" s="42">
        <f t="shared" si="15"/>
        <v>4.6025472112428634E-2</v>
      </c>
      <c r="AD14" s="47">
        <f t="shared" si="15"/>
        <v>0.93733333333333346</v>
      </c>
      <c r="AE14" s="46">
        <f t="shared" ref="AE14:AT14" si="16">AVERAGE(AE34,AE49,AE65)</f>
        <v>1446.6666666666667</v>
      </c>
      <c r="AF14" s="61">
        <f t="shared" si="16"/>
        <v>28.966666666666669</v>
      </c>
      <c r="AG14" s="42">
        <f t="shared" si="16"/>
        <v>3.8164251207729476E-2</v>
      </c>
      <c r="AH14" s="47">
        <f t="shared" si="16"/>
        <v>0.94966666666666677</v>
      </c>
      <c r="AI14" s="46">
        <f t="shared" si="16"/>
        <v>1255</v>
      </c>
      <c r="AJ14" s="61">
        <f t="shared" si="16"/>
        <v>26.8</v>
      </c>
      <c r="AK14" s="42">
        <f t="shared" si="16"/>
        <v>3.5309617918313572E-2</v>
      </c>
      <c r="AL14" s="47">
        <f t="shared" si="16"/>
        <v>0.95499999999999996</v>
      </c>
      <c r="AM14" s="46">
        <f t="shared" si="16"/>
        <v>1080</v>
      </c>
      <c r="AN14" s="61">
        <f t="shared" si="16"/>
        <v>26.2</v>
      </c>
      <c r="AO14" s="42">
        <f t="shared" si="16"/>
        <v>3.4519104084321482E-2</v>
      </c>
      <c r="AP14" s="47">
        <f t="shared" si="16"/>
        <v>0.95699999999999996</v>
      </c>
      <c r="AQ14" s="46">
        <f t="shared" si="16"/>
        <v>881.66666666666663</v>
      </c>
      <c r="AR14" s="61">
        <f t="shared" si="16"/>
        <v>28.100000000000005</v>
      </c>
      <c r="AS14" s="42">
        <f t="shared" si="16"/>
        <v>3.7022397891963106E-2</v>
      </c>
      <c r="AT14" s="47">
        <f t="shared" si="16"/>
        <v>0.95233333333333337</v>
      </c>
    </row>
    <row r="15" spans="1:46" x14ac:dyDescent="0.2">
      <c r="B15" s="52">
        <v>6</v>
      </c>
      <c r="C15" s="46">
        <f t="shared" ref="C15:V15" si="17">AVERAGE(C35,C51,C66)</f>
        <v>1391.6666666666667</v>
      </c>
      <c r="D15" s="41">
        <f t="shared" si="17"/>
        <v>36.233333333333334</v>
      </c>
      <c r="E15" s="42">
        <f t="shared" si="17"/>
        <v>4.7738252086078174E-2</v>
      </c>
      <c r="F15" s="47">
        <f t="shared" si="17"/>
        <v>0.91133333333333333</v>
      </c>
      <c r="G15" s="46">
        <f t="shared" si="17"/>
        <v>1248.3333333333333</v>
      </c>
      <c r="H15" s="41">
        <f t="shared" si="17"/>
        <v>29.766666666666669</v>
      </c>
      <c r="I15" s="42">
        <f t="shared" si="17"/>
        <v>3.9218269653052258E-2</v>
      </c>
      <c r="J15" s="47">
        <f t="shared" si="17"/>
        <v>0.94666666666666666</v>
      </c>
      <c r="K15" s="46">
        <f t="shared" si="17"/>
        <v>1088.3333333333333</v>
      </c>
      <c r="L15" s="41">
        <f t="shared" si="17"/>
        <v>26.733333333333334</v>
      </c>
      <c r="M15" s="42">
        <f t="shared" si="17"/>
        <v>3.5221783047870006E-2</v>
      </c>
      <c r="N15" s="47">
        <f t="shared" si="17"/>
        <v>0.95633333333333326</v>
      </c>
      <c r="O15" s="46">
        <f t="shared" si="17"/>
        <v>933.33333333333337</v>
      </c>
      <c r="P15" s="41">
        <f t="shared" si="17"/>
        <v>27</v>
      </c>
      <c r="Q15" s="42">
        <f t="shared" si="17"/>
        <v>3.5573122529644265E-2</v>
      </c>
      <c r="R15" s="47">
        <f t="shared" si="17"/>
        <v>0.95333333333333325</v>
      </c>
      <c r="S15" s="46">
        <f t="shared" si="17"/>
        <v>770</v>
      </c>
      <c r="T15" s="41">
        <f t="shared" si="17"/>
        <v>27.400000000000002</v>
      </c>
      <c r="U15" s="42">
        <f t="shared" si="17"/>
        <v>3.610013175230567E-2</v>
      </c>
      <c r="V15" s="47">
        <f t="shared" si="17"/>
        <v>0.95266666666666666</v>
      </c>
      <c r="Z15" s="52">
        <v>6</v>
      </c>
      <c r="AA15" s="46">
        <f t="shared" ref="AA15:AD15" si="18">AVERAGE(AA35,AA50,AA66)</f>
        <v>1391.6666666666667</v>
      </c>
      <c r="AB15" s="61">
        <f t="shared" si="18"/>
        <v>43.533333333333331</v>
      </c>
      <c r="AC15" s="42">
        <f t="shared" si="18"/>
        <v>5.7356170399648666E-2</v>
      </c>
      <c r="AD15" s="47">
        <f t="shared" si="18"/>
        <v>0.8803333333333333</v>
      </c>
      <c r="AE15" s="46">
        <f t="shared" ref="AE15:AT15" si="19">AVERAGE(AE35,AE50,AE66)</f>
        <v>1248.3333333333333</v>
      </c>
      <c r="AF15" s="61">
        <f t="shared" si="19"/>
        <v>33.833333333333336</v>
      </c>
      <c r="AG15" s="42">
        <f t="shared" si="19"/>
        <v>4.4576196750109799E-2</v>
      </c>
      <c r="AH15" s="47">
        <f t="shared" si="19"/>
        <v>0.93299999999999994</v>
      </c>
      <c r="AI15" s="46">
        <f t="shared" si="19"/>
        <v>1088.3333333333333</v>
      </c>
      <c r="AJ15" s="61">
        <f t="shared" si="19"/>
        <v>29.033333333333331</v>
      </c>
      <c r="AK15" s="42">
        <f t="shared" si="19"/>
        <v>3.8252086078173035E-2</v>
      </c>
      <c r="AL15" s="47">
        <f t="shared" si="19"/>
        <v>0.94899999999999995</v>
      </c>
      <c r="AM15" s="46">
        <f t="shared" si="19"/>
        <v>933.33333333333337</v>
      </c>
      <c r="AN15" s="61">
        <f t="shared" si="19"/>
        <v>29.099999999999998</v>
      </c>
      <c r="AO15" s="42">
        <f t="shared" si="19"/>
        <v>3.8339920948616601E-2</v>
      </c>
      <c r="AP15" s="47">
        <f t="shared" si="19"/>
        <v>0.94866666666666666</v>
      </c>
      <c r="AQ15" s="46">
        <f t="shared" si="19"/>
        <v>770</v>
      </c>
      <c r="AR15" s="61">
        <f t="shared" si="19"/>
        <v>28.666666666666668</v>
      </c>
      <c r="AS15" s="42">
        <f t="shared" si="19"/>
        <v>3.7768994290733417E-2</v>
      </c>
      <c r="AT15" s="47">
        <f t="shared" si="19"/>
        <v>0.95033333333333336</v>
      </c>
    </row>
    <row r="16" spans="1:46" ht="16" thickBot="1" x14ac:dyDescent="0.25">
      <c r="B16" s="53">
        <v>7</v>
      </c>
      <c r="C16" s="48">
        <f t="shared" ref="C16:V16" si="20">AVERAGE(C36,C52,C67)</f>
        <v>1055</v>
      </c>
      <c r="D16" s="49">
        <f t="shared" si="20"/>
        <v>45.633333333333326</v>
      </c>
      <c r="E16" s="50">
        <f t="shared" si="20"/>
        <v>6.0122968818620996E-2</v>
      </c>
      <c r="F16" s="51">
        <f t="shared" si="20"/>
        <v>0.89266666666666661</v>
      </c>
      <c r="G16" s="48">
        <f t="shared" si="20"/>
        <v>921.66666666666663</v>
      </c>
      <c r="H16" s="49">
        <f t="shared" si="20"/>
        <v>27.633333333333336</v>
      </c>
      <c r="I16" s="50">
        <f t="shared" si="20"/>
        <v>3.6407553798858149E-2</v>
      </c>
      <c r="J16" s="51">
        <f t="shared" si="20"/>
        <v>0.95366666666666655</v>
      </c>
      <c r="K16" s="48">
        <f t="shared" si="20"/>
        <v>806.66666666666663</v>
      </c>
      <c r="L16" s="49">
        <f t="shared" si="20"/>
        <v>27.033333333333331</v>
      </c>
      <c r="M16" s="50">
        <f t="shared" si="20"/>
        <v>3.5617039964866051E-2</v>
      </c>
      <c r="N16" s="51">
        <f t="shared" si="20"/>
        <v>0.95000000000000007</v>
      </c>
      <c r="O16" s="48">
        <f t="shared" si="20"/>
        <v>706.66666666666663</v>
      </c>
      <c r="P16" s="49">
        <f t="shared" si="20"/>
        <v>28.233333333333334</v>
      </c>
      <c r="Q16" s="50">
        <f t="shared" si="20"/>
        <v>3.7198067632850246E-2</v>
      </c>
      <c r="R16" s="51">
        <f t="shared" si="20"/>
        <v>0.94533333333333325</v>
      </c>
      <c r="S16" s="48">
        <f t="shared" si="20"/>
        <v>586.66666666666663</v>
      </c>
      <c r="T16" s="49">
        <f t="shared" si="20"/>
        <v>26.133333333333336</v>
      </c>
      <c r="U16" s="50">
        <f t="shared" si="20"/>
        <v>3.4431269213877909E-2</v>
      </c>
      <c r="V16" s="51">
        <f t="shared" si="20"/>
        <v>0.95266666666666666</v>
      </c>
      <c r="Z16" s="53">
        <v>7</v>
      </c>
      <c r="AA16" s="48">
        <f t="shared" ref="AA16:AD16" si="21">AVERAGE(AA36,AA51,AA67)</f>
        <v>1055</v>
      </c>
      <c r="AB16" s="63">
        <f t="shared" si="21"/>
        <v>55.800000000000004</v>
      </c>
      <c r="AC16" s="50">
        <f t="shared" si="21"/>
        <v>7.3517786561264828E-2</v>
      </c>
      <c r="AD16" s="51">
        <f t="shared" si="21"/>
        <v>0.86333333333333329</v>
      </c>
      <c r="AE16" s="48">
        <f t="shared" ref="AE16:AT16" si="22">AVERAGE(AE36,AE51,AE67)</f>
        <v>921.66666666666663</v>
      </c>
      <c r="AF16" s="63">
        <f t="shared" si="22"/>
        <v>35.166666666666664</v>
      </c>
      <c r="AG16" s="50">
        <f t="shared" si="22"/>
        <v>4.6332894158981112E-2</v>
      </c>
      <c r="AH16" s="51">
        <f t="shared" si="22"/>
        <v>0.92600000000000005</v>
      </c>
      <c r="AI16" s="48">
        <f t="shared" si="22"/>
        <v>806.66666666666663</v>
      </c>
      <c r="AJ16" s="63">
        <f t="shared" si="22"/>
        <v>32</v>
      </c>
      <c r="AK16" s="50">
        <f t="shared" si="22"/>
        <v>4.2160737812911721E-2</v>
      </c>
      <c r="AL16" s="51">
        <f t="shared" si="22"/>
        <v>0.93500000000000005</v>
      </c>
      <c r="AM16" s="48">
        <f t="shared" si="22"/>
        <v>706.66666666666663</v>
      </c>
      <c r="AN16" s="63">
        <f t="shared" si="22"/>
        <v>31.5</v>
      </c>
      <c r="AO16" s="50">
        <f t="shared" si="22"/>
        <v>4.1501976284584984E-2</v>
      </c>
      <c r="AP16" s="51">
        <f t="shared" si="22"/>
        <v>0.93733333333333346</v>
      </c>
      <c r="AQ16" s="48">
        <f t="shared" si="22"/>
        <v>586.66666666666663</v>
      </c>
      <c r="AR16" s="63">
        <f t="shared" si="22"/>
        <v>28.666666666666668</v>
      </c>
      <c r="AS16" s="50">
        <f t="shared" si="22"/>
        <v>3.7768994290733417E-2</v>
      </c>
      <c r="AT16" s="51">
        <f t="shared" si="22"/>
        <v>0.94633333333333347</v>
      </c>
    </row>
    <row r="17" spans="1:46" ht="16" thickBot="1" x14ac:dyDescent="0.25">
      <c r="B17" s="27"/>
      <c r="C17" s="28"/>
      <c r="D17" s="28"/>
      <c r="E17" s="42"/>
      <c r="F17" s="27"/>
      <c r="G17" s="28"/>
      <c r="H17" s="28"/>
      <c r="I17" s="42"/>
      <c r="J17" s="27"/>
      <c r="K17" s="28"/>
      <c r="L17" s="27"/>
      <c r="M17" s="42"/>
      <c r="N17" s="27"/>
      <c r="O17" s="28"/>
      <c r="P17" s="27"/>
      <c r="Q17" s="42"/>
      <c r="R17" s="27"/>
      <c r="S17" s="28"/>
      <c r="T17" s="27"/>
      <c r="U17" s="42"/>
      <c r="V17" s="27"/>
      <c r="Z17" s="27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</row>
    <row r="18" spans="1:46" ht="16" thickBot="1" x14ac:dyDescent="0.25">
      <c r="B18" s="28" t="s">
        <v>11</v>
      </c>
      <c r="C18" s="28"/>
      <c r="D18" s="56">
        <f t="shared" ref="D18:F18" si="23">AVERAGE(D38,D54,D69)</f>
        <v>33.177041269841276</v>
      </c>
      <c r="E18" s="59">
        <f t="shared" si="23"/>
        <v>4.3711516824560308E-2</v>
      </c>
      <c r="F18" s="57">
        <f t="shared" si="23"/>
        <v>0.94094666666666671</v>
      </c>
      <c r="G18" s="28"/>
      <c r="H18" s="56">
        <f>AVERAGE(H38,H54,H69)</f>
        <v>27.39477068152593</v>
      </c>
      <c r="I18" s="59">
        <f t="shared" ref="I18:J18" si="24">AVERAGE(I38,I54,I69)</f>
        <v>3.6093242004645497E-2</v>
      </c>
      <c r="J18" s="57">
        <f t="shared" si="24"/>
        <v>0.95511830261465935</v>
      </c>
      <c r="K18" s="28"/>
      <c r="L18" s="56">
        <f t="shared" ref="L18:N18" si="25">AVERAGE(L38,L54,L69)</f>
        <v>26.061181847861576</v>
      </c>
      <c r="M18" s="59">
        <f t="shared" si="25"/>
        <v>3.4336207968197065E-2</v>
      </c>
      <c r="N18" s="57">
        <f t="shared" si="25"/>
        <v>0.95744090760692124</v>
      </c>
      <c r="O18" s="28"/>
      <c r="P18" s="56">
        <f t="shared" ref="P18:R18" si="26">AVERAGE(P38,P54,P69)</f>
        <v>25.934895238095237</v>
      </c>
      <c r="Q18" s="59">
        <f>AVERAGE(Q38,Q54,Q69)</f>
        <v>3.4169822448083316E-2</v>
      </c>
      <c r="R18" s="57">
        <f t="shared" si="26"/>
        <v>0.95841828571428567</v>
      </c>
      <c r="S18" s="28"/>
      <c r="T18" s="56">
        <f t="shared" ref="T18:V18" si="27">AVERAGE(T38,T54,T69)</f>
        <v>26.601691815272062</v>
      </c>
      <c r="U18" s="59">
        <f t="shared" si="27"/>
        <v>3.5048342312611412E-2</v>
      </c>
      <c r="V18" s="57">
        <f t="shared" si="27"/>
        <v>0.95554206675811615</v>
      </c>
      <c r="Z18" s="28" t="s">
        <v>11</v>
      </c>
      <c r="AA18" s="28"/>
      <c r="AB18" s="56">
        <f>AVERAGE(AB38,AB53,AB69)</f>
        <v>40.510438095238094</v>
      </c>
      <c r="AC18" s="112">
        <f>AVERAGE(AC38,AC53,AC69)</f>
        <v>5.3373436225610138E-2</v>
      </c>
      <c r="AD18" s="113">
        <f>AVERAGE(AD38,AD53,AD69)</f>
        <v>0.92105092063492078</v>
      </c>
      <c r="AE18" s="28"/>
      <c r="AF18" s="56">
        <f>AVERAGE(AF38,AF53,AF69)</f>
        <v>31.767795399342763</v>
      </c>
      <c r="AG18" s="112">
        <f>AVERAGE(AG38,AG53,AG69)</f>
        <v>4.1854802897684805E-2</v>
      </c>
      <c r="AH18" s="113">
        <f>AVERAGE(AH38,AH53,AH69)</f>
        <v>0.94596785255036442</v>
      </c>
      <c r="AI18" s="28"/>
      <c r="AJ18" s="56">
        <f>AVERAGE(AJ38,AJ53,AJ69)</f>
        <v>29.161475677440418</v>
      </c>
      <c r="AK18" s="112">
        <f>AVERAGE(AK38,AK53,AK69)</f>
        <v>3.8420916571067748E-2</v>
      </c>
      <c r="AL18" s="113">
        <f>AVERAGE(AL38,AL53,AL69)</f>
        <v>0.95067384916748277</v>
      </c>
      <c r="AM18" s="28"/>
      <c r="AN18" s="56">
        <f>AVERAGE(AN38,AN53,AN69)</f>
        <v>28.486857142857144</v>
      </c>
      <c r="AO18" s="112">
        <f>AVERAGE(AO38,AO53,AO69)</f>
        <v>3.7532091097308491E-2</v>
      </c>
      <c r="AP18" s="113">
        <f>AVERAGE(AP38,AP53,AP69)</f>
        <v>0.95416647619047612</v>
      </c>
      <c r="AQ18" s="28"/>
      <c r="AR18" s="56">
        <f>AVERAGE(AR38,AR53,AR69)</f>
        <v>28.897668038408781</v>
      </c>
      <c r="AS18" s="112">
        <f>AVERAGE(AS38,AS53,AS69)</f>
        <v>3.807334392412224E-2</v>
      </c>
      <c r="AT18" s="113">
        <f>AVERAGE(AT38,AT53,AT69)</f>
        <v>0.9536017375400091</v>
      </c>
    </row>
    <row r="19" spans="1:46" x14ac:dyDescent="0.2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spans="1:46" ht="15" customHeight="1" x14ac:dyDescent="0.2">
      <c r="B20" s="27"/>
      <c r="C20" s="27"/>
      <c r="D20" s="114"/>
      <c r="E20" s="27"/>
      <c r="F20" s="27"/>
      <c r="G20" s="27"/>
      <c r="H20" s="114"/>
      <c r="I20" s="27"/>
      <c r="J20" s="27"/>
      <c r="K20" s="27"/>
      <c r="L20" s="114"/>
      <c r="M20" s="27"/>
      <c r="N20" s="27"/>
      <c r="O20" s="27"/>
      <c r="P20" s="114"/>
      <c r="Q20" s="27"/>
      <c r="R20" s="27"/>
      <c r="S20" s="27"/>
      <c r="T20" s="114"/>
      <c r="U20" s="27"/>
      <c r="V20" s="27"/>
    </row>
    <row r="21" spans="1:46" x14ac:dyDescent="0.2">
      <c r="C21" s="24"/>
      <c r="G21" s="24"/>
      <c r="K21" s="24"/>
      <c r="O21" s="24"/>
      <c r="S21" s="24"/>
    </row>
    <row r="22" spans="1:46" x14ac:dyDescent="0.2">
      <c r="C22" s="24"/>
      <c r="G22" s="24"/>
      <c r="K22" s="24"/>
      <c r="O22" s="24"/>
      <c r="S22" s="24"/>
    </row>
    <row r="23" spans="1:46" s="32" customFormat="1" ht="16" thickBot="1" x14ac:dyDescent="0.25">
      <c r="C23" s="35"/>
      <c r="G23" s="35"/>
      <c r="K23" s="35"/>
      <c r="O23" s="35"/>
      <c r="S23" s="35"/>
      <c r="X23" s="93"/>
    </row>
    <row r="24" spans="1:46" s="33" customFormat="1" ht="15.75" customHeight="1" thickBot="1" x14ac:dyDescent="0.25">
      <c r="C24" s="36"/>
      <c r="G24" s="36"/>
      <c r="X24" s="94"/>
    </row>
    <row r="25" spans="1:46" ht="15.75" customHeight="1" x14ac:dyDescent="0.2"/>
    <row r="26" spans="1:46" ht="15.75" customHeight="1" x14ac:dyDescent="0.2"/>
    <row r="27" spans="1:46" ht="15.75" customHeight="1" x14ac:dyDescent="0.2">
      <c r="A27" s="1" t="s">
        <v>23</v>
      </c>
      <c r="D27" s="134">
        <v>0.1</v>
      </c>
      <c r="E27" s="133"/>
      <c r="F27" s="133"/>
      <c r="G27" s="2"/>
      <c r="H27" s="134">
        <v>0.2</v>
      </c>
      <c r="I27" s="133"/>
      <c r="J27" s="133"/>
      <c r="K27" s="2"/>
      <c r="L27" s="134">
        <v>0.3</v>
      </c>
      <c r="M27" s="133"/>
      <c r="N27" s="133"/>
      <c r="O27" s="2"/>
      <c r="P27" s="134">
        <v>0.4</v>
      </c>
      <c r="Q27" s="133"/>
      <c r="R27" s="133"/>
      <c r="S27" s="2"/>
      <c r="T27" s="134">
        <v>0.5</v>
      </c>
      <c r="U27" s="133"/>
      <c r="V27" s="133"/>
      <c r="X27" s="131"/>
      <c r="Y27" s="1" t="s">
        <v>23</v>
      </c>
      <c r="AB27" s="134">
        <v>0.1</v>
      </c>
      <c r="AC27" s="133"/>
      <c r="AD27" s="133"/>
      <c r="AE27" s="2"/>
      <c r="AF27" s="134">
        <v>0.2</v>
      </c>
      <c r="AG27" s="133"/>
      <c r="AH27" s="133"/>
      <c r="AI27" s="2"/>
      <c r="AJ27" s="134">
        <v>0.3</v>
      </c>
      <c r="AK27" s="133"/>
      <c r="AL27" s="133"/>
      <c r="AM27" s="2"/>
      <c r="AN27" s="134">
        <v>0.4</v>
      </c>
      <c r="AO27" s="133"/>
      <c r="AP27" s="133"/>
      <c r="AQ27" s="2"/>
      <c r="AR27" s="134">
        <v>0.5</v>
      </c>
      <c r="AS27" s="133"/>
      <c r="AT27" s="133"/>
    </row>
    <row r="28" spans="1:46" ht="15.75" customHeight="1" thickBot="1" x14ac:dyDescent="0.25">
      <c r="B28" s="13" t="s">
        <v>8</v>
      </c>
      <c r="C28" s="22" t="s">
        <v>22</v>
      </c>
      <c r="D28" s="14" t="s">
        <v>7</v>
      </c>
      <c r="E28" s="13" t="s">
        <v>9</v>
      </c>
      <c r="F28" s="13" t="s">
        <v>10</v>
      </c>
      <c r="G28" s="22" t="s">
        <v>22</v>
      </c>
      <c r="H28" s="14" t="s">
        <v>7</v>
      </c>
      <c r="I28" s="13" t="s">
        <v>9</v>
      </c>
      <c r="J28" s="13" t="s">
        <v>10</v>
      </c>
      <c r="K28" s="22" t="s">
        <v>22</v>
      </c>
      <c r="L28" s="13" t="s">
        <v>7</v>
      </c>
      <c r="M28" s="13" t="s">
        <v>9</v>
      </c>
      <c r="N28" s="13" t="s">
        <v>10</v>
      </c>
      <c r="O28" s="22" t="s">
        <v>22</v>
      </c>
      <c r="P28" s="13" t="s">
        <v>7</v>
      </c>
      <c r="Q28" s="13" t="s">
        <v>9</v>
      </c>
      <c r="R28" s="13" t="s">
        <v>10</v>
      </c>
      <c r="S28" s="22" t="s">
        <v>22</v>
      </c>
      <c r="T28" s="13" t="s">
        <v>7</v>
      </c>
      <c r="U28" s="13" t="s">
        <v>9</v>
      </c>
      <c r="V28" s="13" t="s">
        <v>10</v>
      </c>
      <c r="X28" s="92"/>
      <c r="Z28" s="13" t="s">
        <v>8</v>
      </c>
      <c r="AA28" s="22" t="s">
        <v>22</v>
      </c>
      <c r="AB28" s="14" t="s">
        <v>7</v>
      </c>
      <c r="AC28" s="13" t="s">
        <v>9</v>
      </c>
      <c r="AD28" s="13" t="s">
        <v>10</v>
      </c>
      <c r="AE28" s="22" t="s">
        <v>22</v>
      </c>
      <c r="AF28" s="14" t="s">
        <v>7</v>
      </c>
      <c r="AG28" s="13" t="s">
        <v>9</v>
      </c>
      <c r="AH28" s="13" t="s">
        <v>10</v>
      </c>
      <c r="AI28" s="22" t="s">
        <v>22</v>
      </c>
      <c r="AJ28" s="13" t="s">
        <v>7</v>
      </c>
      <c r="AK28" s="13" t="s">
        <v>9</v>
      </c>
      <c r="AL28" s="13" t="s">
        <v>10</v>
      </c>
      <c r="AM28" s="22" t="s">
        <v>22</v>
      </c>
      <c r="AN28" s="13" t="s">
        <v>7</v>
      </c>
      <c r="AO28" s="13" t="s">
        <v>9</v>
      </c>
      <c r="AP28" s="13" t="s">
        <v>10</v>
      </c>
      <c r="AQ28" s="22" t="s">
        <v>22</v>
      </c>
      <c r="AR28" s="13" t="s">
        <v>7</v>
      </c>
      <c r="AS28" s="13" t="s">
        <v>9</v>
      </c>
      <c r="AT28" s="13" t="s">
        <v>10</v>
      </c>
    </row>
    <row r="29" spans="1:46" ht="15.75" customHeight="1" x14ac:dyDescent="0.2">
      <c r="B29" s="1">
        <v>0</v>
      </c>
      <c r="C29" s="23">
        <v>1610</v>
      </c>
      <c r="D29" s="17">
        <v>33.1</v>
      </c>
      <c r="E29" s="16">
        <f t="shared" ref="E29:E36" si="28">D29/$A$5</f>
        <v>4.3610013175230569E-2</v>
      </c>
      <c r="F29" s="28">
        <v>0.95699999999999996</v>
      </c>
      <c r="G29" s="17">
        <v>1505</v>
      </c>
      <c r="H29" s="17">
        <v>31.3</v>
      </c>
      <c r="I29" s="16">
        <f t="shared" ref="I29:I36" si="29">H29/$A$5</f>
        <v>4.1238471673254284E-2</v>
      </c>
      <c r="J29" s="28">
        <v>0.96</v>
      </c>
      <c r="K29" s="23">
        <v>1290</v>
      </c>
      <c r="L29" s="28">
        <v>27.7</v>
      </c>
      <c r="M29" s="16">
        <f t="shared" ref="M29:M36" si="30">L29/$A$5</f>
        <v>3.6495388669301715E-2</v>
      </c>
      <c r="N29" s="28">
        <v>0.96599999999999997</v>
      </c>
      <c r="O29" s="23">
        <v>1070</v>
      </c>
      <c r="P29" s="28">
        <v>29.2</v>
      </c>
      <c r="Q29" s="16">
        <f t="shared" ref="Q29:Q36" si="31">P29/$A$5</f>
        <v>3.8471673254281948E-2</v>
      </c>
      <c r="R29" s="28">
        <v>0.96299999999999997</v>
      </c>
      <c r="S29" s="23">
        <v>920</v>
      </c>
      <c r="T29" s="28">
        <v>31.4</v>
      </c>
      <c r="U29" s="16">
        <f t="shared" ref="U29:U36" si="32">T29/$A$5</f>
        <v>4.137022397891963E-2</v>
      </c>
      <c r="V29" s="28">
        <v>0.95699999999999996</v>
      </c>
      <c r="X29" s="92"/>
      <c r="Z29" s="1">
        <v>0</v>
      </c>
      <c r="AA29" s="23">
        <v>1610</v>
      </c>
      <c r="AB29" s="17">
        <v>38.799999999999997</v>
      </c>
      <c r="AC29" s="16">
        <f>AB29/$A$5</f>
        <v>5.1119894598155462E-2</v>
      </c>
      <c r="AD29" s="28">
        <v>0.94399999999999995</v>
      </c>
      <c r="AE29" s="17">
        <v>1505</v>
      </c>
      <c r="AF29" s="17">
        <v>34.5</v>
      </c>
      <c r="AG29" s="16">
        <f t="shared" ref="AG29:AG36" si="33">AF29/$A$5</f>
        <v>4.5454545454545456E-2</v>
      </c>
      <c r="AH29" s="28">
        <v>0.95399999999999996</v>
      </c>
      <c r="AI29" s="23">
        <v>1290</v>
      </c>
      <c r="AJ29" s="28">
        <v>32.5</v>
      </c>
      <c r="AK29" s="16">
        <f t="shared" ref="AK29:AK36" si="34">AJ29/$A$5</f>
        <v>4.2819499341238472E-2</v>
      </c>
      <c r="AL29" s="28">
        <v>0.95699999999999996</v>
      </c>
      <c r="AM29" s="23">
        <v>1070</v>
      </c>
      <c r="AN29" s="28">
        <v>31.4</v>
      </c>
      <c r="AO29" s="16">
        <f t="shared" ref="AO29:AO36" si="35">AN29/$A$5</f>
        <v>4.137022397891963E-2</v>
      </c>
      <c r="AP29" s="28">
        <v>0.95899999999999996</v>
      </c>
      <c r="AQ29" s="23">
        <v>920</v>
      </c>
      <c r="AR29" s="28">
        <v>32.299999999999997</v>
      </c>
      <c r="AS29" s="16">
        <f t="shared" ref="AS29:AS36" si="36">AR29/$A$5</f>
        <v>4.2555994729907773E-2</v>
      </c>
      <c r="AT29" s="28">
        <v>0.95599999999999996</v>
      </c>
    </row>
    <row r="30" spans="1:46" ht="15.75" customHeight="1" x14ac:dyDescent="0.2">
      <c r="B30" s="1">
        <v>1</v>
      </c>
      <c r="C30" s="23">
        <v>2730</v>
      </c>
      <c r="D30" s="17">
        <v>26.5</v>
      </c>
      <c r="E30" s="16">
        <f t="shared" si="28"/>
        <v>3.491436100131752E-2</v>
      </c>
      <c r="F30" s="28">
        <v>0.97699999999999998</v>
      </c>
      <c r="G30" s="17">
        <v>2415</v>
      </c>
      <c r="H30" s="17">
        <v>26.4</v>
      </c>
      <c r="I30" s="16">
        <f t="shared" si="29"/>
        <v>3.4782608695652174E-2</v>
      </c>
      <c r="J30" s="28">
        <v>0.97499999999999998</v>
      </c>
      <c r="K30" s="23">
        <v>2070</v>
      </c>
      <c r="L30" s="28">
        <v>27.2</v>
      </c>
      <c r="M30" s="16">
        <f t="shared" si="30"/>
        <v>3.5836627140974964E-2</v>
      </c>
      <c r="N30" s="28">
        <v>0.97399999999999998</v>
      </c>
      <c r="O30" s="23">
        <v>1760</v>
      </c>
      <c r="P30" s="28">
        <v>25.3</v>
      </c>
      <c r="Q30" s="16">
        <f t="shared" si="31"/>
        <v>3.3333333333333333E-2</v>
      </c>
      <c r="R30" s="28">
        <v>0.97899999999999998</v>
      </c>
      <c r="S30" s="23">
        <v>1490</v>
      </c>
      <c r="T30" s="28">
        <v>26</v>
      </c>
      <c r="U30" s="16">
        <f t="shared" si="32"/>
        <v>3.4255599472990776E-2</v>
      </c>
      <c r="V30" s="28">
        <v>0.97699999999999998</v>
      </c>
      <c r="X30" s="92"/>
      <c r="Z30" s="1">
        <v>1</v>
      </c>
      <c r="AA30" s="23">
        <v>2730</v>
      </c>
      <c r="AB30" s="17">
        <v>33.299999999999997</v>
      </c>
      <c r="AC30" s="16">
        <f t="shared" ref="AC30:AC36" si="37">AB30/$A$5</f>
        <v>4.3873517786561261E-2</v>
      </c>
      <c r="AD30" s="28">
        <v>0.96799999999999997</v>
      </c>
      <c r="AE30" s="17">
        <v>2415</v>
      </c>
      <c r="AF30" s="17">
        <v>28.9</v>
      </c>
      <c r="AG30" s="16">
        <f t="shared" si="33"/>
        <v>3.8076416337285902E-2</v>
      </c>
      <c r="AH30" s="28">
        <v>0.97299999999999998</v>
      </c>
      <c r="AI30" s="23">
        <v>2070</v>
      </c>
      <c r="AJ30" s="28">
        <v>28.7</v>
      </c>
      <c r="AK30" s="16">
        <f t="shared" si="34"/>
        <v>3.7812911725955203E-2</v>
      </c>
      <c r="AL30" s="28">
        <v>0.97299999999999998</v>
      </c>
      <c r="AM30" s="23">
        <v>1760</v>
      </c>
      <c r="AN30" s="28">
        <v>27.9</v>
      </c>
      <c r="AO30" s="16">
        <f t="shared" si="35"/>
        <v>3.6758893280632407E-2</v>
      </c>
      <c r="AP30" s="28">
        <v>0.97599999999999998</v>
      </c>
      <c r="AQ30" s="23">
        <v>1490</v>
      </c>
      <c r="AR30" s="28">
        <v>28</v>
      </c>
      <c r="AS30" s="16">
        <f t="shared" si="36"/>
        <v>3.689064558629776E-2</v>
      </c>
      <c r="AT30" s="28">
        <v>0.97499999999999998</v>
      </c>
    </row>
    <row r="31" spans="1:46" ht="15.75" customHeight="1" x14ac:dyDescent="0.2">
      <c r="B31" s="1">
        <v>2</v>
      </c>
      <c r="C31" s="23">
        <v>2050</v>
      </c>
      <c r="D31" s="17">
        <v>48</v>
      </c>
      <c r="E31" s="16">
        <f t="shared" si="28"/>
        <v>6.3241106719367585E-2</v>
      </c>
      <c r="F31" s="28">
        <v>0.93100000000000005</v>
      </c>
      <c r="G31" s="17">
        <v>1755</v>
      </c>
      <c r="H31" s="17">
        <v>31.8</v>
      </c>
      <c r="I31" s="16">
        <f t="shared" si="29"/>
        <v>4.1897233201581029E-2</v>
      </c>
      <c r="J31" s="28">
        <v>0.96499999999999997</v>
      </c>
      <c r="K31" s="23">
        <v>1570</v>
      </c>
      <c r="L31" s="28">
        <v>29.9</v>
      </c>
      <c r="M31" s="16">
        <f t="shared" si="30"/>
        <v>3.9393939393939391E-2</v>
      </c>
      <c r="N31" s="28">
        <v>0.96799999999999997</v>
      </c>
      <c r="O31" s="23">
        <v>1345</v>
      </c>
      <c r="P31" s="28">
        <v>28.6</v>
      </c>
      <c r="Q31" s="16">
        <f t="shared" si="31"/>
        <v>3.7681159420289857E-2</v>
      </c>
      <c r="R31" s="28">
        <v>0.96899999999999997</v>
      </c>
      <c r="S31" s="23">
        <v>1140</v>
      </c>
      <c r="T31" s="28">
        <v>29.9</v>
      </c>
      <c r="U31" s="16">
        <f t="shared" si="32"/>
        <v>3.9393939393939391E-2</v>
      </c>
      <c r="V31" s="28">
        <v>0.96699999999999997</v>
      </c>
      <c r="X31" s="92"/>
      <c r="Z31" s="1">
        <v>2</v>
      </c>
      <c r="AA31" s="23">
        <v>2050</v>
      </c>
      <c r="AB31" s="17">
        <v>57.3</v>
      </c>
      <c r="AC31" s="16">
        <f t="shared" si="37"/>
        <v>7.5494071146245054E-2</v>
      </c>
      <c r="AD31" s="28">
        <v>0.91</v>
      </c>
      <c r="AE31" s="17">
        <v>1755</v>
      </c>
      <c r="AF31" s="17">
        <v>37.6</v>
      </c>
      <c r="AG31" s="16">
        <f t="shared" si="33"/>
        <v>4.9538866930171281E-2</v>
      </c>
      <c r="AH31" s="28">
        <v>0.95499999999999996</v>
      </c>
      <c r="AI31" s="23">
        <v>1570</v>
      </c>
      <c r="AJ31" s="28">
        <v>33.700000000000003</v>
      </c>
      <c r="AK31" s="16">
        <f t="shared" si="34"/>
        <v>4.4400527009222666E-2</v>
      </c>
      <c r="AL31" s="28">
        <v>0.96199999999999997</v>
      </c>
      <c r="AM31" s="23">
        <v>1345</v>
      </c>
      <c r="AN31" s="28">
        <v>31.7</v>
      </c>
      <c r="AO31" s="16">
        <f t="shared" si="35"/>
        <v>4.1765480895915676E-2</v>
      </c>
      <c r="AP31" s="28">
        <v>0.96499999999999997</v>
      </c>
      <c r="AQ31" s="23">
        <v>1140</v>
      </c>
      <c r="AR31" s="28">
        <v>33.1</v>
      </c>
      <c r="AS31" s="16">
        <f t="shared" si="36"/>
        <v>4.3610013175230569E-2</v>
      </c>
      <c r="AT31" s="28">
        <v>0.96299999999999997</v>
      </c>
    </row>
    <row r="32" spans="1:46" ht="15.75" customHeight="1" x14ac:dyDescent="0.2">
      <c r="B32" s="1">
        <v>3</v>
      </c>
      <c r="C32" s="23">
        <v>910</v>
      </c>
      <c r="D32" s="17">
        <v>57.2</v>
      </c>
      <c r="E32" s="16">
        <f t="shared" si="28"/>
        <v>7.5362318840579715E-2</v>
      </c>
      <c r="F32" s="28">
        <v>0.93500000000000005</v>
      </c>
      <c r="G32" s="17">
        <v>780</v>
      </c>
      <c r="H32" s="17">
        <v>25.2</v>
      </c>
      <c r="I32" s="16">
        <f t="shared" si="29"/>
        <v>3.320158102766798E-2</v>
      </c>
      <c r="J32" s="28">
        <v>0.97899999999999998</v>
      </c>
      <c r="K32" s="23">
        <v>705</v>
      </c>
      <c r="L32" s="28">
        <v>23.3</v>
      </c>
      <c r="M32" s="16">
        <f t="shared" si="30"/>
        <v>3.0698287220026352E-2</v>
      </c>
      <c r="N32" s="28">
        <v>0.98199999999999998</v>
      </c>
      <c r="O32" s="23">
        <v>580</v>
      </c>
      <c r="P32" s="28">
        <v>20.5</v>
      </c>
      <c r="Q32" s="16">
        <f t="shared" si="31"/>
        <v>2.7009222661396576E-2</v>
      </c>
      <c r="R32" s="28">
        <v>0.98599999999999999</v>
      </c>
      <c r="S32" s="23">
        <v>445</v>
      </c>
      <c r="T32" s="28">
        <v>20.7</v>
      </c>
      <c r="U32" s="16">
        <f t="shared" si="32"/>
        <v>2.7272727272727271E-2</v>
      </c>
      <c r="V32" s="28">
        <v>0.98499999999999999</v>
      </c>
      <c r="X32" s="92"/>
      <c r="Z32" s="1">
        <v>3</v>
      </c>
      <c r="AA32" s="23">
        <v>910</v>
      </c>
      <c r="AB32" s="17">
        <v>75.900000000000006</v>
      </c>
      <c r="AC32" s="16">
        <f t="shared" si="37"/>
        <v>0.1</v>
      </c>
      <c r="AD32" s="28">
        <v>0.88900000000000001</v>
      </c>
      <c r="AE32" s="17">
        <v>780</v>
      </c>
      <c r="AF32" s="17">
        <v>36</v>
      </c>
      <c r="AG32" s="16">
        <f t="shared" si="33"/>
        <v>4.7430830039525688E-2</v>
      </c>
      <c r="AH32" s="28">
        <v>0.96199999999999997</v>
      </c>
      <c r="AI32" s="23">
        <v>705</v>
      </c>
      <c r="AJ32" s="28">
        <v>29.6</v>
      </c>
      <c r="AK32" s="16">
        <f t="shared" si="34"/>
        <v>3.8998682476943346E-2</v>
      </c>
      <c r="AL32" s="28">
        <v>0.97399999999999998</v>
      </c>
      <c r="AM32" s="23">
        <v>580</v>
      </c>
      <c r="AN32" s="28">
        <v>27.7</v>
      </c>
      <c r="AO32" s="16">
        <f t="shared" si="35"/>
        <v>3.6495388669301715E-2</v>
      </c>
      <c r="AP32" s="28">
        <v>0.97899999999999998</v>
      </c>
      <c r="AQ32" s="23">
        <v>445</v>
      </c>
      <c r="AR32" s="28">
        <v>25.1</v>
      </c>
      <c r="AS32" s="16">
        <f t="shared" si="36"/>
        <v>3.3069828722002634E-2</v>
      </c>
      <c r="AT32" s="28">
        <v>0.98099999999999998</v>
      </c>
    </row>
    <row r="33" spans="1:46" ht="15.75" customHeight="1" x14ac:dyDescent="0.2">
      <c r="B33" s="1">
        <v>4</v>
      </c>
      <c r="C33" s="23">
        <v>1805</v>
      </c>
      <c r="D33" s="17">
        <v>29.2</v>
      </c>
      <c r="E33" s="16">
        <f t="shared" si="28"/>
        <v>3.8471673254281948E-2</v>
      </c>
      <c r="F33" s="28">
        <v>0.97299999999999998</v>
      </c>
      <c r="G33" s="17">
        <v>1585</v>
      </c>
      <c r="H33" s="17">
        <v>25.1</v>
      </c>
      <c r="I33" s="16">
        <f t="shared" si="29"/>
        <v>3.3069828722002634E-2</v>
      </c>
      <c r="J33" s="28">
        <v>0.97699999999999998</v>
      </c>
      <c r="K33" s="23">
        <v>1390</v>
      </c>
      <c r="L33" s="28">
        <v>24.8</v>
      </c>
      <c r="M33" s="16">
        <f t="shared" si="30"/>
        <v>3.2674571805006589E-2</v>
      </c>
      <c r="N33" s="28">
        <v>0.97599999999999998</v>
      </c>
      <c r="O33" s="23">
        <v>1185</v>
      </c>
      <c r="P33" s="28">
        <v>26</v>
      </c>
      <c r="Q33" s="16">
        <f t="shared" si="31"/>
        <v>3.4255599472990776E-2</v>
      </c>
      <c r="R33" s="28">
        <v>0.97399999999999998</v>
      </c>
      <c r="S33" s="23">
        <v>985</v>
      </c>
      <c r="T33" s="28">
        <v>26.8</v>
      </c>
      <c r="U33" s="16">
        <f t="shared" si="32"/>
        <v>3.5309617918313572E-2</v>
      </c>
      <c r="V33" s="28">
        <v>0.97</v>
      </c>
      <c r="X33" s="92"/>
      <c r="Z33" s="1">
        <v>4</v>
      </c>
      <c r="AA33" s="23">
        <v>1805</v>
      </c>
      <c r="AB33" s="17">
        <v>34.700000000000003</v>
      </c>
      <c r="AC33" s="16">
        <f t="shared" si="37"/>
        <v>4.5718050065876155E-2</v>
      </c>
      <c r="AD33" s="28">
        <v>0.96499999999999997</v>
      </c>
      <c r="AE33" s="17">
        <v>1585</v>
      </c>
      <c r="AF33" s="17">
        <v>28.7</v>
      </c>
      <c r="AG33" s="16">
        <f t="shared" si="33"/>
        <v>3.7812911725955203E-2</v>
      </c>
      <c r="AH33" s="28">
        <v>0.97299999999999998</v>
      </c>
      <c r="AI33" s="23">
        <v>1390</v>
      </c>
      <c r="AJ33" s="28">
        <v>27.9</v>
      </c>
      <c r="AK33" s="16">
        <f t="shared" si="34"/>
        <v>3.6758893280632407E-2</v>
      </c>
      <c r="AL33" s="28">
        <v>0.97199999999999998</v>
      </c>
      <c r="AM33" s="23">
        <v>1185</v>
      </c>
      <c r="AN33" s="28">
        <v>28.6</v>
      </c>
      <c r="AO33" s="16">
        <f t="shared" si="35"/>
        <v>3.7681159420289857E-2</v>
      </c>
      <c r="AP33" s="28">
        <v>0.97199999999999998</v>
      </c>
      <c r="AQ33" s="23">
        <v>985</v>
      </c>
      <c r="AR33" s="28">
        <v>28.7</v>
      </c>
      <c r="AS33" s="16">
        <f t="shared" si="36"/>
        <v>3.7812911725955203E-2</v>
      </c>
      <c r="AT33" s="28">
        <v>0.96799999999999997</v>
      </c>
    </row>
    <row r="34" spans="1:46" ht="15.75" customHeight="1" x14ac:dyDescent="0.2">
      <c r="B34" s="1">
        <v>5</v>
      </c>
      <c r="C34" s="23">
        <v>1730</v>
      </c>
      <c r="D34" s="17">
        <v>24.2</v>
      </c>
      <c r="E34" s="16">
        <f t="shared" si="28"/>
        <v>3.1884057971014491E-2</v>
      </c>
      <c r="F34" s="28">
        <v>0.93799999999999994</v>
      </c>
      <c r="G34" s="17">
        <v>1565</v>
      </c>
      <c r="H34" s="17">
        <v>22.9</v>
      </c>
      <c r="I34" s="16">
        <f t="shared" si="29"/>
        <v>3.0171277997364951E-2</v>
      </c>
      <c r="J34" s="28">
        <v>0.93600000000000005</v>
      </c>
      <c r="K34" s="23">
        <v>1390</v>
      </c>
      <c r="L34" s="28">
        <v>22.5</v>
      </c>
      <c r="M34" s="16">
        <f t="shared" si="30"/>
        <v>2.9644268774703556E-2</v>
      </c>
      <c r="N34" s="28">
        <v>0.93799999999999994</v>
      </c>
      <c r="O34" s="23">
        <v>1200</v>
      </c>
      <c r="P34" s="28">
        <v>22.2</v>
      </c>
      <c r="Q34" s="16">
        <f t="shared" si="31"/>
        <v>2.9249011857707508E-2</v>
      </c>
      <c r="R34" s="28">
        <v>0.94099999999999995</v>
      </c>
      <c r="S34" s="23">
        <v>995</v>
      </c>
      <c r="T34" s="28">
        <v>21.9</v>
      </c>
      <c r="U34" s="16">
        <f t="shared" si="32"/>
        <v>2.8853754940711459E-2</v>
      </c>
      <c r="V34" s="28">
        <v>0.93200000000000005</v>
      </c>
      <c r="X34" s="92"/>
      <c r="Z34" s="1">
        <v>5</v>
      </c>
      <c r="AA34" s="23">
        <v>1730</v>
      </c>
      <c r="AB34" s="17">
        <v>28.3</v>
      </c>
      <c r="AC34" s="16">
        <f t="shared" si="37"/>
        <v>3.7285902503293805E-2</v>
      </c>
      <c r="AD34" s="28">
        <v>0.92</v>
      </c>
      <c r="AE34" s="17">
        <v>1565</v>
      </c>
      <c r="AF34" s="17">
        <v>25.7</v>
      </c>
      <c r="AG34" s="16">
        <f t="shared" si="33"/>
        <v>3.3860342555994731E-2</v>
      </c>
      <c r="AH34" s="28">
        <v>0.92600000000000005</v>
      </c>
      <c r="AI34" s="23">
        <v>1390</v>
      </c>
      <c r="AJ34" s="28">
        <v>24.9</v>
      </c>
      <c r="AK34" s="16">
        <f t="shared" si="34"/>
        <v>3.2806324110671935E-2</v>
      </c>
      <c r="AL34" s="28">
        <v>0.93</v>
      </c>
      <c r="AM34" s="23">
        <v>1200</v>
      </c>
      <c r="AN34" s="28">
        <v>24</v>
      </c>
      <c r="AO34" s="16">
        <f t="shared" si="35"/>
        <v>3.1620553359683792E-2</v>
      </c>
      <c r="AP34" s="28">
        <v>0.93600000000000005</v>
      </c>
      <c r="AQ34" s="23">
        <v>995</v>
      </c>
      <c r="AR34" s="28">
        <v>23.8</v>
      </c>
      <c r="AS34" s="16">
        <f t="shared" si="36"/>
        <v>3.13570487483531E-2</v>
      </c>
      <c r="AT34" s="28">
        <v>0.93100000000000005</v>
      </c>
    </row>
    <row r="35" spans="1:46" ht="15.75" customHeight="1" x14ac:dyDescent="0.2">
      <c r="B35" s="1">
        <v>6</v>
      </c>
      <c r="C35" s="23">
        <v>1310</v>
      </c>
      <c r="D35" s="17">
        <v>39.200000000000003</v>
      </c>
      <c r="E35" s="16">
        <f t="shared" si="28"/>
        <v>5.1646903820816867E-2</v>
      </c>
      <c r="F35" s="28">
        <v>0.93899999999999995</v>
      </c>
      <c r="G35" s="17">
        <v>1185</v>
      </c>
      <c r="H35" s="17">
        <v>30.9</v>
      </c>
      <c r="I35" s="16">
        <f t="shared" si="29"/>
        <v>4.0711462450592886E-2</v>
      </c>
      <c r="J35" s="28">
        <v>0.95599999999999996</v>
      </c>
      <c r="K35" s="23">
        <v>1035</v>
      </c>
      <c r="L35" s="28">
        <v>29.4</v>
      </c>
      <c r="M35" s="16">
        <f t="shared" si="30"/>
        <v>3.8735177865612647E-2</v>
      </c>
      <c r="N35" s="28">
        <v>0.95899999999999996</v>
      </c>
      <c r="O35" s="23">
        <v>950</v>
      </c>
      <c r="P35" s="28">
        <v>29.9</v>
      </c>
      <c r="Q35" s="16">
        <f t="shared" si="31"/>
        <v>3.9393939393939391E-2</v>
      </c>
      <c r="R35" s="28">
        <v>0.95599999999999996</v>
      </c>
      <c r="S35" s="23">
        <v>750</v>
      </c>
      <c r="T35" s="28">
        <v>29.4</v>
      </c>
      <c r="U35" s="16">
        <f t="shared" si="32"/>
        <v>3.8735177865612647E-2</v>
      </c>
      <c r="V35" s="28">
        <v>0.95699999999999996</v>
      </c>
      <c r="X35" s="92"/>
      <c r="Z35" s="1">
        <v>6</v>
      </c>
      <c r="AA35" s="23">
        <v>1310</v>
      </c>
      <c r="AB35" s="17">
        <v>43.3</v>
      </c>
      <c r="AC35" s="16">
        <f t="shared" si="37"/>
        <v>5.7048748353096174E-2</v>
      </c>
      <c r="AD35" s="28">
        <v>0.92900000000000005</v>
      </c>
      <c r="AE35" s="17">
        <v>1185</v>
      </c>
      <c r="AF35" s="17">
        <v>34</v>
      </c>
      <c r="AG35" s="16">
        <f t="shared" si="33"/>
        <v>4.4795783926218712E-2</v>
      </c>
      <c r="AH35" s="28">
        <v>0.94899999999999995</v>
      </c>
      <c r="AI35" s="23">
        <v>1035</v>
      </c>
      <c r="AJ35" s="28">
        <v>31.3</v>
      </c>
      <c r="AK35" s="16">
        <f t="shared" si="34"/>
        <v>4.1238471673254284E-2</v>
      </c>
      <c r="AL35" s="28">
        <v>0.95599999999999996</v>
      </c>
      <c r="AM35" s="23">
        <v>950</v>
      </c>
      <c r="AN35" s="28">
        <v>32</v>
      </c>
      <c r="AO35" s="16">
        <f t="shared" si="35"/>
        <v>4.2160737812911728E-2</v>
      </c>
      <c r="AP35" s="28">
        <v>0.95399999999999996</v>
      </c>
      <c r="AQ35" s="23">
        <v>750</v>
      </c>
      <c r="AR35" s="28">
        <v>30.6</v>
      </c>
      <c r="AS35" s="16">
        <f t="shared" si="36"/>
        <v>4.0316205533596841E-2</v>
      </c>
      <c r="AT35" s="28">
        <v>0.95399999999999996</v>
      </c>
    </row>
    <row r="36" spans="1:46" ht="15.75" customHeight="1" x14ac:dyDescent="0.2">
      <c r="B36" s="1">
        <v>7</v>
      </c>
      <c r="C36" s="23">
        <v>980</v>
      </c>
      <c r="D36" s="17">
        <v>38</v>
      </c>
      <c r="E36" s="16">
        <f t="shared" si="28"/>
        <v>5.0065876152832672E-2</v>
      </c>
      <c r="F36" s="28">
        <v>0.879</v>
      </c>
      <c r="G36" s="17">
        <v>875</v>
      </c>
      <c r="H36" s="17">
        <v>26</v>
      </c>
      <c r="I36" s="16">
        <f t="shared" si="29"/>
        <v>3.4255599472990776E-2</v>
      </c>
      <c r="J36" s="28">
        <v>0.93899999999999995</v>
      </c>
      <c r="K36" s="23">
        <v>760</v>
      </c>
      <c r="L36" s="28">
        <v>27.3</v>
      </c>
      <c r="M36" s="16">
        <f t="shared" si="30"/>
        <v>3.5968379446640317E-2</v>
      </c>
      <c r="N36" s="28">
        <v>0.92800000000000005</v>
      </c>
      <c r="O36" s="23">
        <v>660</v>
      </c>
      <c r="P36" s="28">
        <v>30.1</v>
      </c>
      <c r="Q36" s="16">
        <f t="shared" si="31"/>
        <v>3.9657444005270097E-2</v>
      </c>
      <c r="R36" s="28">
        <v>0.91900000000000004</v>
      </c>
      <c r="S36" s="23">
        <v>565</v>
      </c>
      <c r="T36" s="28">
        <v>25.3</v>
      </c>
      <c r="U36" s="16">
        <f t="shared" si="32"/>
        <v>3.3333333333333333E-2</v>
      </c>
      <c r="V36" s="28">
        <v>0.94499999999999995</v>
      </c>
      <c r="X36" s="92"/>
      <c r="Z36" s="1">
        <v>7</v>
      </c>
      <c r="AA36" s="23">
        <v>980</v>
      </c>
      <c r="AB36" s="17">
        <v>49.2</v>
      </c>
      <c r="AC36" s="16">
        <f t="shared" si="37"/>
        <v>6.4822134387351779E-2</v>
      </c>
      <c r="AD36" s="28">
        <v>0.81899999999999995</v>
      </c>
      <c r="AE36" s="17">
        <v>875</v>
      </c>
      <c r="AF36" s="17">
        <v>34.299999999999997</v>
      </c>
      <c r="AG36" s="16">
        <f t="shared" si="33"/>
        <v>4.519104084321475E-2</v>
      </c>
      <c r="AH36" s="28">
        <v>0.88400000000000001</v>
      </c>
      <c r="AI36" s="23">
        <v>760</v>
      </c>
      <c r="AJ36" s="28">
        <v>29.6</v>
      </c>
      <c r="AK36" s="16">
        <f t="shared" si="34"/>
        <v>3.8998682476943346E-2</v>
      </c>
      <c r="AL36" s="28">
        <v>0.91200000000000003</v>
      </c>
      <c r="AM36" s="23">
        <v>660</v>
      </c>
      <c r="AN36" s="28">
        <v>31.8</v>
      </c>
      <c r="AO36" s="16">
        <f t="shared" si="35"/>
        <v>4.1897233201581029E-2</v>
      </c>
      <c r="AP36" s="28">
        <v>0.91100000000000003</v>
      </c>
      <c r="AQ36" s="23">
        <v>565</v>
      </c>
      <c r="AR36" s="28">
        <v>29.1</v>
      </c>
      <c r="AS36" s="16">
        <f t="shared" si="36"/>
        <v>3.8339920948616601E-2</v>
      </c>
      <c r="AT36" s="28">
        <v>0.93</v>
      </c>
    </row>
    <row r="37" spans="1:46" ht="15.75" customHeight="1" x14ac:dyDescent="0.2">
      <c r="C37" s="23"/>
      <c r="D37" s="17"/>
      <c r="G37" s="17"/>
      <c r="H37" s="17"/>
      <c r="K37" s="23"/>
      <c r="O37" s="23"/>
      <c r="S37" s="23"/>
      <c r="X37" s="92"/>
      <c r="AA37" s="23"/>
      <c r="AB37" s="17"/>
      <c r="AE37" s="17"/>
      <c r="AF37" s="17"/>
      <c r="AI37" s="23"/>
      <c r="AM37" s="23"/>
      <c r="AQ37" s="23"/>
      <c r="AR37" s="1"/>
    </row>
    <row r="38" spans="1:46" ht="15.75" customHeight="1" x14ac:dyDescent="0.2">
      <c r="B38" s="1" t="s">
        <v>11</v>
      </c>
      <c r="C38" s="23"/>
      <c r="D38" s="7">
        <f>SUMPRODUCT(C29:C36,D29:D36)/SUM(C29:C36)</f>
        <v>34.990628571428573</v>
      </c>
      <c r="E38" s="20">
        <f>SUMPRODUCT(C29:C36,E29:E36)/SUM(C29:C36)</f>
        <v>4.6100959909655563E-2</v>
      </c>
      <c r="F38" s="20">
        <f>SUMPRODUCT(C29:C36,F29:F36)/SUM(C29:C36)</f>
        <v>0.94764914285714286</v>
      </c>
      <c r="G38" s="17"/>
      <c r="H38" s="7">
        <f>SUMPRODUCT(G29:G36,H29:H36)/SUM(G29:G36)</f>
        <v>27.545306472353193</v>
      </c>
      <c r="I38" s="20">
        <f>SUMPRODUCT(G29:G36,I29:I36)/SUM(G29:G36)</f>
        <v>3.6291576379911976E-2</v>
      </c>
      <c r="J38" s="20">
        <f>SUMPRODUCT(G29:G36,J29:J36)/SUM(G29:G36)</f>
        <v>0.96223660522931864</v>
      </c>
      <c r="K38" s="23"/>
      <c r="L38" s="7">
        <f>SUMPRODUCT(K29:K36,L29:L36)/SUM(K29:K36)</f>
        <v>26.672918707149854</v>
      </c>
      <c r="M38" s="20">
        <f>SUMPRODUCT(K29:K36,M29:M36)/SUM(K29:K36)</f>
        <v>3.5142185384914162E-2</v>
      </c>
      <c r="N38" s="20">
        <f>SUMPRODUCT(K29:K36,N29:N36)/SUM(K29:K36)</f>
        <v>0.96304554358472083</v>
      </c>
      <c r="O38" s="23"/>
      <c r="P38" s="7">
        <f>SUMPRODUCT(O29:O36,P29:P36)/SUM(O29:O36)</f>
        <v>26.497142857142858</v>
      </c>
      <c r="Q38" s="20">
        <f>SUMPRODUCT(O29:O36,Q29:Q36)/SUM(O29:O36)</f>
        <v>3.491059664972708E-2</v>
      </c>
      <c r="R38" s="20">
        <f>SUMPRODUCT(O29:O36,R29:R36)/SUM(O29:O36)</f>
        <v>0.96305885714285733</v>
      </c>
      <c r="S38" s="23"/>
      <c r="T38" s="7">
        <f>SUMPRODUCT(S29:S36,T29:T36)/SUM(S29:S36)</f>
        <v>26.811865569272978</v>
      </c>
      <c r="U38" s="20">
        <f>SUMPRODUCT(S29:S36,U29:U36)/SUM(S29:S36)</f>
        <v>3.5325251079411035E-2</v>
      </c>
      <c r="V38" s="20">
        <f>SUMPRODUCT(S29:S36,V29:V36)/SUM(S29:S36)</f>
        <v>0.96177503429355282</v>
      </c>
      <c r="X38" s="92"/>
      <c r="Z38" s="1" t="s">
        <v>11</v>
      </c>
      <c r="AA38" s="23"/>
      <c r="AB38" s="7">
        <f>SUMPRODUCT(AA29:AA36,AB29:AB36)/SUM(AA29:AA36)</f>
        <v>42.39561904761905</v>
      </c>
      <c r="AC38" s="20">
        <f>SUMPRODUCT(AA29:AA36,AC29:AC36)/SUM(AA29:AA36)</f>
        <v>5.5857205596336029E-2</v>
      </c>
      <c r="AD38" s="20">
        <f>SUMPRODUCT(AA29:AA36,AD29:AD36)/SUM(AA29:AA36)</f>
        <v>0.92876228571428576</v>
      </c>
      <c r="AE38" s="17"/>
      <c r="AF38" s="7">
        <f>SUMPRODUCT(AE29:AE36,AF29:AF36)/SUM(AE29:AE36)</f>
        <v>31.87282468924132</v>
      </c>
      <c r="AG38" s="20">
        <f>SUMPRODUCT(AE29:AE36,AG29:AG36)/SUM(AE29:AE36)</f>
        <v>4.1993181408750094E-2</v>
      </c>
      <c r="AH38" s="20">
        <f>SUMPRODUCT(AE29:AE36,AH29:AH36)/SUM(AE29:AE36)</f>
        <v>0.95168538362623234</v>
      </c>
      <c r="AI38" s="23"/>
      <c r="AJ38" s="7">
        <f>SUMPRODUCT(AI29:AI36,AJ29:AJ36)/SUM(AI29:AI36)</f>
        <v>29.715426052889324</v>
      </c>
      <c r="AK38" s="20">
        <f>SUMPRODUCT(AI29:AI36,AK29:AK36)/SUM(AI29:AI36)</f>
        <v>3.9150758962963536E-2</v>
      </c>
      <c r="AL38" s="20">
        <f>SUMPRODUCT(AI29:AI36,AL29:AL36)/SUM(AI29:AI36)</f>
        <v>0.95710186092066607</v>
      </c>
      <c r="AM38" s="23"/>
      <c r="AN38" s="7">
        <f>SUMPRODUCT(AM29:AM36,AN29:AN36)/SUM(AM29:AM36)</f>
        <v>29.198114285714286</v>
      </c>
      <c r="AO38" s="20">
        <f>SUMPRODUCT(AM29:AM36,AO29:AO36)/SUM(AM29:AM36)</f>
        <v>3.8469188782232266E-2</v>
      </c>
      <c r="AP38" s="20">
        <f>SUMPRODUCT(AM29:AM36,AP29:AP36)/SUM(AM29:AM36)</f>
        <v>0.95911028571428547</v>
      </c>
      <c r="AQ38" s="23"/>
      <c r="AR38" s="7">
        <f>SUMPRODUCT(AQ29:AQ36,AR29:AR36)/SUM(AQ29:AQ36)</f>
        <v>29.037242798353908</v>
      </c>
      <c r="AS38" s="20">
        <f>SUMPRODUCT(AQ29:AQ36,AS29:AS36)/SUM(AQ29:AQ36)</f>
        <v>3.8257236888476827E-2</v>
      </c>
      <c r="AT38" s="20">
        <f>SUMPRODUCT(AQ29:AQ36,AT29:AT36)/SUM(AQ29:AQ36)</f>
        <v>0.95849245541838135</v>
      </c>
    </row>
    <row r="39" spans="1:46" ht="15.75" customHeight="1" x14ac:dyDescent="0.2"/>
    <row r="40" spans="1:46" ht="15.75" customHeight="1" x14ac:dyDescent="0.2">
      <c r="C40" s="1">
        <f>SUM(C29:C36)</f>
        <v>13125</v>
      </c>
      <c r="G40" s="1">
        <f>SUM(G29:G36)</f>
        <v>11665</v>
      </c>
      <c r="K40" s="1">
        <f>SUM(K29:K36)</f>
        <v>10210</v>
      </c>
      <c r="O40" s="1">
        <f>SUM(O29:O36)</f>
        <v>8750</v>
      </c>
      <c r="S40" s="1">
        <f>SUM(S29:S36)</f>
        <v>7290</v>
      </c>
      <c r="AA40" s="1"/>
      <c r="AE40" s="1"/>
      <c r="AI40" s="1"/>
      <c r="AM40" s="1"/>
      <c r="AQ40" s="1"/>
    </row>
    <row r="41" spans="1:46" ht="15.75" customHeight="1" x14ac:dyDescent="0.2"/>
    <row r="42" spans="1:46" ht="15.75" customHeight="1" x14ac:dyDescent="0.2">
      <c r="Y42" s="1" t="s">
        <v>24</v>
      </c>
      <c r="AB42" s="134">
        <v>0.1</v>
      </c>
      <c r="AC42" s="133"/>
      <c r="AD42" s="133"/>
      <c r="AE42" s="2"/>
      <c r="AF42" s="134">
        <v>0.2</v>
      </c>
      <c r="AG42" s="133"/>
      <c r="AH42" s="133"/>
      <c r="AI42" s="2"/>
      <c r="AJ42" s="134">
        <v>0.3</v>
      </c>
      <c r="AK42" s="133"/>
      <c r="AL42" s="133"/>
      <c r="AM42" s="2"/>
      <c r="AN42" s="134">
        <v>0.4</v>
      </c>
      <c r="AO42" s="133"/>
      <c r="AP42" s="133"/>
      <c r="AQ42" s="2"/>
      <c r="AR42" s="134">
        <v>0.5</v>
      </c>
      <c r="AS42" s="133"/>
      <c r="AT42" s="133"/>
    </row>
    <row r="43" spans="1:46" ht="15.75" customHeight="1" thickBot="1" x14ac:dyDescent="0.25">
      <c r="A43" s="1" t="s">
        <v>24</v>
      </c>
      <c r="D43" s="134">
        <v>0.1</v>
      </c>
      <c r="E43" s="133"/>
      <c r="F43" s="133"/>
      <c r="G43" s="2"/>
      <c r="H43" s="134">
        <v>0.2</v>
      </c>
      <c r="I43" s="133"/>
      <c r="J43" s="133"/>
      <c r="K43" s="2"/>
      <c r="L43" s="134">
        <v>0.3</v>
      </c>
      <c r="M43" s="133"/>
      <c r="N43" s="133"/>
      <c r="O43" s="2"/>
      <c r="P43" s="134">
        <v>0.4</v>
      </c>
      <c r="Q43" s="133"/>
      <c r="R43" s="133"/>
      <c r="S43" s="2"/>
      <c r="T43" s="134">
        <v>0.5</v>
      </c>
      <c r="U43" s="133"/>
      <c r="V43" s="133"/>
      <c r="Z43" s="13" t="s">
        <v>8</v>
      </c>
      <c r="AA43" s="22"/>
      <c r="AB43" s="14" t="s">
        <v>7</v>
      </c>
      <c r="AC43" s="13" t="s">
        <v>9</v>
      </c>
      <c r="AD43" s="13" t="s">
        <v>10</v>
      </c>
      <c r="AE43" s="22" t="s">
        <v>22</v>
      </c>
      <c r="AF43" s="14" t="s">
        <v>7</v>
      </c>
      <c r="AG43" s="13" t="s">
        <v>9</v>
      </c>
      <c r="AH43" s="13" t="s">
        <v>10</v>
      </c>
      <c r="AI43" s="22" t="s">
        <v>22</v>
      </c>
      <c r="AJ43" s="13" t="s">
        <v>7</v>
      </c>
      <c r="AK43" s="13" t="s">
        <v>9</v>
      </c>
      <c r="AL43" s="13" t="s">
        <v>10</v>
      </c>
      <c r="AM43" s="22" t="s">
        <v>22</v>
      </c>
      <c r="AN43" s="13" t="s">
        <v>7</v>
      </c>
      <c r="AO43" s="13" t="s">
        <v>9</v>
      </c>
      <c r="AP43" s="13" t="s">
        <v>10</v>
      </c>
      <c r="AQ43" s="22" t="s">
        <v>22</v>
      </c>
      <c r="AR43" s="13" t="s">
        <v>7</v>
      </c>
      <c r="AS43" s="13" t="s">
        <v>9</v>
      </c>
      <c r="AT43" s="13" t="s">
        <v>10</v>
      </c>
    </row>
    <row r="44" spans="1:46" ht="15.75" customHeight="1" thickBot="1" x14ac:dyDescent="0.25">
      <c r="B44" s="13" t="s">
        <v>8</v>
      </c>
      <c r="C44" s="22" t="s">
        <v>22</v>
      </c>
      <c r="D44" s="14" t="s">
        <v>7</v>
      </c>
      <c r="E44" s="13" t="s">
        <v>9</v>
      </c>
      <c r="F44" s="13" t="s">
        <v>10</v>
      </c>
      <c r="G44" s="22" t="s">
        <v>22</v>
      </c>
      <c r="H44" s="14" t="s">
        <v>7</v>
      </c>
      <c r="I44" s="13" t="s">
        <v>9</v>
      </c>
      <c r="J44" s="13" t="s">
        <v>10</v>
      </c>
      <c r="K44" s="22" t="s">
        <v>22</v>
      </c>
      <c r="L44" s="13" t="s">
        <v>7</v>
      </c>
      <c r="M44" s="13" t="s">
        <v>9</v>
      </c>
      <c r="N44" s="13" t="s">
        <v>10</v>
      </c>
      <c r="O44" s="22" t="s">
        <v>22</v>
      </c>
      <c r="P44" s="13" t="s">
        <v>7</v>
      </c>
      <c r="Q44" s="13" t="s">
        <v>9</v>
      </c>
      <c r="R44" s="13" t="s">
        <v>10</v>
      </c>
      <c r="S44" s="22" t="s">
        <v>22</v>
      </c>
      <c r="T44" s="13" t="s">
        <v>7</v>
      </c>
      <c r="U44" s="13" t="s">
        <v>9</v>
      </c>
      <c r="V44" s="13" t="s">
        <v>10</v>
      </c>
      <c r="Z44" s="1">
        <v>0</v>
      </c>
      <c r="AA44" s="23">
        <v>2860</v>
      </c>
      <c r="AB44" s="17">
        <v>38.799999999999997</v>
      </c>
      <c r="AC44" s="16">
        <f>AB44/$A$5</f>
        <v>5.1119894598155462E-2</v>
      </c>
      <c r="AD44" s="28">
        <v>0.95799999999999996</v>
      </c>
      <c r="AE44" s="17">
        <v>2550</v>
      </c>
      <c r="AF44" s="17">
        <v>29.7</v>
      </c>
      <c r="AG44" s="16">
        <f>AF44/$A$5</f>
        <v>3.9130434782608692E-2</v>
      </c>
      <c r="AH44" s="28">
        <v>0.97199999999999998</v>
      </c>
      <c r="AI44" s="23">
        <v>2245</v>
      </c>
      <c r="AJ44" s="17">
        <v>32.700000000000003</v>
      </c>
      <c r="AK44" s="16">
        <f>AJ44/$A$5</f>
        <v>4.3083003952569171E-2</v>
      </c>
      <c r="AL44" s="28">
        <v>0.96699999999999997</v>
      </c>
      <c r="AM44" s="23">
        <v>1875</v>
      </c>
      <c r="AN44" s="17">
        <v>30.1</v>
      </c>
      <c r="AO44" s="16">
        <f>AN44/$A$5</f>
        <v>3.9657444005270097E-2</v>
      </c>
      <c r="AP44" s="28">
        <v>0.97099999999999997</v>
      </c>
      <c r="AQ44" s="23">
        <v>1605</v>
      </c>
      <c r="AR44" s="17">
        <v>30.3</v>
      </c>
      <c r="AS44" s="16">
        <f>AR44/$A$5</f>
        <v>3.9920948616600789E-2</v>
      </c>
      <c r="AT44" s="28">
        <v>0.97099999999999997</v>
      </c>
    </row>
    <row r="45" spans="1:46" ht="15.75" customHeight="1" x14ac:dyDescent="0.2">
      <c r="B45" s="1">
        <v>0</v>
      </c>
      <c r="C45" s="23">
        <v>2860</v>
      </c>
      <c r="D45" s="17">
        <v>30.8</v>
      </c>
      <c r="E45" s="16">
        <f t="shared" ref="E45:E52" si="38">D45/$A$5</f>
        <v>4.057971014492754E-2</v>
      </c>
      <c r="F45" s="28">
        <v>0.96899999999999997</v>
      </c>
      <c r="G45" s="17">
        <v>2550</v>
      </c>
      <c r="H45" s="17">
        <v>27.1</v>
      </c>
      <c r="I45" s="16">
        <f t="shared" ref="I45:I52" si="39">H45/$A$5</f>
        <v>3.5704874835309618E-2</v>
      </c>
      <c r="J45" s="28">
        <v>0.97499999999999998</v>
      </c>
      <c r="K45" s="23">
        <v>2245</v>
      </c>
      <c r="L45" s="28">
        <v>30.5</v>
      </c>
      <c r="M45" s="16">
        <f t="shared" ref="M45:M52" si="40">L45/$A$5</f>
        <v>4.0184453227931488E-2</v>
      </c>
      <c r="N45" s="28">
        <v>0.96899999999999997</v>
      </c>
      <c r="O45" s="23">
        <v>1875</v>
      </c>
      <c r="P45" s="28">
        <v>27.3</v>
      </c>
      <c r="Q45" s="16">
        <f t="shared" ref="Q45:Q52" si="41">P45/$A$5</f>
        <v>3.5968379446640317E-2</v>
      </c>
      <c r="R45" s="28">
        <v>0.97399999999999998</v>
      </c>
      <c r="S45" s="23">
        <v>1605</v>
      </c>
      <c r="T45" s="28">
        <v>27.6</v>
      </c>
      <c r="U45" s="16">
        <f t="shared" ref="U45:U52" si="42">T45/$A$5</f>
        <v>3.6363636363636369E-2</v>
      </c>
      <c r="V45" s="28">
        <v>0.97399999999999998</v>
      </c>
      <c r="Z45" s="1">
        <v>1</v>
      </c>
      <c r="AA45" s="23">
        <v>2625</v>
      </c>
      <c r="AB45" s="17">
        <v>32.799999999999997</v>
      </c>
      <c r="AC45" s="16">
        <f t="shared" ref="AC45:AC51" si="43">AB45/$A$5</f>
        <v>4.3214756258234517E-2</v>
      </c>
      <c r="AD45" s="28">
        <v>0.96799999999999997</v>
      </c>
      <c r="AE45" s="17">
        <v>2335</v>
      </c>
      <c r="AF45" s="17">
        <v>29.5</v>
      </c>
      <c r="AG45" s="16">
        <f t="shared" ref="AG45:AG51" si="44">AF45/$A$5</f>
        <v>3.8866930171278E-2</v>
      </c>
      <c r="AH45" s="28">
        <v>0.97099999999999997</v>
      </c>
      <c r="AI45" s="23">
        <v>2085</v>
      </c>
      <c r="AJ45" s="17">
        <v>29.6</v>
      </c>
      <c r="AK45" s="16">
        <f t="shared" ref="AK45:AK51" si="45">AJ45/$A$5</f>
        <v>3.8998682476943346E-2</v>
      </c>
      <c r="AL45" s="28">
        <v>0.97</v>
      </c>
      <c r="AM45" s="23">
        <v>1790</v>
      </c>
      <c r="AN45" s="17">
        <v>29.7</v>
      </c>
      <c r="AO45" s="16">
        <f t="shared" ref="AO45:AO51" si="46">AN45/$A$5</f>
        <v>3.9130434782608692E-2</v>
      </c>
      <c r="AP45" s="28">
        <v>0.97</v>
      </c>
      <c r="AQ45" s="23">
        <v>1520</v>
      </c>
      <c r="AR45" s="17">
        <v>28.4</v>
      </c>
      <c r="AS45" s="16">
        <f t="shared" ref="AS45:AS51" si="47">AR45/$A$5</f>
        <v>3.7417654808959158E-2</v>
      </c>
      <c r="AT45" s="28">
        <v>0.97099999999999997</v>
      </c>
    </row>
    <row r="46" spans="1:46" ht="15.75" customHeight="1" x14ac:dyDescent="0.2">
      <c r="B46" s="1">
        <v>1</v>
      </c>
      <c r="C46" s="23">
        <v>2625</v>
      </c>
      <c r="D46" s="17">
        <v>28</v>
      </c>
      <c r="E46" s="16">
        <f t="shared" si="38"/>
        <v>3.689064558629776E-2</v>
      </c>
      <c r="F46" s="28">
        <v>0.97399999999999998</v>
      </c>
      <c r="G46" s="17">
        <v>2335</v>
      </c>
      <c r="H46" s="17">
        <v>26.2</v>
      </c>
      <c r="I46" s="16">
        <f t="shared" si="39"/>
        <v>3.4519104084321475E-2</v>
      </c>
      <c r="J46" s="28">
        <v>0.97599999999999998</v>
      </c>
      <c r="K46" s="23">
        <v>2085</v>
      </c>
      <c r="L46" s="28">
        <v>27.8</v>
      </c>
      <c r="M46" s="16">
        <f t="shared" si="40"/>
        <v>3.6627140974967061E-2</v>
      </c>
      <c r="N46" s="28">
        <v>0.97199999999999998</v>
      </c>
      <c r="O46" s="23">
        <v>1790</v>
      </c>
      <c r="P46" s="28">
        <v>26.5</v>
      </c>
      <c r="Q46" s="16">
        <f t="shared" si="41"/>
        <v>3.491436100131752E-2</v>
      </c>
      <c r="R46" s="28">
        <v>0.97299999999999998</v>
      </c>
      <c r="S46" s="23">
        <v>1520</v>
      </c>
      <c r="T46" s="28">
        <v>26.3</v>
      </c>
      <c r="U46" s="16">
        <f t="shared" si="42"/>
        <v>3.4650856389986828E-2</v>
      </c>
      <c r="V46" s="28">
        <v>0.97199999999999998</v>
      </c>
      <c r="Z46" s="1">
        <v>2</v>
      </c>
      <c r="AA46" s="23">
        <v>1670</v>
      </c>
      <c r="AB46" s="17">
        <v>32.200000000000003</v>
      </c>
      <c r="AC46" s="16">
        <f t="shared" si="43"/>
        <v>4.2424242424242427E-2</v>
      </c>
      <c r="AD46" s="28">
        <v>0.77400000000000002</v>
      </c>
      <c r="AE46" s="17">
        <v>1495</v>
      </c>
      <c r="AF46" s="17">
        <v>21.4</v>
      </c>
      <c r="AG46" s="16">
        <f t="shared" si="44"/>
        <v>2.8194993412384715E-2</v>
      </c>
      <c r="AH46" s="28">
        <v>0.86499999999999999</v>
      </c>
      <c r="AI46" s="23">
        <v>1315</v>
      </c>
      <c r="AJ46" s="17">
        <v>20.6</v>
      </c>
      <c r="AK46" s="16">
        <f t="shared" si="45"/>
        <v>2.7140974967061925E-2</v>
      </c>
      <c r="AL46" s="28">
        <v>0.86199999999999999</v>
      </c>
      <c r="AM46" s="23">
        <v>1085</v>
      </c>
      <c r="AN46" s="17">
        <v>19.3</v>
      </c>
      <c r="AO46" s="16">
        <f t="shared" si="46"/>
        <v>2.5428194993412385E-2</v>
      </c>
      <c r="AP46" s="28">
        <v>0.87</v>
      </c>
      <c r="AQ46" s="23">
        <v>865</v>
      </c>
      <c r="AR46" s="17">
        <v>19.8</v>
      </c>
      <c r="AS46" s="16">
        <f t="shared" si="47"/>
        <v>2.6086956521739132E-2</v>
      </c>
      <c r="AT46" s="28">
        <v>0.88</v>
      </c>
    </row>
    <row r="47" spans="1:46" ht="15.75" customHeight="1" x14ac:dyDescent="0.2">
      <c r="B47" s="1">
        <v>2</v>
      </c>
      <c r="C47" s="23">
        <v>1670</v>
      </c>
      <c r="D47" s="17">
        <v>25.6</v>
      </c>
      <c r="E47" s="16">
        <f t="shared" si="38"/>
        <v>3.3728590250329385E-2</v>
      </c>
      <c r="F47" s="28">
        <v>0.83399999999999996</v>
      </c>
      <c r="G47" s="17">
        <v>1495</v>
      </c>
      <c r="H47" s="17">
        <v>20.399999999999999</v>
      </c>
      <c r="I47" s="16">
        <f t="shared" si="39"/>
        <v>2.6877470355731223E-2</v>
      </c>
      <c r="J47" s="28">
        <v>0.86</v>
      </c>
      <c r="K47" s="23">
        <v>1315</v>
      </c>
      <c r="L47" s="28">
        <v>17.2</v>
      </c>
      <c r="M47" s="16">
        <f t="shared" si="40"/>
        <v>2.2661396574440051E-2</v>
      </c>
      <c r="N47" s="28">
        <v>0.877</v>
      </c>
      <c r="O47" s="23">
        <v>1085</v>
      </c>
      <c r="P47" s="28">
        <v>18.5</v>
      </c>
      <c r="Q47" s="16">
        <f t="shared" si="41"/>
        <v>2.4374176548089592E-2</v>
      </c>
      <c r="R47" s="28">
        <v>0.876</v>
      </c>
      <c r="S47" s="23">
        <v>865</v>
      </c>
      <c r="T47" s="28">
        <v>22.8</v>
      </c>
      <c r="U47" s="16">
        <f t="shared" si="42"/>
        <v>3.0039525691699605E-2</v>
      </c>
      <c r="V47" s="28">
        <v>0.84699999999999998</v>
      </c>
      <c r="Z47" s="1">
        <v>3</v>
      </c>
      <c r="AA47" s="23">
        <v>1430</v>
      </c>
      <c r="AB47" s="17">
        <v>32.299999999999997</v>
      </c>
      <c r="AC47" s="16">
        <f t="shared" si="43"/>
        <v>4.2555994729907773E-2</v>
      </c>
      <c r="AD47" s="28">
        <v>0.96599999999999997</v>
      </c>
      <c r="AE47" s="17">
        <v>1250</v>
      </c>
      <c r="AF47" s="17">
        <v>27.1</v>
      </c>
      <c r="AG47" s="16">
        <f t="shared" si="44"/>
        <v>3.5704874835309618E-2</v>
      </c>
      <c r="AH47" s="28">
        <v>0.97499999999999998</v>
      </c>
      <c r="AI47" s="23">
        <v>1120</v>
      </c>
      <c r="AJ47" s="17">
        <v>26.3</v>
      </c>
      <c r="AK47" s="16">
        <f t="shared" si="45"/>
        <v>3.4650856389986828E-2</v>
      </c>
      <c r="AL47" s="28">
        <v>0.97499999999999998</v>
      </c>
      <c r="AM47" s="23">
        <v>995</v>
      </c>
      <c r="AN47" s="17">
        <v>28</v>
      </c>
      <c r="AO47" s="16">
        <f t="shared" si="46"/>
        <v>3.689064558629776E-2</v>
      </c>
      <c r="AP47" s="28">
        <v>0.97299999999999998</v>
      </c>
      <c r="AQ47" s="23">
        <v>820</v>
      </c>
      <c r="AR47" s="17">
        <v>32.9</v>
      </c>
      <c r="AS47" s="16">
        <f t="shared" si="47"/>
        <v>4.3346508563899863E-2</v>
      </c>
      <c r="AT47" s="28">
        <v>0.96399999999999997</v>
      </c>
    </row>
    <row r="48" spans="1:46" ht="15.75" customHeight="1" x14ac:dyDescent="0.2">
      <c r="B48" s="1">
        <v>3</v>
      </c>
      <c r="C48" s="23">
        <v>1430</v>
      </c>
      <c r="D48" s="17">
        <v>27</v>
      </c>
      <c r="E48" s="16">
        <f t="shared" si="38"/>
        <v>3.5573122529644272E-2</v>
      </c>
      <c r="F48" s="28">
        <v>0.97399999999999998</v>
      </c>
      <c r="G48" s="17">
        <v>1250</v>
      </c>
      <c r="H48" s="17">
        <v>24.7</v>
      </c>
      <c r="I48" s="16">
        <f t="shared" si="39"/>
        <v>3.2542819499341236E-2</v>
      </c>
      <c r="J48" s="28">
        <v>0.97699999999999998</v>
      </c>
      <c r="K48" s="23">
        <v>1120</v>
      </c>
      <c r="L48" s="28">
        <v>24.7</v>
      </c>
      <c r="M48" s="16">
        <f t="shared" si="40"/>
        <v>3.2542819499341236E-2</v>
      </c>
      <c r="N48" s="28">
        <v>0.97599999999999998</v>
      </c>
      <c r="O48" s="23">
        <v>995</v>
      </c>
      <c r="P48" s="28">
        <v>24.8</v>
      </c>
      <c r="Q48" s="16">
        <f t="shared" si="41"/>
        <v>3.2674571805006589E-2</v>
      </c>
      <c r="R48" s="28">
        <v>0.97499999999999998</v>
      </c>
      <c r="S48" s="23">
        <v>820</v>
      </c>
      <c r="T48" s="28">
        <v>26.2</v>
      </c>
      <c r="U48" s="16">
        <f t="shared" si="42"/>
        <v>3.4519104084321475E-2</v>
      </c>
      <c r="V48" s="28">
        <v>0.97099999999999997</v>
      </c>
      <c r="Z48" s="1">
        <v>4</v>
      </c>
      <c r="AA48" s="23">
        <v>1225</v>
      </c>
      <c r="AB48" s="17">
        <v>43.4</v>
      </c>
      <c r="AC48" s="16">
        <f t="shared" si="43"/>
        <v>5.7180500658761527E-2</v>
      </c>
      <c r="AD48" s="28">
        <v>0.93100000000000005</v>
      </c>
      <c r="AE48" s="17">
        <v>1050</v>
      </c>
      <c r="AF48" s="17">
        <v>34.200000000000003</v>
      </c>
      <c r="AG48" s="16">
        <f t="shared" si="44"/>
        <v>4.5059288537549411E-2</v>
      </c>
      <c r="AH48" s="28">
        <v>0.95899999999999996</v>
      </c>
      <c r="AI48" s="23">
        <v>880</v>
      </c>
      <c r="AJ48" s="17">
        <v>28</v>
      </c>
      <c r="AK48" s="16">
        <f t="shared" si="45"/>
        <v>3.689064558629776E-2</v>
      </c>
      <c r="AL48" s="28">
        <v>0.96599999999999997</v>
      </c>
      <c r="AM48" s="23">
        <v>765</v>
      </c>
      <c r="AN48" s="17">
        <v>27.4</v>
      </c>
      <c r="AO48" s="16">
        <f t="shared" si="46"/>
        <v>3.6100131752305663E-2</v>
      </c>
      <c r="AP48" s="28">
        <v>0.96499999999999997</v>
      </c>
      <c r="AQ48" s="23">
        <v>655</v>
      </c>
      <c r="AR48" s="17">
        <v>27.1</v>
      </c>
      <c r="AS48" s="16">
        <f t="shared" si="47"/>
        <v>3.5704874835309618E-2</v>
      </c>
      <c r="AT48" s="28">
        <v>0.96599999999999997</v>
      </c>
    </row>
    <row r="49" spans="1:46" ht="15.75" customHeight="1" x14ac:dyDescent="0.2">
      <c r="B49" s="1">
        <v>4</v>
      </c>
      <c r="C49" s="23">
        <v>1225</v>
      </c>
      <c r="D49" s="17">
        <v>36.799999999999997</v>
      </c>
      <c r="E49" s="16">
        <f t="shared" si="38"/>
        <v>4.8484848484848478E-2</v>
      </c>
      <c r="F49" s="28">
        <v>0.94899999999999995</v>
      </c>
      <c r="G49" s="17">
        <v>1050</v>
      </c>
      <c r="H49" s="17">
        <v>27.6</v>
      </c>
      <c r="I49" s="16">
        <f t="shared" si="39"/>
        <v>3.6363636363636369E-2</v>
      </c>
      <c r="J49" s="28">
        <v>0.97</v>
      </c>
      <c r="K49" s="23">
        <v>880</v>
      </c>
      <c r="L49" s="28">
        <v>24.7</v>
      </c>
      <c r="M49" s="16">
        <f t="shared" si="40"/>
        <v>3.2542819499341236E-2</v>
      </c>
      <c r="N49" s="28">
        <v>0.97</v>
      </c>
      <c r="O49" s="23">
        <v>765</v>
      </c>
      <c r="P49" s="28">
        <v>25</v>
      </c>
      <c r="Q49" s="16">
        <f t="shared" si="41"/>
        <v>3.2938076416337288E-2</v>
      </c>
      <c r="R49" s="28">
        <v>0.96699999999999997</v>
      </c>
      <c r="S49" s="23">
        <v>655</v>
      </c>
      <c r="T49" s="28">
        <v>25.1</v>
      </c>
      <c r="U49" s="16">
        <f t="shared" si="42"/>
        <v>3.3069828722002634E-2</v>
      </c>
      <c r="V49" s="28">
        <v>0.96899999999999997</v>
      </c>
      <c r="Z49" s="1">
        <v>5</v>
      </c>
      <c r="AA49" s="23">
        <v>1560</v>
      </c>
      <c r="AB49" s="17">
        <v>36.4</v>
      </c>
      <c r="AC49" s="16">
        <f t="shared" si="43"/>
        <v>4.7957839262187087E-2</v>
      </c>
      <c r="AD49" s="28">
        <v>0.96099999999999997</v>
      </c>
      <c r="AE49" s="17">
        <v>1430</v>
      </c>
      <c r="AF49" s="17">
        <v>32.700000000000003</v>
      </c>
      <c r="AG49" s="16">
        <f t="shared" si="44"/>
        <v>4.3083003952569171E-2</v>
      </c>
      <c r="AH49" s="28">
        <v>0.96499999999999997</v>
      </c>
      <c r="AI49" s="23">
        <v>1230</v>
      </c>
      <c r="AJ49" s="17">
        <v>30.1</v>
      </c>
      <c r="AK49" s="16">
        <f t="shared" si="45"/>
        <v>3.9657444005270097E-2</v>
      </c>
      <c r="AL49" s="28">
        <v>0.97</v>
      </c>
      <c r="AM49" s="23">
        <v>1070</v>
      </c>
      <c r="AN49" s="17">
        <v>28.6</v>
      </c>
      <c r="AO49" s="16">
        <f t="shared" si="46"/>
        <v>3.7681159420289857E-2</v>
      </c>
      <c r="AP49" s="28">
        <v>0.97299999999999998</v>
      </c>
      <c r="AQ49" s="23">
        <v>865</v>
      </c>
      <c r="AR49" s="17">
        <v>31.6</v>
      </c>
      <c r="AS49" s="16">
        <f t="shared" si="47"/>
        <v>4.163372859025033E-2</v>
      </c>
      <c r="AT49" s="28">
        <v>0.96799999999999997</v>
      </c>
    </row>
    <row r="50" spans="1:46" ht="15.75" customHeight="1" x14ac:dyDescent="0.2">
      <c r="B50" s="1">
        <v>5</v>
      </c>
      <c r="C50" s="23">
        <v>1560</v>
      </c>
      <c r="D50" s="17">
        <v>31.2</v>
      </c>
      <c r="E50" s="16">
        <f t="shared" si="38"/>
        <v>4.1106719367588931E-2</v>
      </c>
      <c r="F50" s="28">
        <v>0.97</v>
      </c>
      <c r="G50" s="17">
        <v>1430</v>
      </c>
      <c r="H50" s="17">
        <v>29.2</v>
      </c>
      <c r="I50" s="16">
        <f t="shared" si="39"/>
        <v>3.8471673254281948E-2</v>
      </c>
      <c r="J50" s="28">
        <v>0.97099999999999997</v>
      </c>
      <c r="K50" s="23">
        <v>1230</v>
      </c>
      <c r="L50" s="28">
        <v>26.7</v>
      </c>
      <c r="M50" s="16">
        <f t="shared" si="40"/>
        <v>3.5177865612648219E-2</v>
      </c>
      <c r="N50" s="28">
        <v>0.97599999999999998</v>
      </c>
      <c r="O50" s="23">
        <v>1070</v>
      </c>
      <c r="P50" s="28">
        <v>26.1</v>
      </c>
      <c r="Q50" s="16">
        <f t="shared" si="41"/>
        <v>3.4387351778656129E-2</v>
      </c>
      <c r="R50" s="28">
        <v>0.97699999999999998</v>
      </c>
      <c r="S50" s="23">
        <v>865</v>
      </c>
      <c r="T50" s="28">
        <v>27.9</v>
      </c>
      <c r="U50" s="16">
        <f t="shared" si="42"/>
        <v>3.6758893280632407E-2</v>
      </c>
      <c r="V50" s="28">
        <v>0.97299999999999998</v>
      </c>
      <c r="Z50" s="1">
        <v>6</v>
      </c>
      <c r="AA50" s="23">
        <v>800</v>
      </c>
      <c r="AB50" s="17">
        <v>52.8</v>
      </c>
      <c r="AC50" s="16">
        <f t="shared" si="43"/>
        <v>6.9565217391304349E-2</v>
      </c>
      <c r="AD50" s="28">
        <v>0.753</v>
      </c>
      <c r="AE50" s="17">
        <v>725</v>
      </c>
      <c r="AF50" s="17">
        <v>36.6</v>
      </c>
      <c r="AG50" s="16">
        <f t="shared" si="44"/>
        <v>4.8221343873517786E-2</v>
      </c>
      <c r="AH50" s="28">
        <v>0.88500000000000001</v>
      </c>
      <c r="AI50" s="23">
        <v>620</v>
      </c>
      <c r="AJ50" s="17">
        <v>29.3</v>
      </c>
      <c r="AK50" s="16">
        <f t="shared" si="45"/>
        <v>3.8603425559947301E-2</v>
      </c>
      <c r="AL50" s="28">
        <v>0.92</v>
      </c>
      <c r="AM50" s="23">
        <v>515</v>
      </c>
      <c r="AN50" s="17">
        <v>27.3</v>
      </c>
      <c r="AO50" s="16">
        <f t="shared" si="46"/>
        <v>3.5968379446640317E-2</v>
      </c>
      <c r="AP50" s="28">
        <v>0.92600000000000005</v>
      </c>
      <c r="AQ50" s="23">
        <v>440</v>
      </c>
      <c r="AR50" s="17">
        <v>27.1</v>
      </c>
      <c r="AS50" s="16">
        <f t="shared" si="47"/>
        <v>3.5704874835309618E-2</v>
      </c>
      <c r="AT50" s="28">
        <v>0.93100000000000005</v>
      </c>
    </row>
    <row r="51" spans="1:46" ht="15.75" customHeight="1" x14ac:dyDescent="0.2">
      <c r="B51" s="1">
        <v>6</v>
      </c>
      <c r="C51" s="23">
        <v>800</v>
      </c>
      <c r="D51" s="17">
        <v>42.3</v>
      </c>
      <c r="E51" s="16">
        <f t="shared" si="38"/>
        <v>5.5731225296442685E-2</v>
      </c>
      <c r="F51" s="28">
        <v>0.82299999999999995</v>
      </c>
      <c r="G51" s="17">
        <v>725</v>
      </c>
      <c r="H51" s="17">
        <v>31.3</v>
      </c>
      <c r="I51" s="16">
        <f t="shared" si="39"/>
        <v>4.1238471673254284E-2</v>
      </c>
      <c r="J51" s="28">
        <v>0.91400000000000003</v>
      </c>
      <c r="K51" s="23">
        <v>620</v>
      </c>
      <c r="L51" s="28">
        <v>26.3</v>
      </c>
      <c r="M51" s="16">
        <f t="shared" si="40"/>
        <v>3.4650856389986828E-2</v>
      </c>
      <c r="N51" s="28">
        <v>0.93700000000000006</v>
      </c>
      <c r="O51" s="23">
        <v>515</v>
      </c>
      <c r="P51" s="28">
        <v>24.8</v>
      </c>
      <c r="Q51" s="16">
        <f t="shared" si="41"/>
        <v>3.2674571805006589E-2</v>
      </c>
      <c r="R51" s="28">
        <v>0.93600000000000005</v>
      </c>
      <c r="S51" s="23">
        <v>440</v>
      </c>
      <c r="T51" s="28">
        <v>26</v>
      </c>
      <c r="U51" s="16">
        <f t="shared" si="42"/>
        <v>3.4255599472990776E-2</v>
      </c>
      <c r="V51" s="28">
        <v>0.93400000000000005</v>
      </c>
      <c r="Z51" s="1">
        <v>7</v>
      </c>
      <c r="AA51" s="23">
        <v>955</v>
      </c>
      <c r="AB51" s="17">
        <v>53.5</v>
      </c>
      <c r="AC51" s="16">
        <f t="shared" si="43"/>
        <v>7.0487483530961792E-2</v>
      </c>
      <c r="AD51" s="28">
        <v>0.872</v>
      </c>
      <c r="AE51" s="17">
        <v>830</v>
      </c>
      <c r="AF51" s="17">
        <v>35.9</v>
      </c>
      <c r="AG51" s="16">
        <f t="shared" si="44"/>
        <v>4.7299077733860342E-2</v>
      </c>
      <c r="AH51" s="28">
        <v>0.93200000000000005</v>
      </c>
      <c r="AI51" s="23">
        <v>715</v>
      </c>
      <c r="AJ51" s="17">
        <v>36</v>
      </c>
      <c r="AK51" s="16">
        <f t="shared" si="45"/>
        <v>4.7430830039525688E-2</v>
      </c>
      <c r="AL51" s="28">
        <v>0.92200000000000004</v>
      </c>
      <c r="AM51" s="23">
        <v>655</v>
      </c>
      <c r="AN51" s="17">
        <v>34.6</v>
      </c>
      <c r="AO51" s="16">
        <f t="shared" si="46"/>
        <v>4.5586297760210809E-2</v>
      </c>
      <c r="AP51" s="28">
        <v>0.92700000000000005</v>
      </c>
      <c r="AQ51" s="23">
        <v>520</v>
      </c>
      <c r="AR51" s="17">
        <v>30.5</v>
      </c>
      <c r="AS51" s="16">
        <f t="shared" si="47"/>
        <v>4.0184453227931488E-2</v>
      </c>
      <c r="AT51" s="28">
        <v>0.93100000000000005</v>
      </c>
    </row>
    <row r="52" spans="1:46" ht="15.75" customHeight="1" x14ac:dyDescent="0.2">
      <c r="B52" s="1">
        <v>7</v>
      </c>
      <c r="C52" s="23">
        <v>955</v>
      </c>
      <c r="D52" s="17">
        <v>52.1</v>
      </c>
      <c r="E52" s="16">
        <f t="shared" si="38"/>
        <v>6.8642951251646905E-2</v>
      </c>
      <c r="F52" s="28">
        <v>0.85599999999999998</v>
      </c>
      <c r="G52" s="17">
        <v>830</v>
      </c>
      <c r="H52" s="17">
        <v>29.2</v>
      </c>
      <c r="I52" s="16">
        <f t="shared" si="39"/>
        <v>3.8471673254281948E-2</v>
      </c>
      <c r="J52" s="28">
        <v>0.94699999999999995</v>
      </c>
      <c r="K52" s="23">
        <v>715</v>
      </c>
      <c r="L52" s="28">
        <v>28.2</v>
      </c>
      <c r="M52" s="16">
        <f t="shared" si="40"/>
        <v>3.7154150197628459E-2</v>
      </c>
      <c r="N52" s="28">
        <v>0.94499999999999995</v>
      </c>
      <c r="O52" s="23">
        <v>655</v>
      </c>
      <c r="P52" s="28">
        <v>28.8</v>
      </c>
      <c r="Q52" s="16">
        <f t="shared" si="41"/>
        <v>3.7944664031620556E-2</v>
      </c>
      <c r="R52" s="28">
        <v>0.94</v>
      </c>
      <c r="S52" s="23">
        <v>520</v>
      </c>
      <c r="T52" s="28">
        <v>29.1</v>
      </c>
      <c r="U52" s="16">
        <f t="shared" si="42"/>
        <v>3.8339920948616601E-2</v>
      </c>
      <c r="V52" s="28">
        <v>0.93300000000000005</v>
      </c>
      <c r="AA52" s="23"/>
      <c r="AB52" s="17"/>
      <c r="AE52" s="17"/>
      <c r="AF52" s="17"/>
      <c r="AI52" s="23"/>
      <c r="AJ52" s="17"/>
      <c r="AM52" s="23"/>
      <c r="AN52" s="17"/>
      <c r="AQ52" s="23"/>
      <c r="AR52" s="17"/>
    </row>
    <row r="53" spans="1:46" ht="15.75" customHeight="1" x14ac:dyDescent="0.2">
      <c r="C53" s="23"/>
      <c r="D53" s="17"/>
      <c r="G53" s="17"/>
      <c r="H53" s="17"/>
      <c r="K53" s="23"/>
      <c r="O53" s="23"/>
      <c r="S53" s="23"/>
      <c r="Z53" s="1" t="s">
        <v>11</v>
      </c>
      <c r="AA53" s="23"/>
      <c r="AB53" s="7">
        <f>SUMPRODUCT(AA44:AA51,AB44:AB51)/SUM(AA44:AA51)</f>
        <v>38.119047619047613</v>
      </c>
      <c r="AC53" s="20">
        <f>SUMPRODUCT(AA44:AA51,AC44:AC51)/SUM(AA44:AA51)</f>
        <v>5.0222724135767616E-2</v>
      </c>
      <c r="AD53" s="20">
        <f>SUMPRODUCT(AA44:AA51,AD44:AD51)/SUM(AA44:AA51)</f>
        <v>0.91654361904761905</v>
      </c>
      <c r="AE53" s="17"/>
      <c r="AF53" s="7">
        <f>SUMPRODUCT(AE44:AE51,AF44:AF51)/SUM(AE44:AE51)</f>
        <v>29.960437205315046</v>
      </c>
      <c r="AG53" s="20">
        <f>SUMPRODUCT(AE44:AE51,AG44:AG51)/SUM(AE44:AE51)</f>
        <v>3.9473566805421662E-2</v>
      </c>
      <c r="AH53" s="20">
        <f>SUMPRODUCT(AE44:AE51,AH44:AH51)/SUM(AE44:AE51)</f>
        <v>0.9481264466352336</v>
      </c>
      <c r="AI53" s="23"/>
      <c r="AJ53" s="7">
        <f>SUMPRODUCT(AI44:AI51,AJ44:AJ51)/SUM(AI44:AI51)</f>
        <v>29.112781586679727</v>
      </c>
      <c r="AK53" s="20">
        <f>SUMPRODUCT(AI44:AI51,AK44:AK51)/SUM(AI44:AI51)</f>
        <v>3.8356760983767758E-2</v>
      </c>
      <c r="AL53" s="20">
        <f>SUMPRODUCT(AI44:AI51,AL44:AL51)/SUM(AI44:AI51)</f>
        <v>0.94923653281096942</v>
      </c>
      <c r="AM53" s="23"/>
      <c r="AN53" s="7">
        <f>SUMPRODUCT(AM44:AM51,AN44:AN51)/SUM(AM44:AM51)</f>
        <v>28.192742857142857</v>
      </c>
      <c r="AO53" s="20">
        <f>SUMPRODUCT(AM44:AM51,AO44:AO51)/SUM(AM44:AM51)</f>
        <v>3.7144588744588744E-2</v>
      </c>
      <c r="AP53" s="20">
        <f>SUMPRODUCT(AM44:AM51,AP44:AP51)/SUM(AM44:AM51)</f>
        <v>0.95227657142857147</v>
      </c>
      <c r="AQ53" s="23"/>
      <c r="AR53" s="7">
        <f>SUMPRODUCT(AQ44:AQ51,AR44:AR51)/SUM(AQ44:AQ51)</f>
        <v>28.638271604938272</v>
      </c>
      <c r="AS53" s="20">
        <f>SUMPRODUCT(AQ44:AQ51,AS44:AS51)/SUM(AQ44:AQ51)</f>
        <v>3.7731583142211166E-2</v>
      </c>
      <c r="AT53" s="20">
        <f>SUMPRODUCT(AQ44:AQ51,AT44:AT51)/SUM(AQ44:AQ51)</f>
        <v>0.95334224965706449</v>
      </c>
    </row>
    <row r="54" spans="1:46" ht="15.75" customHeight="1" x14ac:dyDescent="0.2">
      <c r="B54" s="1" t="s">
        <v>11</v>
      </c>
      <c r="C54" s="23"/>
      <c r="D54" s="7">
        <f>SUMPRODUCT(C45:C52,D45:D52)/SUM(C45:C52)</f>
        <v>32.022666666666666</v>
      </c>
      <c r="E54" s="20">
        <f>SUMPRODUCT(C45:C52,E45:E52)/SUM(C45:C52)</f>
        <v>4.2190601668862536E-2</v>
      </c>
      <c r="F54" s="20">
        <f>SUMPRODUCT(C45:C52,F45:F52)/SUM(C45:C52)</f>
        <v>0.9344986666666667</v>
      </c>
      <c r="G54" s="17"/>
      <c r="H54" s="7">
        <f>SUMPRODUCT(G45:G52,H45:H52)/SUM(G45:G52)</f>
        <v>26.516888126875269</v>
      </c>
      <c r="I54" s="20">
        <f>SUMPRODUCT(G45:G52,I45:I52)/SUM(G45:G52)</f>
        <v>3.4936611497859378E-2</v>
      </c>
      <c r="J54" s="20">
        <f>SUMPRODUCT(G45:G52,J45:J52)/SUM(G45:G52)</f>
        <v>0.9539519931418774</v>
      </c>
      <c r="K54" s="23"/>
      <c r="L54" s="7">
        <f>SUMPRODUCT(K45:K52,L45:L52)/SUM(K45:K52)</f>
        <v>26.225612144955925</v>
      </c>
      <c r="M54" s="20">
        <f>SUMPRODUCT(K45:K52,M45:M52)/SUM(K45:K52)</f>
        <v>3.4552848675831256E-2</v>
      </c>
      <c r="N54" s="20">
        <f>SUMPRODUCT(K45:K52,N45:N52)/SUM(K45:K52)</f>
        <v>0.95583692458374137</v>
      </c>
      <c r="O54" s="23"/>
      <c r="P54" s="7">
        <f>SUMPRODUCT(O45:O52,P45:P52)/SUM(O45:O52)</f>
        <v>25.378171428571427</v>
      </c>
      <c r="Q54" s="20">
        <f>SUMPRODUCT(O45:O52,Q45:Q52)/SUM(O45:O52)</f>
        <v>3.343632599284773E-2</v>
      </c>
      <c r="R54" s="20">
        <f>SUMPRODUCT(O45:O52,R45:R52)/SUM(O45:O52)</f>
        <v>0.95673028571428564</v>
      </c>
      <c r="S54" s="23"/>
      <c r="T54" s="7">
        <f>SUMPRODUCT(S45:S52,T45:T52)/SUM(S45:S52)</f>
        <v>26.423319615912209</v>
      </c>
      <c r="U54" s="20">
        <f>SUMPRODUCT(S45:S52,U45:U52)/SUM(S45:S52)</f>
        <v>3.4813332827288809E-2</v>
      </c>
      <c r="V54" s="20">
        <f>SUMPRODUCT(S45:S52,V45:V52)/SUM(S45:S52)</f>
        <v>0.95226954732510272</v>
      </c>
    </row>
    <row r="55" spans="1:46" ht="15.75" customHeight="1" x14ac:dyDescent="0.2">
      <c r="AA55" s="1"/>
      <c r="AE55" s="1"/>
      <c r="AI55" s="1"/>
      <c r="AM55" s="1"/>
      <c r="AQ55" s="1"/>
    </row>
    <row r="56" spans="1:46" ht="15.75" customHeight="1" x14ac:dyDescent="0.2">
      <c r="C56" s="1">
        <f>SUM(C45:C52)</f>
        <v>13125</v>
      </c>
      <c r="G56" s="1">
        <f>SUM(G45:G52)</f>
        <v>11665</v>
      </c>
      <c r="K56" s="1">
        <f>SUM(K45:K52)</f>
        <v>10210</v>
      </c>
      <c r="O56" s="1">
        <f>SUM(O45:O52)</f>
        <v>8750</v>
      </c>
      <c r="S56" s="1">
        <f>SUM(S45:S52)</f>
        <v>7290</v>
      </c>
    </row>
    <row r="57" spans="1:46" ht="15.75" customHeight="1" x14ac:dyDescent="0.2"/>
    <row r="58" spans="1:46" ht="15.75" customHeight="1" x14ac:dyDescent="0.2">
      <c r="A58" s="1" t="s">
        <v>25</v>
      </c>
      <c r="D58" s="134">
        <v>0.1</v>
      </c>
      <c r="E58" s="133"/>
      <c r="F58" s="133"/>
      <c r="G58" s="2"/>
      <c r="H58" s="134">
        <v>0.2</v>
      </c>
      <c r="I58" s="133"/>
      <c r="J58" s="133"/>
      <c r="K58" s="2"/>
      <c r="L58" s="134">
        <v>0.3</v>
      </c>
      <c r="M58" s="133"/>
      <c r="N58" s="133"/>
      <c r="O58" s="2"/>
      <c r="P58" s="134">
        <v>0.4</v>
      </c>
      <c r="Q58" s="133"/>
      <c r="R58" s="133"/>
      <c r="S58" s="2"/>
      <c r="T58" s="134">
        <v>0.5</v>
      </c>
      <c r="U58" s="133"/>
      <c r="V58" s="133"/>
      <c r="Y58" s="1" t="s">
        <v>25</v>
      </c>
      <c r="AB58" s="134">
        <v>0.1</v>
      </c>
      <c r="AC58" s="133"/>
      <c r="AD58" s="133"/>
      <c r="AE58" s="2"/>
      <c r="AF58" s="134">
        <v>0.2</v>
      </c>
      <c r="AG58" s="133"/>
      <c r="AH58" s="133"/>
      <c r="AI58" s="2"/>
      <c r="AJ58" s="134">
        <v>0.3</v>
      </c>
      <c r="AK58" s="133"/>
      <c r="AL58" s="133"/>
      <c r="AM58" s="2"/>
      <c r="AN58" s="134">
        <v>0.4</v>
      </c>
      <c r="AO58" s="133"/>
      <c r="AP58" s="133"/>
      <c r="AQ58" s="2"/>
      <c r="AR58" s="134">
        <v>0.5</v>
      </c>
      <c r="AS58" s="133"/>
      <c r="AT58" s="133"/>
    </row>
    <row r="59" spans="1:46" ht="15.75" customHeight="1" thickBot="1" x14ac:dyDescent="0.25">
      <c r="B59" s="13" t="s">
        <v>8</v>
      </c>
      <c r="C59" s="22" t="s">
        <v>22</v>
      </c>
      <c r="D59" s="14" t="s">
        <v>7</v>
      </c>
      <c r="E59" s="13" t="s">
        <v>9</v>
      </c>
      <c r="F59" s="13" t="s">
        <v>10</v>
      </c>
      <c r="G59" s="22" t="s">
        <v>22</v>
      </c>
      <c r="H59" s="14" t="s">
        <v>7</v>
      </c>
      <c r="I59" s="13" t="s">
        <v>9</v>
      </c>
      <c r="J59" s="13" t="s">
        <v>10</v>
      </c>
      <c r="K59" s="22" t="s">
        <v>22</v>
      </c>
      <c r="L59" s="13" t="s">
        <v>7</v>
      </c>
      <c r="M59" s="13" t="s">
        <v>9</v>
      </c>
      <c r="N59" s="13" t="s">
        <v>10</v>
      </c>
      <c r="O59" s="22" t="s">
        <v>22</v>
      </c>
      <c r="P59" s="13" t="s">
        <v>7</v>
      </c>
      <c r="Q59" s="13" t="s">
        <v>9</v>
      </c>
      <c r="R59" s="13" t="s">
        <v>10</v>
      </c>
      <c r="S59" s="22" t="s">
        <v>22</v>
      </c>
      <c r="T59" s="13" t="s">
        <v>7</v>
      </c>
      <c r="U59" s="13" t="s">
        <v>9</v>
      </c>
      <c r="V59" s="13" t="s">
        <v>10</v>
      </c>
      <c r="Z59" s="13" t="s">
        <v>8</v>
      </c>
      <c r="AA59" s="22"/>
      <c r="AB59" s="14" t="s">
        <v>7</v>
      </c>
      <c r="AC59" s="13" t="s">
        <v>9</v>
      </c>
      <c r="AD59" s="13" t="s">
        <v>10</v>
      </c>
      <c r="AE59" s="22" t="s">
        <v>22</v>
      </c>
      <c r="AF59" s="14" t="s">
        <v>7</v>
      </c>
      <c r="AG59" s="13" t="s">
        <v>9</v>
      </c>
      <c r="AH59" s="13" t="s">
        <v>10</v>
      </c>
      <c r="AI59" s="22" t="s">
        <v>22</v>
      </c>
      <c r="AJ59" s="13" t="s">
        <v>7</v>
      </c>
      <c r="AK59" s="13" t="s">
        <v>9</v>
      </c>
      <c r="AL59" s="13" t="s">
        <v>10</v>
      </c>
      <c r="AM59" s="22" t="s">
        <v>22</v>
      </c>
      <c r="AN59" s="13" t="s">
        <v>7</v>
      </c>
      <c r="AO59" s="13" t="s">
        <v>9</v>
      </c>
      <c r="AP59" s="13" t="s">
        <v>10</v>
      </c>
      <c r="AQ59" s="22" t="s">
        <v>22</v>
      </c>
      <c r="AR59" s="13" t="s">
        <v>7</v>
      </c>
      <c r="AS59" s="13" t="s">
        <v>9</v>
      </c>
      <c r="AT59" s="13" t="s">
        <v>10</v>
      </c>
    </row>
    <row r="60" spans="1:46" ht="15.75" customHeight="1" x14ac:dyDescent="0.2">
      <c r="B60" s="1">
        <v>0</v>
      </c>
      <c r="C60" s="23">
        <v>2055</v>
      </c>
      <c r="D60" s="17">
        <v>28.6</v>
      </c>
      <c r="E60" s="16">
        <f t="shared" ref="E60:E67" si="48">D60/$A$5</f>
        <v>3.7681159420289857E-2</v>
      </c>
      <c r="F60" s="28">
        <v>0.96799999999999997</v>
      </c>
      <c r="G60" s="17">
        <v>1810</v>
      </c>
      <c r="H60" s="17">
        <v>26.4</v>
      </c>
      <c r="I60" s="16">
        <f t="shared" ref="I60:I67" si="49">H60/$A$5</f>
        <v>3.4782608695652174E-2</v>
      </c>
      <c r="J60" s="28">
        <v>0.97199999999999998</v>
      </c>
      <c r="K60" s="23">
        <v>1605</v>
      </c>
      <c r="L60" s="28">
        <v>26</v>
      </c>
      <c r="M60" s="16">
        <f t="shared" ref="M60:M67" si="50">L60/$A$5</f>
        <v>3.4255599472990776E-2</v>
      </c>
      <c r="N60" s="28">
        <v>0.97099999999999997</v>
      </c>
      <c r="O60" s="23">
        <v>1395</v>
      </c>
      <c r="P60" s="28">
        <v>28.2</v>
      </c>
      <c r="Q60" s="16">
        <f t="shared" ref="Q60:Q67" si="51">P60/$A$5</f>
        <v>3.7154150197628459E-2</v>
      </c>
      <c r="R60" s="28">
        <v>0.97</v>
      </c>
      <c r="S60" s="23">
        <v>1180</v>
      </c>
      <c r="T60" s="28">
        <v>27.8</v>
      </c>
      <c r="U60" s="16">
        <f t="shared" ref="U60:U67" si="52">T60/$A$5</f>
        <v>3.6627140974967061E-2</v>
      </c>
      <c r="V60" s="28">
        <v>0.97</v>
      </c>
      <c r="Z60" s="1">
        <v>0</v>
      </c>
      <c r="AA60" s="23">
        <v>2055</v>
      </c>
      <c r="AB60" s="17">
        <v>33</v>
      </c>
      <c r="AC60" s="16">
        <f>AB60/$A$5</f>
        <v>4.3478260869565216E-2</v>
      </c>
      <c r="AD60" s="28">
        <v>0.96299999999999997</v>
      </c>
      <c r="AE60" s="17">
        <v>1810</v>
      </c>
      <c r="AF60" s="17">
        <v>31.1</v>
      </c>
      <c r="AG60" s="16">
        <f>AF60/$A$5</f>
        <v>4.0974967061923585E-2</v>
      </c>
      <c r="AH60" s="28">
        <v>0.96599999999999997</v>
      </c>
      <c r="AI60" s="23">
        <v>1605</v>
      </c>
      <c r="AJ60" s="17">
        <v>29.7</v>
      </c>
      <c r="AK60" s="16">
        <f>AJ60/$A$5</f>
        <v>3.9130434782608692E-2</v>
      </c>
      <c r="AL60" s="28">
        <v>0.96699999999999997</v>
      </c>
      <c r="AM60" s="23">
        <v>1395</v>
      </c>
      <c r="AN60" s="17">
        <v>30.6</v>
      </c>
      <c r="AO60" s="16">
        <f>AN60/$A$5</f>
        <v>4.0316205533596841E-2</v>
      </c>
      <c r="AP60" s="28">
        <v>0.96699999999999997</v>
      </c>
      <c r="AQ60" s="23">
        <v>1180</v>
      </c>
      <c r="AR60" s="17">
        <v>30.7</v>
      </c>
      <c r="AS60" s="16">
        <f>AR60/$A$5</f>
        <v>4.0447957839262187E-2</v>
      </c>
      <c r="AT60" s="28">
        <v>0.96599999999999997</v>
      </c>
    </row>
    <row r="61" spans="1:46" ht="15.75" customHeight="1" x14ac:dyDescent="0.2">
      <c r="B61" s="1">
        <v>1</v>
      </c>
      <c r="C61" s="23">
        <v>1480</v>
      </c>
      <c r="D61" s="17">
        <v>27.3</v>
      </c>
      <c r="E61" s="16">
        <f t="shared" si="48"/>
        <v>3.5968379446640317E-2</v>
      </c>
      <c r="F61" s="28">
        <v>0.92400000000000004</v>
      </c>
      <c r="G61" s="17">
        <v>1300</v>
      </c>
      <c r="H61" s="17">
        <v>25.4</v>
      </c>
      <c r="I61" s="16">
        <f t="shared" si="49"/>
        <v>3.3465085638998679E-2</v>
      </c>
      <c r="J61" s="28">
        <v>0.92800000000000005</v>
      </c>
      <c r="K61" s="23">
        <v>1105</v>
      </c>
      <c r="L61" s="28">
        <v>23.3</v>
      </c>
      <c r="M61" s="16">
        <f t="shared" si="50"/>
        <v>3.0698287220026352E-2</v>
      </c>
      <c r="N61" s="28">
        <v>0.92800000000000005</v>
      </c>
      <c r="O61" s="23">
        <v>970</v>
      </c>
      <c r="P61" s="28">
        <v>22.5</v>
      </c>
      <c r="Q61" s="16">
        <f t="shared" si="51"/>
        <v>2.9644268774703556E-2</v>
      </c>
      <c r="R61" s="28">
        <v>0.93100000000000005</v>
      </c>
      <c r="S61" s="23">
        <v>830</v>
      </c>
      <c r="T61" s="28">
        <v>24.4</v>
      </c>
      <c r="U61" s="16">
        <f t="shared" si="52"/>
        <v>3.214756258234519E-2</v>
      </c>
      <c r="V61" s="28">
        <v>0.92300000000000004</v>
      </c>
      <c r="Z61" s="1">
        <v>1</v>
      </c>
      <c r="AA61" s="23">
        <v>1480</v>
      </c>
      <c r="AB61" s="17">
        <v>38.1</v>
      </c>
      <c r="AC61" s="16">
        <f t="shared" ref="AC61:AC67" si="53">AB61/$A$5</f>
        <v>5.0197628458498025E-2</v>
      </c>
      <c r="AD61" s="28">
        <v>0.871</v>
      </c>
      <c r="AE61" s="17">
        <v>1300</v>
      </c>
      <c r="AF61" s="17">
        <v>30.6</v>
      </c>
      <c r="AG61" s="16">
        <f t="shared" ref="AG61:AG67" si="54">AF61/$A$5</f>
        <v>4.0316205533596841E-2</v>
      </c>
      <c r="AH61" s="28">
        <v>0.90700000000000003</v>
      </c>
      <c r="AI61" s="23">
        <v>1105</v>
      </c>
      <c r="AJ61" s="17">
        <v>25.9</v>
      </c>
      <c r="AK61" s="16">
        <f t="shared" ref="AK61:AK67" si="55">AJ61/$A$5</f>
        <v>3.4123847167325423E-2</v>
      </c>
      <c r="AL61" s="28">
        <v>0.92</v>
      </c>
      <c r="AM61" s="23">
        <v>970</v>
      </c>
      <c r="AN61" s="17">
        <v>25.2</v>
      </c>
      <c r="AO61" s="16">
        <f t="shared" ref="AO61:AO67" si="56">AN61/$A$5</f>
        <v>3.320158102766798E-2</v>
      </c>
      <c r="AP61" s="28">
        <v>0.92400000000000004</v>
      </c>
      <c r="AQ61" s="23">
        <v>830</v>
      </c>
      <c r="AR61" s="17">
        <v>27.2</v>
      </c>
      <c r="AS61" s="16">
        <f t="shared" ref="AS61:AS67" si="57">AR61/$A$5</f>
        <v>3.5836627140974964E-2</v>
      </c>
      <c r="AT61" s="28">
        <v>0.91900000000000004</v>
      </c>
    </row>
    <row r="62" spans="1:46" ht="15.75" customHeight="1" x14ac:dyDescent="0.2">
      <c r="B62" s="1">
        <v>2</v>
      </c>
      <c r="C62" s="23">
        <v>1390</v>
      </c>
      <c r="D62" s="17">
        <v>30.3</v>
      </c>
      <c r="E62" s="16">
        <f t="shared" si="48"/>
        <v>3.9920948616600789E-2</v>
      </c>
      <c r="F62" s="28">
        <v>0.81</v>
      </c>
      <c r="G62" s="17">
        <v>1205</v>
      </c>
      <c r="H62" s="17">
        <v>27</v>
      </c>
      <c r="I62" s="16">
        <f t="shared" si="49"/>
        <v>3.5573122529644272E-2</v>
      </c>
      <c r="J62" s="28">
        <v>0.82399999999999995</v>
      </c>
      <c r="K62" s="23">
        <v>1100</v>
      </c>
      <c r="L62" s="28">
        <v>25.5</v>
      </c>
      <c r="M62" s="16">
        <f t="shared" si="50"/>
        <v>3.3596837944664032E-2</v>
      </c>
      <c r="N62" s="28">
        <v>0.84199999999999997</v>
      </c>
      <c r="O62" s="23">
        <v>940</v>
      </c>
      <c r="P62" s="28">
        <v>23.2</v>
      </c>
      <c r="Q62" s="16">
        <f t="shared" si="51"/>
        <v>3.0566534914360999E-2</v>
      </c>
      <c r="R62" s="28">
        <v>0.872</v>
      </c>
      <c r="S62" s="23">
        <v>750</v>
      </c>
      <c r="T62" s="28">
        <v>22.7</v>
      </c>
      <c r="U62" s="16">
        <f t="shared" si="52"/>
        <v>2.9907773386034255E-2</v>
      </c>
      <c r="V62" s="28">
        <v>0.871</v>
      </c>
      <c r="Z62" s="1">
        <v>2</v>
      </c>
      <c r="AA62" s="23">
        <v>1390</v>
      </c>
      <c r="AB62" s="17">
        <v>32.6</v>
      </c>
      <c r="AC62" s="16">
        <f t="shared" si="53"/>
        <v>4.2951251646903825E-2</v>
      </c>
      <c r="AD62" s="28">
        <v>0.78800000000000003</v>
      </c>
      <c r="AE62" s="17">
        <v>1205</v>
      </c>
      <c r="AF62" s="17">
        <v>30</v>
      </c>
      <c r="AG62" s="16">
        <f t="shared" si="54"/>
        <v>3.9525691699604744E-2</v>
      </c>
      <c r="AH62" s="28">
        <v>0.81100000000000005</v>
      </c>
      <c r="AI62" s="23">
        <v>1100</v>
      </c>
      <c r="AJ62" s="17">
        <v>29</v>
      </c>
      <c r="AK62" s="16">
        <f t="shared" si="55"/>
        <v>3.8208168642951248E-2</v>
      </c>
      <c r="AL62" s="28">
        <v>0.81100000000000005</v>
      </c>
      <c r="AM62" s="23">
        <v>940</v>
      </c>
      <c r="AN62" s="17">
        <v>24.7</v>
      </c>
      <c r="AO62" s="16">
        <f t="shared" si="56"/>
        <v>3.2542819499341236E-2</v>
      </c>
      <c r="AP62" s="28">
        <v>0.86199999999999999</v>
      </c>
      <c r="AQ62" s="23">
        <v>750</v>
      </c>
      <c r="AR62" s="17">
        <v>24.4</v>
      </c>
      <c r="AS62" s="16">
        <f t="shared" si="57"/>
        <v>3.214756258234519E-2</v>
      </c>
      <c r="AT62" s="28">
        <v>0.86</v>
      </c>
    </row>
    <row r="63" spans="1:46" ht="15.75" customHeight="1" x14ac:dyDescent="0.2">
      <c r="B63" s="1">
        <v>3</v>
      </c>
      <c r="C63" s="23">
        <v>1885</v>
      </c>
      <c r="D63" s="17">
        <v>40.799999999999997</v>
      </c>
      <c r="E63" s="16">
        <f t="shared" si="48"/>
        <v>5.3754940711462446E-2</v>
      </c>
      <c r="F63" s="28">
        <v>0.94799999999999995</v>
      </c>
      <c r="G63" s="17">
        <v>1700</v>
      </c>
      <c r="H63" s="17">
        <v>33</v>
      </c>
      <c r="I63" s="16">
        <f t="shared" si="49"/>
        <v>4.3478260869565216E-2</v>
      </c>
      <c r="J63" s="28">
        <v>0.96399999999999997</v>
      </c>
      <c r="K63" s="23">
        <v>1460</v>
      </c>
      <c r="L63" s="28">
        <v>25.7</v>
      </c>
      <c r="M63" s="16">
        <f t="shared" si="50"/>
        <v>3.3860342555994731E-2</v>
      </c>
      <c r="N63" s="28">
        <v>0.97099999999999997</v>
      </c>
      <c r="O63" s="23">
        <v>1265</v>
      </c>
      <c r="P63" s="28">
        <v>28.7</v>
      </c>
      <c r="Q63" s="16">
        <f t="shared" si="51"/>
        <v>3.7812911725955203E-2</v>
      </c>
      <c r="R63" s="28">
        <v>0.96799999999999997</v>
      </c>
      <c r="S63" s="23">
        <v>1045</v>
      </c>
      <c r="T63" s="28">
        <v>29.5</v>
      </c>
      <c r="U63" s="16">
        <f t="shared" si="52"/>
        <v>3.8866930171278E-2</v>
      </c>
      <c r="V63" s="28">
        <v>0.95899999999999996</v>
      </c>
      <c r="Z63" s="1">
        <v>3</v>
      </c>
      <c r="AA63" s="23">
        <v>1885</v>
      </c>
      <c r="AB63" s="17">
        <v>47.8</v>
      </c>
      <c r="AC63" s="16">
        <f t="shared" si="53"/>
        <v>6.2977602108036893E-2</v>
      </c>
      <c r="AD63" s="28">
        <v>0.93500000000000005</v>
      </c>
      <c r="AE63" s="17">
        <v>1700</v>
      </c>
      <c r="AF63" s="17">
        <v>40.299999999999997</v>
      </c>
      <c r="AG63" s="16">
        <f t="shared" si="54"/>
        <v>5.3096179183135701E-2</v>
      </c>
      <c r="AH63" s="28">
        <v>0.95099999999999996</v>
      </c>
      <c r="AI63" s="23">
        <v>1460</v>
      </c>
      <c r="AJ63" s="17">
        <v>28.6</v>
      </c>
      <c r="AK63" s="16">
        <f t="shared" si="55"/>
        <v>3.7681159420289857E-2</v>
      </c>
      <c r="AL63" s="28">
        <v>0.96899999999999997</v>
      </c>
      <c r="AM63" s="23">
        <v>1265</v>
      </c>
      <c r="AN63" s="17">
        <v>30.5</v>
      </c>
      <c r="AO63" s="16">
        <f t="shared" si="56"/>
        <v>4.0184453227931488E-2</v>
      </c>
      <c r="AP63" s="28">
        <v>0.96599999999999997</v>
      </c>
      <c r="AQ63" s="23">
        <v>1045</v>
      </c>
      <c r="AR63" s="17">
        <v>32.1</v>
      </c>
      <c r="AS63" s="16">
        <f t="shared" si="57"/>
        <v>4.2292490118577074E-2</v>
      </c>
      <c r="AT63" s="28">
        <v>0.95799999999999996</v>
      </c>
    </row>
    <row r="64" spans="1:46" ht="15.75" customHeight="1" x14ac:dyDescent="0.2">
      <c r="B64" s="1">
        <v>4</v>
      </c>
      <c r="C64" s="23">
        <v>1545</v>
      </c>
      <c r="D64" s="17">
        <v>34</v>
      </c>
      <c r="E64" s="16">
        <f t="shared" si="48"/>
        <v>4.4795783926218712E-2</v>
      </c>
      <c r="F64" s="28">
        <v>0.96499999999999997</v>
      </c>
      <c r="G64" s="17">
        <v>1410</v>
      </c>
      <c r="H64" s="17">
        <v>33.5</v>
      </c>
      <c r="I64" s="16">
        <f t="shared" si="49"/>
        <v>4.413702239789196E-2</v>
      </c>
      <c r="J64" s="28">
        <v>0.96299999999999997</v>
      </c>
      <c r="K64" s="23">
        <v>1240</v>
      </c>
      <c r="L64" s="28">
        <v>28.8</v>
      </c>
      <c r="M64" s="16">
        <f t="shared" si="50"/>
        <v>3.7944664031620556E-2</v>
      </c>
      <c r="N64" s="28">
        <v>0.97199999999999998</v>
      </c>
      <c r="O64" s="23">
        <v>1070</v>
      </c>
      <c r="P64" s="28">
        <v>27.4</v>
      </c>
      <c r="Q64" s="16">
        <f t="shared" si="51"/>
        <v>3.6100131752305663E-2</v>
      </c>
      <c r="R64" s="28">
        <v>0.97399999999999998</v>
      </c>
      <c r="S64" s="23">
        <v>905</v>
      </c>
      <c r="T64" s="28">
        <v>29.6</v>
      </c>
      <c r="U64" s="16">
        <f t="shared" si="52"/>
        <v>3.8998682476943346E-2</v>
      </c>
      <c r="V64" s="28">
        <v>0.96899999999999997</v>
      </c>
      <c r="Z64" s="1">
        <v>4</v>
      </c>
      <c r="AA64" s="23">
        <v>1545</v>
      </c>
      <c r="AB64" s="17">
        <v>44.5</v>
      </c>
      <c r="AC64" s="16">
        <f t="shared" si="53"/>
        <v>5.8629776021080368E-2</v>
      </c>
      <c r="AD64" s="28">
        <v>0.94599999999999995</v>
      </c>
      <c r="AE64" s="17">
        <v>1410</v>
      </c>
      <c r="AF64" s="17">
        <v>40.6</v>
      </c>
      <c r="AG64" s="16">
        <f t="shared" si="54"/>
        <v>5.3491436100131753E-2</v>
      </c>
      <c r="AH64" s="28">
        <v>0.95199999999999996</v>
      </c>
      <c r="AI64" s="23">
        <v>1240</v>
      </c>
      <c r="AJ64" s="17">
        <v>34</v>
      </c>
      <c r="AK64" s="16">
        <f t="shared" si="55"/>
        <v>4.4795783926218712E-2</v>
      </c>
      <c r="AL64" s="28">
        <v>0.96299999999999997</v>
      </c>
      <c r="AM64" s="23">
        <v>1070</v>
      </c>
      <c r="AN64" s="17">
        <v>29.4</v>
      </c>
      <c r="AO64" s="16">
        <f t="shared" si="56"/>
        <v>3.8735177865612647E-2</v>
      </c>
      <c r="AP64" s="28">
        <v>0.97</v>
      </c>
      <c r="AQ64" s="23">
        <v>905</v>
      </c>
      <c r="AR64" s="17">
        <v>31.7</v>
      </c>
      <c r="AS64" s="16">
        <f t="shared" si="57"/>
        <v>4.1765480895915676E-2</v>
      </c>
      <c r="AT64" s="28">
        <v>0.96699999999999997</v>
      </c>
    </row>
    <row r="65" spans="2:46" ht="15.75" customHeight="1" x14ac:dyDescent="0.2">
      <c r="B65" s="1">
        <v>5</v>
      </c>
      <c r="C65" s="23">
        <v>1475</v>
      </c>
      <c r="D65" s="17">
        <v>28.7</v>
      </c>
      <c r="E65" s="16">
        <f t="shared" si="48"/>
        <v>3.7812911725955203E-2</v>
      </c>
      <c r="F65" s="28">
        <v>0.96199999999999997</v>
      </c>
      <c r="G65" s="17">
        <v>1345</v>
      </c>
      <c r="H65" s="17">
        <v>24</v>
      </c>
      <c r="I65" s="16">
        <f t="shared" si="49"/>
        <v>3.1620553359683792E-2</v>
      </c>
      <c r="J65" s="28">
        <v>0.96899999999999997</v>
      </c>
      <c r="K65" s="23">
        <v>1145</v>
      </c>
      <c r="L65" s="28">
        <v>22.5</v>
      </c>
      <c r="M65" s="16">
        <f t="shared" si="50"/>
        <v>2.9644268774703556E-2</v>
      </c>
      <c r="N65" s="28">
        <v>0.97099999999999997</v>
      </c>
      <c r="O65" s="23">
        <v>970</v>
      </c>
      <c r="P65" s="28">
        <v>23.1</v>
      </c>
      <c r="Q65" s="16">
        <f t="shared" si="51"/>
        <v>3.0434782608695653E-2</v>
      </c>
      <c r="R65" s="28">
        <v>0.96799999999999997</v>
      </c>
      <c r="S65" s="23">
        <v>785</v>
      </c>
      <c r="T65" s="28">
        <v>25.2</v>
      </c>
      <c r="U65" s="16">
        <f t="shared" si="52"/>
        <v>3.320158102766798E-2</v>
      </c>
      <c r="V65" s="28">
        <v>0.96399999999999997</v>
      </c>
      <c r="Z65" s="1">
        <v>5</v>
      </c>
      <c r="AA65" s="23">
        <v>1475</v>
      </c>
      <c r="AB65" s="17">
        <v>40.1</v>
      </c>
      <c r="AC65" s="16">
        <f t="shared" si="53"/>
        <v>5.2832674571805009E-2</v>
      </c>
      <c r="AD65" s="28">
        <v>0.93100000000000005</v>
      </c>
      <c r="AE65" s="17">
        <v>1345</v>
      </c>
      <c r="AF65" s="17">
        <v>28.5</v>
      </c>
      <c r="AG65" s="16">
        <f t="shared" si="54"/>
        <v>3.7549407114624504E-2</v>
      </c>
      <c r="AH65" s="28">
        <v>0.95799999999999996</v>
      </c>
      <c r="AI65" s="23">
        <v>1145</v>
      </c>
      <c r="AJ65" s="17">
        <v>25.4</v>
      </c>
      <c r="AK65" s="16">
        <f t="shared" si="55"/>
        <v>3.3465085638998679E-2</v>
      </c>
      <c r="AL65" s="28">
        <v>0.96499999999999997</v>
      </c>
      <c r="AM65" s="23">
        <v>970</v>
      </c>
      <c r="AN65" s="17">
        <v>26</v>
      </c>
      <c r="AO65" s="16">
        <f t="shared" si="56"/>
        <v>3.4255599472990776E-2</v>
      </c>
      <c r="AP65" s="28">
        <v>0.96199999999999997</v>
      </c>
      <c r="AQ65" s="23">
        <v>785</v>
      </c>
      <c r="AR65" s="17">
        <v>28.9</v>
      </c>
      <c r="AS65" s="16">
        <f t="shared" si="57"/>
        <v>3.8076416337285902E-2</v>
      </c>
      <c r="AT65" s="28">
        <v>0.95799999999999996</v>
      </c>
    </row>
    <row r="66" spans="2:46" ht="15.75" customHeight="1" x14ac:dyDescent="0.2">
      <c r="B66" s="1">
        <v>6</v>
      </c>
      <c r="C66" s="23">
        <v>2065</v>
      </c>
      <c r="D66" s="17">
        <v>27.2</v>
      </c>
      <c r="E66" s="16">
        <f t="shared" si="48"/>
        <v>3.5836627140974964E-2</v>
      </c>
      <c r="F66" s="28">
        <v>0.97199999999999998</v>
      </c>
      <c r="G66" s="17">
        <v>1835</v>
      </c>
      <c r="H66" s="17">
        <v>27.1</v>
      </c>
      <c r="I66" s="16">
        <f t="shared" si="49"/>
        <v>3.5704874835309618E-2</v>
      </c>
      <c r="J66" s="28">
        <v>0.97</v>
      </c>
      <c r="K66" s="23">
        <v>1610</v>
      </c>
      <c r="L66" s="28">
        <v>24.5</v>
      </c>
      <c r="M66" s="16">
        <f t="shared" si="50"/>
        <v>3.2279314888010543E-2</v>
      </c>
      <c r="N66" s="28">
        <v>0.97299999999999998</v>
      </c>
      <c r="O66" s="23">
        <v>1335</v>
      </c>
      <c r="P66" s="28">
        <v>26.3</v>
      </c>
      <c r="Q66" s="16">
        <f t="shared" si="51"/>
        <v>3.4650856389986828E-2</v>
      </c>
      <c r="R66" s="28">
        <v>0.96799999999999997</v>
      </c>
      <c r="S66" s="23">
        <v>1120</v>
      </c>
      <c r="T66" s="28">
        <v>26.8</v>
      </c>
      <c r="U66" s="16">
        <f t="shared" si="52"/>
        <v>3.5309617918313572E-2</v>
      </c>
      <c r="V66" s="28">
        <v>0.96699999999999997</v>
      </c>
      <c r="Z66" s="1">
        <v>6</v>
      </c>
      <c r="AA66" s="23">
        <v>2065</v>
      </c>
      <c r="AB66" s="17">
        <v>34.5</v>
      </c>
      <c r="AC66" s="16">
        <f t="shared" si="53"/>
        <v>4.5454545454545456E-2</v>
      </c>
      <c r="AD66" s="28">
        <v>0.95899999999999996</v>
      </c>
      <c r="AE66" s="17">
        <v>1835</v>
      </c>
      <c r="AF66" s="17">
        <v>30.9</v>
      </c>
      <c r="AG66" s="16">
        <f t="shared" si="54"/>
        <v>4.0711462450592886E-2</v>
      </c>
      <c r="AH66" s="28">
        <v>0.96499999999999997</v>
      </c>
      <c r="AI66" s="23">
        <v>1610</v>
      </c>
      <c r="AJ66" s="17">
        <v>26.5</v>
      </c>
      <c r="AK66" s="16">
        <f t="shared" si="55"/>
        <v>3.491436100131752E-2</v>
      </c>
      <c r="AL66" s="28">
        <v>0.97099999999999997</v>
      </c>
      <c r="AM66" s="23">
        <v>1335</v>
      </c>
      <c r="AN66" s="17">
        <v>28</v>
      </c>
      <c r="AO66" s="16">
        <f t="shared" si="56"/>
        <v>3.689064558629776E-2</v>
      </c>
      <c r="AP66" s="28">
        <v>0.96599999999999997</v>
      </c>
      <c r="AQ66" s="23">
        <v>1120</v>
      </c>
      <c r="AR66" s="17">
        <v>28.3</v>
      </c>
      <c r="AS66" s="16">
        <f t="shared" si="57"/>
        <v>3.7285902503293805E-2</v>
      </c>
      <c r="AT66" s="28">
        <v>0.96599999999999997</v>
      </c>
    </row>
    <row r="67" spans="2:46" ht="15.75" customHeight="1" x14ac:dyDescent="0.2">
      <c r="B67" s="1">
        <v>7</v>
      </c>
      <c r="C67" s="23">
        <v>1230</v>
      </c>
      <c r="D67" s="17">
        <v>46.8</v>
      </c>
      <c r="E67" s="16">
        <f t="shared" si="48"/>
        <v>6.1660079051383397E-2</v>
      </c>
      <c r="F67" s="28">
        <v>0.94299999999999995</v>
      </c>
      <c r="G67" s="17">
        <v>1060</v>
      </c>
      <c r="H67" s="17">
        <v>27.7</v>
      </c>
      <c r="I67" s="16">
        <f t="shared" si="49"/>
        <v>3.6495388669301715E-2</v>
      </c>
      <c r="J67" s="28">
        <v>0.97499999999999998</v>
      </c>
      <c r="K67" s="23">
        <v>945</v>
      </c>
      <c r="L67" s="28">
        <v>25.6</v>
      </c>
      <c r="M67" s="16">
        <f t="shared" si="50"/>
        <v>3.3728590250329385E-2</v>
      </c>
      <c r="N67" s="28">
        <v>0.97699999999999998</v>
      </c>
      <c r="O67" s="23">
        <v>805</v>
      </c>
      <c r="P67" s="28">
        <v>25.8</v>
      </c>
      <c r="Q67" s="16">
        <f t="shared" si="51"/>
        <v>3.3992094861660077E-2</v>
      </c>
      <c r="R67" s="28">
        <v>0.97699999999999998</v>
      </c>
      <c r="S67" s="23">
        <v>675</v>
      </c>
      <c r="T67" s="28">
        <v>24</v>
      </c>
      <c r="U67" s="16">
        <f t="shared" si="52"/>
        <v>3.1620553359683792E-2</v>
      </c>
      <c r="V67" s="28">
        <v>0.98</v>
      </c>
      <c r="Z67" s="1">
        <v>7</v>
      </c>
      <c r="AA67" s="23">
        <v>1230</v>
      </c>
      <c r="AB67" s="17">
        <v>64.7</v>
      </c>
      <c r="AC67" s="16">
        <f t="shared" si="53"/>
        <v>8.5243741765480899E-2</v>
      </c>
      <c r="AD67" s="28">
        <v>0.89900000000000002</v>
      </c>
      <c r="AE67" s="17">
        <v>1060</v>
      </c>
      <c r="AF67" s="17">
        <v>35.299999999999997</v>
      </c>
      <c r="AG67" s="16">
        <f t="shared" si="54"/>
        <v>4.6508563899868245E-2</v>
      </c>
      <c r="AH67" s="28">
        <v>0.96199999999999997</v>
      </c>
      <c r="AI67" s="23">
        <v>945</v>
      </c>
      <c r="AJ67" s="17">
        <v>30.4</v>
      </c>
      <c r="AK67" s="16">
        <f t="shared" si="55"/>
        <v>4.0052700922266135E-2</v>
      </c>
      <c r="AL67" s="28">
        <v>0.97099999999999997</v>
      </c>
      <c r="AM67" s="23">
        <v>805</v>
      </c>
      <c r="AN67" s="17">
        <v>28.1</v>
      </c>
      <c r="AO67" s="16">
        <f t="shared" si="56"/>
        <v>3.7022397891963113E-2</v>
      </c>
      <c r="AP67" s="28">
        <v>0.97399999999999998</v>
      </c>
      <c r="AQ67" s="23">
        <v>675</v>
      </c>
      <c r="AR67" s="17">
        <v>26.4</v>
      </c>
      <c r="AS67" s="16">
        <f t="shared" si="57"/>
        <v>3.4782608695652174E-2</v>
      </c>
      <c r="AT67" s="28">
        <v>0.97799999999999998</v>
      </c>
    </row>
    <row r="68" spans="2:46" ht="15.75" customHeight="1" x14ac:dyDescent="0.2">
      <c r="C68" s="23"/>
      <c r="D68" s="17"/>
      <c r="G68" s="17"/>
      <c r="H68" s="17"/>
      <c r="K68" s="23"/>
      <c r="O68" s="23"/>
      <c r="S68" s="23"/>
      <c r="AA68" s="23"/>
      <c r="AB68" s="17"/>
      <c r="AE68" s="17"/>
      <c r="AF68" s="17"/>
      <c r="AI68" s="23"/>
      <c r="AJ68" s="17"/>
      <c r="AM68" s="23"/>
      <c r="AN68" s="17"/>
      <c r="AQ68" s="23"/>
      <c r="AR68" s="17"/>
    </row>
    <row r="69" spans="2:46" ht="15.75" customHeight="1" x14ac:dyDescent="0.2">
      <c r="B69" s="1" t="s">
        <v>11</v>
      </c>
      <c r="C69" s="23"/>
      <c r="D69" s="7">
        <f>SUMPRODUCT(C60:C67,D60:D67)/SUM(C60:C67)</f>
        <v>32.517828571428574</v>
      </c>
      <c r="E69" s="20">
        <f>SUMPRODUCT(C60:C67,E60:E67)/SUM(C60:C67)</f>
        <v>4.284298889516281E-2</v>
      </c>
      <c r="F69" s="20">
        <f>SUMPRODUCT(C60:C67,F60:F67)/SUM(C60:C67)</f>
        <v>0.94069219047619046</v>
      </c>
      <c r="G69" s="17"/>
      <c r="H69" s="7">
        <f>SUMPRODUCT(G60:G67,H60:H67)/SUM(G60:G67)</f>
        <v>28.122117445349335</v>
      </c>
      <c r="I69" s="20">
        <f>SUMPRODUCT(G60:G67,I60:I67)/SUM(G60:G67)</f>
        <v>3.705153813616513E-2</v>
      </c>
      <c r="J69" s="20">
        <f>SUMPRODUCT(G60:G67,J60:J67)/SUM(G60:G67)</f>
        <v>0.94916630947278191</v>
      </c>
      <c r="K69" s="23"/>
      <c r="L69" s="7">
        <f>SUMPRODUCT(K60:K67,L60:L67)/SUM(K60:K67)</f>
        <v>25.285014691478942</v>
      </c>
      <c r="M69" s="20">
        <f>SUMPRODUCT(K60:K67,M60:M67)/SUM(K60:K67)</f>
        <v>3.3313589843845776E-2</v>
      </c>
      <c r="N69" s="20">
        <f>SUMPRODUCT(K60:K67,N60:N67)/SUM(K60:K67)</f>
        <v>0.95344025465230153</v>
      </c>
      <c r="O69" s="23"/>
      <c r="P69" s="7">
        <f>SUMPRODUCT(O60:O67,P60:P67)/SUM(O60:O67)</f>
        <v>25.929371428571429</v>
      </c>
      <c r="Q69" s="20">
        <f>SUMPRODUCT(O60:O67,Q60:Q67)/SUM(O60:O67)</f>
        <v>3.4162544701675145E-2</v>
      </c>
      <c r="R69" s="20">
        <f>SUMPRODUCT(O60:O67,R60:R67)/SUM(O60:O67)</f>
        <v>0.95546571428571436</v>
      </c>
      <c r="S69" s="23"/>
      <c r="T69" s="7">
        <f>SUMPRODUCT(S60:S67,T60:T67)/SUM(S60:S67)</f>
        <v>26.569890260631002</v>
      </c>
      <c r="U69" s="20">
        <f>SUMPRODUCT(S60:S67,U60:U67)/SUM(S60:S67)</f>
        <v>3.5006443031134385E-2</v>
      </c>
      <c r="V69" s="20">
        <f>SUMPRODUCT(S60:S67,V60:V67)/SUM(S60:S67)</f>
        <v>0.95258161865569269</v>
      </c>
      <c r="Z69" s="1" t="s">
        <v>11</v>
      </c>
      <c r="AA69" s="23"/>
      <c r="AB69" s="7">
        <f>SUMPRODUCT(AA60:AA67,AB60:AB67)/SUM(AA60:AA67)</f>
        <v>41.016647619047617</v>
      </c>
      <c r="AC69" s="20">
        <f>SUMPRODUCT(AA60:AA67,AC60:AC67)/SUM(AA60:AA67)</f>
        <v>5.4040378944726769E-2</v>
      </c>
      <c r="AD69" s="20">
        <f>SUMPRODUCT(AA60:AA67,AD60:AD67)/SUM(AA60:AA67)</f>
        <v>0.9178468571428573</v>
      </c>
      <c r="AE69" s="17"/>
      <c r="AF69" s="7">
        <f>SUMPRODUCT(AE60:AE67,AF60:AF67)/SUM(AE60:AE67)</f>
        <v>33.470124303471927</v>
      </c>
      <c r="AG69" s="20">
        <f>SUMPRODUCT(AE60:AE67,AG60:AG67)/SUM(AE60:AE67)</f>
        <v>4.4097660478882639E-2</v>
      </c>
      <c r="AH69" s="20">
        <f>SUMPRODUCT(AE60:AE67,AH60:AH67)/SUM(AE60:AE67)</f>
        <v>0.93809172738962709</v>
      </c>
      <c r="AI69" s="23"/>
      <c r="AJ69" s="7">
        <f>SUMPRODUCT(AI60:AI67,AJ60:AJ67)/SUM(AI60:AI67)</f>
        <v>28.656219392752202</v>
      </c>
      <c r="AK69" s="20">
        <f>SUMPRODUCT(AI60:AI67,AK60:AK67)/SUM(AI60:AI67)</f>
        <v>3.7755229766471943E-2</v>
      </c>
      <c r="AL69" s="20">
        <f>SUMPRODUCT(AI60:AI67,AL60:AL67)/SUM(AI60:AI67)</f>
        <v>0.94568315377081291</v>
      </c>
      <c r="AM69" s="23"/>
      <c r="AN69" s="7">
        <f>SUMPRODUCT(AM60:AM67,AN60:AN67)/SUM(AM60:AM67)</f>
        <v>28.069714285714287</v>
      </c>
      <c r="AO69" s="20">
        <f>SUMPRODUCT(AM60:AM67,AO60:AO67)/SUM(AM60:AM67)</f>
        <v>3.6982495765104463E-2</v>
      </c>
      <c r="AP69" s="20">
        <f>SUMPRODUCT(AM60:AM67,AP60:AP67)/SUM(AM60:AM67)</f>
        <v>0.95111257142857131</v>
      </c>
      <c r="AQ69" s="23"/>
      <c r="AR69" s="7">
        <f>SUMPRODUCT(AQ60:AQ67,AR60:AR67)/SUM(AQ60:AQ67)</f>
        <v>29.017489711934157</v>
      </c>
      <c r="AS69" s="20">
        <f>SUMPRODUCT(AQ60:AQ67,AS60:AS67)/SUM(AQ60:AQ67)</f>
        <v>3.8231211741678726E-2</v>
      </c>
      <c r="AT69" s="20">
        <f>SUMPRODUCT(AQ60:AQ67,AT60:AT67)/SUM(AQ60:AQ67)</f>
        <v>0.94897050754458145</v>
      </c>
    </row>
    <row r="70" spans="2:46" ht="15.75" customHeight="1" x14ac:dyDescent="0.2"/>
    <row r="71" spans="2:46" ht="15.75" customHeight="1" x14ac:dyDescent="0.2">
      <c r="C71" s="1">
        <f>SUM(C60:C67)</f>
        <v>13125</v>
      </c>
      <c r="G71" s="1">
        <f>SUM(G60:G67)</f>
        <v>11665</v>
      </c>
      <c r="K71" s="1">
        <f>SUM(K60:K67)</f>
        <v>10210</v>
      </c>
      <c r="O71" s="1">
        <f>SUM(O60:O67)</f>
        <v>8750</v>
      </c>
      <c r="S71" s="1">
        <f>SUM(S60:S67)</f>
        <v>7290</v>
      </c>
    </row>
    <row r="72" spans="2:46" ht="15.75" customHeight="1" x14ac:dyDescent="0.2"/>
    <row r="73" spans="2:46" ht="15.75" customHeight="1" x14ac:dyDescent="0.2"/>
    <row r="74" spans="2:46" ht="15.75" customHeight="1" x14ac:dyDescent="0.2"/>
    <row r="75" spans="2:46" ht="15.75" customHeight="1" x14ac:dyDescent="0.2"/>
    <row r="76" spans="2:46" ht="15.75" customHeight="1" x14ac:dyDescent="0.2"/>
    <row r="77" spans="2:46" ht="15.75" customHeight="1" x14ac:dyDescent="0.2"/>
    <row r="78" spans="2:46" ht="15.75" customHeight="1" x14ac:dyDescent="0.2"/>
    <row r="79" spans="2:46" ht="15.75" customHeight="1" x14ac:dyDescent="0.2"/>
    <row r="80" spans="2:4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40">
    <mergeCell ref="D7:F7"/>
    <mergeCell ref="H7:J7"/>
    <mergeCell ref="L7:N7"/>
    <mergeCell ref="P7:R7"/>
    <mergeCell ref="T7:V7"/>
    <mergeCell ref="H58:J58"/>
    <mergeCell ref="L58:N58"/>
    <mergeCell ref="P58:R58"/>
    <mergeCell ref="T58:V58"/>
    <mergeCell ref="D27:F27"/>
    <mergeCell ref="D43:F43"/>
    <mergeCell ref="H43:J43"/>
    <mergeCell ref="L43:N43"/>
    <mergeCell ref="P43:R43"/>
    <mergeCell ref="T43:V43"/>
    <mergeCell ref="D58:F58"/>
    <mergeCell ref="L27:N27"/>
    <mergeCell ref="P27:R27"/>
    <mergeCell ref="H27:J27"/>
    <mergeCell ref="T27:V27"/>
    <mergeCell ref="AB7:AD7"/>
    <mergeCell ref="AF7:AH7"/>
    <mergeCell ref="AJ7:AL7"/>
    <mergeCell ref="AN7:AP7"/>
    <mergeCell ref="AR7:AT7"/>
    <mergeCell ref="AR27:AT27"/>
    <mergeCell ref="AB42:AD42"/>
    <mergeCell ref="AF42:AH42"/>
    <mergeCell ref="AJ42:AL42"/>
    <mergeCell ref="AN42:AP42"/>
    <mergeCell ref="AR42:AT42"/>
    <mergeCell ref="AB27:AD27"/>
    <mergeCell ref="AF27:AH27"/>
    <mergeCell ref="AJ27:AL27"/>
    <mergeCell ref="AN27:AP27"/>
    <mergeCell ref="AB58:AD58"/>
    <mergeCell ref="AF58:AH58"/>
    <mergeCell ref="AJ58:AL58"/>
    <mergeCell ref="AN58:AP58"/>
    <mergeCell ref="AR58:AT58"/>
  </mergeCells>
  <pageMargins left="0.7" right="0.7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AS964"/>
  <sheetViews>
    <sheetView zoomScale="60" zoomScaleNormal="60" workbookViewId="0">
      <selection activeCell="U22" sqref="U22"/>
    </sheetView>
  </sheetViews>
  <sheetFormatPr baseColWidth="10" defaultColWidth="14.5" defaultRowHeight="15" customHeight="1" x14ac:dyDescent="0.2"/>
  <cols>
    <col min="1" max="1" width="10.6640625" customWidth="1"/>
    <col min="2" max="2" width="12.5" customWidth="1"/>
    <col min="3" max="3" width="12.6640625" bestFit="1" customWidth="1"/>
    <col min="4" max="4" width="10.6640625" customWidth="1"/>
    <col min="5" max="5" width="12.83203125" bestFit="1" customWidth="1"/>
    <col min="6" max="6" width="11.5" bestFit="1" customWidth="1"/>
    <col min="7" max="7" width="12.6640625" bestFit="1" customWidth="1"/>
    <col min="8" max="8" width="10.6640625" customWidth="1"/>
    <col min="9" max="9" width="12.83203125" bestFit="1" customWidth="1"/>
    <col min="10" max="10" width="11.5" bestFit="1" customWidth="1"/>
    <col min="11" max="11" width="12.6640625" bestFit="1" customWidth="1"/>
    <col min="12" max="12" width="10.6640625" customWidth="1"/>
    <col min="13" max="13" width="12.83203125" bestFit="1" customWidth="1"/>
    <col min="14" max="14" width="11.5" bestFit="1" customWidth="1"/>
    <col min="15" max="15" width="12.6640625" bestFit="1" customWidth="1"/>
    <col min="16" max="16" width="10.6640625" customWidth="1"/>
    <col min="17" max="17" width="12.83203125" bestFit="1" customWidth="1"/>
    <col min="18" max="19" width="12.6640625" bestFit="1" customWidth="1"/>
    <col min="20" max="20" width="10.6640625" customWidth="1"/>
    <col min="21" max="21" width="12.83203125" bestFit="1" customWidth="1"/>
    <col min="22" max="22" width="11.5" bestFit="1" customWidth="1"/>
    <col min="23" max="23" width="10.6640625" customWidth="1"/>
    <col min="24" max="24" width="10.6640625" style="91" customWidth="1"/>
    <col min="25" max="25" width="12.83203125" style="27" bestFit="1" customWidth="1"/>
    <col min="26" max="26" width="12.6640625" bestFit="1" customWidth="1"/>
    <col min="28" max="28" width="12.83203125" bestFit="1" customWidth="1"/>
    <col min="29" max="29" width="11.5" bestFit="1" customWidth="1"/>
    <col min="30" max="30" width="12.6640625" bestFit="1" customWidth="1"/>
    <col min="32" max="32" width="12.83203125" bestFit="1" customWidth="1"/>
    <col min="33" max="33" width="11.5" bestFit="1" customWidth="1"/>
    <col min="34" max="34" width="12.6640625" bestFit="1" customWidth="1"/>
    <col min="36" max="36" width="12.83203125" bestFit="1" customWidth="1"/>
    <col min="37" max="37" width="11.5" bestFit="1" customWidth="1"/>
    <col min="38" max="38" width="12.6640625" bestFit="1" customWidth="1"/>
    <col min="40" max="40" width="12.83203125" bestFit="1" customWidth="1"/>
    <col min="41" max="41" width="11.5" bestFit="1" customWidth="1"/>
    <col min="42" max="42" width="12.6640625" bestFit="1" customWidth="1"/>
    <col min="44" max="44" width="12.83203125" bestFit="1" customWidth="1"/>
    <col min="45" max="45" width="11.5" bestFit="1" customWidth="1"/>
  </cols>
  <sheetData>
    <row r="2" spans="1:45" ht="15" customHeight="1" x14ac:dyDescent="0.2">
      <c r="B2" t="s">
        <v>30</v>
      </c>
      <c r="Z2" t="s">
        <v>29</v>
      </c>
    </row>
    <row r="3" spans="1:45" x14ac:dyDescent="0.2">
      <c r="B3" s="1"/>
      <c r="C3" s="1"/>
      <c r="D3" s="1"/>
      <c r="E3" s="1"/>
    </row>
    <row r="4" spans="1:45" x14ac:dyDescent="0.2">
      <c r="A4" s="1" t="s">
        <v>16</v>
      </c>
    </row>
    <row r="5" spans="1:45" x14ac:dyDescent="0.2">
      <c r="A5" s="1">
        <v>496</v>
      </c>
    </row>
    <row r="7" spans="1:45" ht="16" thickBot="1" x14ac:dyDescent="0.25">
      <c r="D7" s="134">
        <v>0.1</v>
      </c>
      <c r="E7" s="133"/>
      <c r="F7" s="133"/>
      <c r="G7" s="2"/>
      <c r="H7" s="134">
        <v>0.2</v>
      </c>
      <c r="I7" s="133"/>
      <c r="J7" s="133"/>
      <c r="K7" s="2"/>
      <c r="L7" s="134">
        <v>0.3</v>
      </c>
      <c r="M7" s="133"/>
      <c r="N7" s="133"/>
      <c r="O7" s="2"/>
      <c r="P7" s="134">
        <v>0.4</v>
      </c>
      <c r="Q7" s="133"/>
      <c r="R7" s="133"/>
      <c r="S7" s="2"/>
      <c r="T7" s="134">
        <v>0.5</v>
      </c>
      <c r="U7" s="133"/>
      <c r="V7" s="133"/>
      <c r="W7" s="12"/>
      <c r="X7" s="92"/>
      <c r="AA7" s="134">
        <v>0.1</v>
      </c>
      <c r="AB7" s="133"/>
      <c r="AC7" s="133"/>
      <c r="AD7" s="2"/>
      <c r="AE7" s="134">
        <v>0.2</v>
      </c>
      <c r="AF7" s="133"/>
      <c r="AG7" s="133"/>
      <c r="AH7" s="2"/>
      <c r="AI7" s="134">
        <v>0.3</v>
      </c>
      <c r="AJ7" s="133"/>
      <c r="AK7" s="133"/>
      <c r="AL7" s="2"/>
      <c r="AM7" s="134">
        <v>0.4</v>
      </c>
      <c r="AN7" s="133"/>
      <c r="AO7" s="133"/>
      <c r="AP7" s="2"/>
      <c r="AQ7" s="134">
        <v>0.5</v>
      </c>
      <c r="AR7" s="133"/>
      <c r="AS7" s="133"/>
    </row>
    <row r="8" spans="1:45" ht="16" thickBot="1" x14ac:dyDescent="0.25">
      <c r="B8" s="34" t="s">
        <v>8</v>
      </c>
      <c r="C8" s="43" t="s">
        <v>22</v>
      </c>
      <c r="D8" s="44" t="s">
        <v>7</v>
      </c>
      <c r="E8" s="36" t="s">
        <v>9</v>
      </c>
      <c r="F8" s="45" t="s">
        <v>10</v>
      </c>
      <c r="G8" s="43" t="s">
        <v>22</v>
      </c>
      <c r="H8" s="44" t="s">
        <v>7</v>
      </c>
      <c r="I8" s="36" t="s">
        <v>9</v>
      </c>
      <c r="J8" s="45" t="s">
        <v>10</v>
      </c>
      <c r="K8" s="43" t="s">
        <v>22</v>
      </c>
      <c r="L8" s="36" t="s">
        <v>7</v>
      </c>
      <c r="M8" s="36" t="s">
        <v>9</v>
      </c>
      <c r="N8" s="45" t="s">
        <v>10</v>
      </c>
      <c r="O8" s="43" t="s">
        <v>22</v>
      </c>
      <c r="P8" s="36" t="s">
        <v>7</v>
      </c>
      <c r="Q8" s="36" t="s">
        <v>9</v>
      </c>
      <c r="R8" s="45" t="s">
        <v>10</v>
      </c>
      <c r="S8" s="43" t="s">
        <v>22</v>
      </c>
      <c r="T8" s="36" t="s">
        <v>7</v>
      </c>
      <c r="U8" s="36" t="s">
        <v>9</v>
      </c>
      <c r="V8" s="45" t="s">
        <v>10</v>
      </c>
      <c r="Y8" s="34" t="s">
        <v>8</v>
      </c>
      <c r="Z8" s="43" t="s">
        <v>22</v>
      </c>
      <c r="AA8" s="44" t="s">
        <v>7</v>
      </c>
      <c r="AB8" s="36" t="s">
        <v>9</v>
      </c>
      <c r="AC8" s="45" t="s">
        <v>10</v>
      </c>
      <c r="AD8" s="43" t="s">
        <v>22</v>
      </c>
      <c r="AE8" s="44" t="s">
        <v>7</v>
      </c>
      <c r="AF8" s="36" t="s">
        <v>9</v>
      </c>
      <c r="AG8" s="45" t="s">
        <v>10</v>
      </c>
      <c r="AH8" s="43" t="s">
        <v>22</v>
      </c>
      <c r="AI8" s="36" t="s">
        <v>7</v>
      </c>
      <c r="AJ8" s="36" t="s">
        <v>9</v>
      </c>
      <c r="AK8" s="45" t="s">
        <v>10</v>
      </c>
      <c r="AL8" s="43" t="s">
        <v>22</v>
      </c>
      <c r="AM8" s="36" t="s">
        <v>7</v>
      </c>
      <c r="AN8" s="36" t="s">
        <v>9</v>
      </c>
      <c r="AO8" s="45" t="s">
        <v>10</v>
      </c>
      <c r="AP8" s="43" t="s">
        <v>22</v>
      </c>
      <c r="AQ8" s="36" t="s">
        <v>7</v>
      </c>
      <c r="AR8" s="36" t="s">
        <v>9</v>
      </c>
      <c r="AS8" s="45" t="s">
        <v>10</v>
      </c>
    </row>
    <row r="9" spans="1:45" x14ac:dyDescent="0.2">
      <c r="B9" s="1">
        <v>0</v>
      </c>
      <c r="C9" s="46">
        <f t="shared" ref="C9:V9" si="0">AVERAGE(C30,C46,C62)</f>
        <v>1808.3333333333333</v>
      </c>
      <c r="D9" s="41">
        <f t="shared" si="0"/>
        <v>21.466666666666669</v>
      </c>
      <c r="E9" s="42">
        <f t="shared" si="0"/>
        <v>4.327956989247312E-2</v>
      </c>
      <c r="F9" s="47">
        <f t="shared" si="0"/>
        <v>0.96699999999999997</v>
      </c>
      <c r="G9" s="46">
        <f t="shared" si="0"/>
        <v>1623.3333333333333</v>
      </c>
      <c r="H9" s="41">
        <f t="shared" si="0"/>
        <v>18.533333333333335</v>
      </c>
      <c r="I9" s="42">
        <f t="shared" si="0"/>
        <v>3.7365591397849465E-2</v>
      </c>
      <c r="J9" s="47">
        <f t="shared" si="0"/>
        <v>0.97433333333333338</v>
      </c>
      <c r="K9" s="46">
        <f t="shared" si="0"/>
        <v>1401.6666666666667</v>
      </c>
      <c r="L9" s="41">
        <f t="shared" si="0"/>
        <v>17.366666666666664</v>
      </c>
      <c r="M9" s="42">
        <f t="shared" si="0"/>
        <v>3.5013440860215052E-2</v>
      </c>
      <c r="N9" s="47">
        <f t="shared" si="0"/>
        <v>0.97699999999999998</v>
      </c>
      <c r="O9" s="46">
        <f t="shared" si="0"/>
        <v>1205</v>
      </c>
      <c r="P9" s="41">
        <f t="shared" si="0"/>
        <v>17.166666666666668</v>
      </c>
      <c r="Q9" s="42">
        <f t="shared" si="0"/>
        <v>3.4610215053763445E-2</v>
      </c>
      <c r="R9" s="47">
        <f t="shared" si="0"/>
        <v>0.97699999999999998</v>
      </c>
      <c r="S9" s="46">
        <f t="shared" si="0"/>
        <v>1015</v>
      </c>
      <c r="T9" s="41">
        <f t="shared" si="0"/>
        <v>18.2</v>
      </c>
      <c r="U9" s="42">
        <f t="shared" si="0"/>
        <v>3.6693548387096771E-2</v>
      </c>
      <c r="V9" s="47">
        <f t="shared" si="0"/>
        <v>0.97433333333333338</v>
      </c>
      <c r="Y9" s="28">
        <v>0</v>
      </c>
      <c r="Z9" s="46">
        <f>AVERAGE(Z30,Z46,Z62)</f>
        <v>1808.3333333333333</v>
      </c>
      <c r="AA9" s="41">
        <f>AVERAGE(AA30,AA46,AA62)</f>
        <v>26.099999999999998</v>
      </c>
      <c r="AB9" s="42">
        <f>AVERAGE(AB30,AB46,AB62)</f>
        <v>5.2620967741935483E-2</v>
      </c>
      <c r="AC9" s="98">
        <f>AVERAGE(AC30,AC46,AC62)</f>
        <v>0.95366666666666655</v>
      </c>
      <c r="AD9" s="46">
        <f t="shared" ref="AD9:AR9" si="1">AVERAGE(AD30,AD46,AD62)</f>
        <v>1623.3333333333333</v>
      </c>
      <c r="AE9" s="41">
        <f t="shared" si="1"/>
        <v>22.066666666666666</v>
      </c>
      <c r="AF9" s="42">
        <f t="shared" si="1"/>
        <v>4.4489247311827962E-2</v>
      </c>
      <c r="AG9" s="98">
        <f t="shared" si="1"/>
        <v>0.96699999999999997</v>
      </c>
      <c r="AH9" s="46">
        <f t="shared" si="1"/>
        <v>1401.6666666666667</v>
      </c>
      <c r="AI9" s="41">
        <f t="shared" si="1"/>
        <v>19.533333333333335</v>
      </c>
      <c r="AJ9" s="42">
        <f t="shared" si="1"/>
        <v>3.9381720430107528E-2</v>
      </c>
      <c r="AK9" s="98">
        <f>AVERAGE(AK30,AK46,AK62)</f>
        <v>0.97266666666666657</v>
      </c>
      <c r="AL9" s="46">
        <f t="shared" si="1"/>
        <v>1205</v>
      </c>
      <c r="AM9" s="41">
        <f t="shared" si="1"/>
        <v>19.3</v>
      </c>
      <c r="AN9" s="42">
        <f t="shared" si="1"/>
        <v>3.8911290322580651E-2</v>
      </c>
      <c r="AO9" s="98">
        <f>AVERAGE(AO30,AO46,AO62)</f>
        <v>0.97333333333333327</v>
      </c>
      <c r="AP9" s="46">
        <f t="shared" si="1"/>
        <v>1015</v>
      </c>
      <c r="AQ9" s="41">
        <f t="shared" si="1"/>
        <v>20.066666666666666</v>
      </c>
      <c r="AR9" s="42">
        <f t="shared" si="1"/>
        <v>4.0456989247311823E-2</v>
      </c>
      <c r="AS9" s="98">
        <f>AVERAGE(AS30,AS46,AS62)</f>
        <v>0.97133333333333327</v>
      </c>
    </row>
    <row r="10" spans="1:45" x14ac:dyDescent="0.2">
      <c r="B10" s="1">
        <v>1</v>
      </c>
      <c r="C10" s="46">
        <f t="shared" ref="C10:V10" si="2">AVERAGE(C31,C47,C63)</f>
        <v>2586.6666666666665</v>
      </c>
      <c r="D10" s="41">
        <f t="shared" si="2"/>
        <v>20.933333333333334</v>
      </c>
      <c r="E10" s="42">
        <f t="shared" si="2"/>
        <v>4.2204301075268812E-2</v>
      </c>
      <c r="F10" s="47">
        <f t="shared" si="2"/>
        <v>0.93433333333333335</v>
      </c>
      <c r="G10" s="46">
        <f t="shared" si="2"/>
        <v>2296.6666666666665</v>
      </c>
      <c r="H10" s="41">
        <f t="shared" si="2"/>
        <v>16.966666666666669</v>
      </c>
      <c r="I10" s="42">
        <f t="shared" si="2"/>
        <v>3.4206989247311831E-2</v>
      </c>
      <c r="J10" s="47">
        <f t="shared" si="2"/>
        <v>0.94666666666666666</v>
      </c>
      <c r="K10" s="46">
        <f t="shared" si="2"/>
        <v>2021.6666666666667</v>
      </c>
      <c r="L10" s="41">
        <f t="shared" si="2"/>
        <v>16.933333333333334</v>
      </c>
      <c r="M10" s="42">
        <f t="shared" si="2"/>
        <v>3.4139784946236561E-2</v>
      </c>
      <c r="N10" s="47">
        <f t="shared" si="2"/>
        <v>0.95099999999999996</v>
      </c>
      <c r="O10" s="46">
        <f t="shared" si="2"/>
        <v>1706.6666666666667</v>
      </c>
      <c r="P10" s="41">
        <f t="shared" si="2"/>
        <v>16.066666666666666</v>
      </c>
      <c r="Q10" s="42">
        <f t="shared" si="2"/>
        <v>3.2392473118279572E-2</v>
      </c>
      <c r="R10" s="47">
        <f t="shared" si="2"/>
        <v>0.95633333333333326</v>
      </c>
      <c r="S10" s="46">
        <f t="shared" si="2"/>
        <v>1446.6666666666667</v>
      </c>
      <c r="T10" s="41">
        <f t="shared" si="2"/>
        <v>16.7</v>
      </c>
      <c r="U10" s="42">
        <f t="shared" si="2"/>
        <v>3.3669354838709677E-2</v>
      </c>
      <c r="V10" s="47">
        <f t="shared" si="2"/>
        <v>0.95299999999999996</v>
      </c>
      <c r="Y10" s="28">
        <v>1</v>
      </c>
      <c r="Z10" s="46">
        <f t="shared" ref="Z10:AR10" si="3">AVERAGE(Z31,Z47,Z63)</f>
        <v>2586.6666666666665</v>
      </c>
      <c r="AA10" s="41">
        <f t="shared" si="3"/>
        <v>26</v>
      </c>
      <c r="AB10" s="42">
        <f t="shared" si="3"/>
        <v>5.2419354838709679E-2</v>
      </c>
      <c r="AC10" s="47">
        <f t="shared" si="3"/>
        <v>0.90133333333333321</v>
      </c>
      <c r="AD10" s="46">
        <f t="shared" si="3"/>
        <v>2296.6666666666665</v>
      </c>
      <c r="AE10" s="41">
        <f t="shared" si="3"/>
        <v>20.2</v>
      </c>
      <c r="AF10" s="42">
        <f t="shared" si="3"/>
        <v>4.072580645161291E-2</v>
      </c>
      <c r="AG10" s="47">
        <f t="shared" si="3"/>
        <v>0.93400000000000005</v>
      </c>
      <c r="AH10" s="46">
        <f t="shared" si="3"/>
        <v>2021.6666666666667</v>
      </c>
      <c r="AI10" s="41">
        <f t="shared" si="3"/>
        <v>18.933333333333334</v>
      </c>
      <c r="AJ10" s="42">
        <f t="shared" si="3"/>
        <v>3.8172043010752686E-2</v>
      </c>
      <c r="AK10" s="47">
        <f t="shared" ref="AK10" si="4">AVERAGE(AK31,AK47,AK63)</f>
        <v>0.94099999999999995</v>
      </c>
      <c r="AL10" s="46">
        <f t="shared" si="3"/>
        <v>1706.6666666666667</v>
      </c>
      <c r="AM10" s="41">
        <f t="shared" si="3"/>
        <v>17.466666666666665</v>
      </c>
      <c r="AN10" s="42">
        <f t="shared" si="3"/>
        <v>3.5215053763440862E-2</v>
      </c>
      <c r="AO10" s="47">
        <f t="shared" ref="AO10" si="5">AVERAGE(AO31,AO47,AO63)</f>
        <v>0.94899999999999995</v>
      </c>
      <c r="AP10" s="46">
        <f t="shared" si="3"/>
        <v>1446.6666666666667</v>
      </c>
      <c r="AQ10" s="41">
        <f t="shared" si="3"/>
        <v>17.733333333333334</v>
      </c>
      <c r="AR10" s="42">
        <f t="shared" si="3"/>
        <v>3.5752688172043003E-2</v>
      </c>
      <c r="AS10" s="47">
        <f t="shared" ref="AS10" si="6">AVERAGE(AS31,AS47,AS63)</f>
        <v>0.94899999999999995</v>
      </c>
    </row>
    <row r="11" spans="1:45" x14ac:dyDescent="0.2">
      <c r="B11" s="1">
        <v>2</v>
      </c>
      <c r="C11" s="46">
        <f t="shared" ref="C11:V11" si="7">AVERAGE(C32,C48,C64)</f>
        <v>1458.3333333333333</v>
      </c>
      <c r="D11" s="41">
        <f t="shared" si="7"/>
        <v>22.833333333333332</v>
      </c>
      <c r="E11" s="42">
        <f t="shared" si="7"/>
        <v>4.6034946236559147E-2</v>
      </c>
      <c r="F11" s="47">
        <f t="shared" si="7"/>
        <v>0.79766666666666663</v>
      </c>
      <c r="G11" s="46">
        <f t="shared" si="7"/>
        <v>1281.6666666666667</v>
      </c>
      <c r="H11" s="41">
        <f t="shared" si="7"/>
        <v>18.066666666666666</v>
      </c>
      <c r="I11" s="42">
        <f t="shared" si="7"/>
        <v>3.6424731182795704E-2</v>
      </c>
      <c r="J11" s="47">
        <f t="shared" si="7"/>
        <v>0.85199999999999998</v>
      </c>
      <c r="K11" s="46">
        <f t="shared" si="7"/>
        <v>1131.6666666666667</v>
      </c>
      <c r="L11" s="41">
        <f t="shared" si="7"/>
        <v>15.966666666666667</v>
      </c>
      <c r="M11" s="42">
        <f t="shared" si="7"/>
        <v>3.2190860215053761E-2</v>
      </c>
      <c r="N11" s="47">
        <f t="shared" si="7"/>
        <v>0.88533333333333342</v>
      </c>
      <c r="O11" s="46">
        <f t="shared" si="7"/>
        <v>945</v>
      </c>
      <c r="P11" s="41">
        <f t="shared" si="7"/>
        <v>14.299999999999999</v>
      </c>
      <c r="Q11" s="42">
        <f t="shared" si="7"/>
        <v>2.8830645161290327E-2</v>
      </c>
      <c r="R11" s="47">
        <f t="shared" si="7"/>
        <v>0.90533333333333321</v>
      </c>
      <c r="S11" s="46">
        <f t="shared" si="7"/>
        <v>755</v>
      </c>
      <c r="T11" s="41">
        <f t="shared" si="7"/>
        <v>14.633333333333333</v>
      </c>
      <c r="U11" s="42">
        <f t="shared" si="7"/>
        <v>2.9502688172043014E-2</v>
      </c>
      <c r="V11" s="47">
        <f t="shared" si="7"/>
        <v>0.89999999999999991</v>
      </c>
      <c r="Y11" s="28">
        <v>2</v>
      </c>
      <c r="Z11" s="46">
        <f t="shared" ref="Z11:AR11" si="8">AVERAGE(Z32,Z48,Z64)</f>
        <v>1458.3333333333333</v>
      </c>
      <c r="AA11" s="41">
        <f t="shared" si="8"/>
        <v>26.5</v>
      </c>
      <c r="AB11" s="42">
        <f t="shared" si="8"/>
        <v>5.3427419354838711E-2</v>
      </c>
      <c r="AC11" s="47">
        <f t="shared" si="8"/>
        <v>0.753</v>
      </c>
      <c r="AD11" s="46">
        <f t="shared" si="8"/>
        <v>1281.6666666666667</v>
      </c>
      <c r="AE11" s="41">
        <f t="shared" si="8"/>
        <v>20.133333333333329</v>
      </c>
      <c r="AF11" s="42">
        <f t="shared" si="8"/>
        <v>4.0591397849462363E-2</v>
      </c>
      <c r="AG11" s="47">
        <f t="shared" si="8"/>
        <v>0.84566666666666668</v>
      </c>
      <c r="AH11" s="46">
        <f t="shared" si="8"/>
        <v>1131.6666666666667</v>
      </c>
      <c r="AI11" s="41">
        <f t="shared" si="8"/>
        <v>18.8</v>
      </c>
      <c r="AJ11" s="42">
        <f t="shared" si="8"/>
        <v>3.7903225806451613E-2</v>
      </c>
      <c r="AK11" s="47">
        <f t="shared" ref="AK11" si="9">AVERAGE(AK32,AK48,AK64)</f>
        <v>0.84966666666666668</v>
      </c>
      <c r="AL11" s="46">
        <f t="shared" si="8"/>
        <v>945</v>
      </c>
      <c r="AM11" s="41">
        <f t="shared" si="8"/>
        <v>16.366666666666664</v>
      </c>
      <c r="AN11" s="42">
        <f t="shared" si="8"/>
        <v>3.2997311827956989E-2</v>
      </c>
      <c r="AO11" s="47">
        <f t="shared" ref="AO11" si="10">AVERAGE(AO32,AO48,AO64)</f>
        <v>0.89033333333333342</v>
      </c>
      <c r="AP11" s="46">
        <f t="shared" si="8"/>
        <v>755</v>
      </c>
      <c r="AQ11" s="41">
        <f t="shared" si="8"/>
        <v>16.333333333333332</v>
      </c>
      <c r="AR11" s="42">
        <f t="shared" si="8"/>
        <v>3.2930107526881719E-2</v>
      </c>
      <c r="AS11" s="47">
        <f t="shared" ref="AS11" si="11">AVERAGE(AS32,AS48,AS64)</f>
        <v>0.87866666666666671</v>
      </c>
    </row>
    <row r="12" spans="1:45" x14ac:dyDescent="0.2">
      <c r="B12" s="1">
        <v>3</v>
      </c>
      <c r="C12" s="46">
        <f t="shared" ref="C12:V12" si="12">AVERAGE(C33,C49,C65)</f>
        <v>1161.6666666666667</v>
      </c>
      <c r="D12" s="41">
        <f t="shared" si="12"/>
        <v>25.900000000000002</v>
      </c>
      <c r="E12" s="42">
        <f t="shared" si="12"/>
        <v>5.2217741935483869E-2</v>
      </c>
      <c r="F12" s="47">
        <f t="shared" si="12"/>
        <v>0.95199999999999996</v>
      </c>
      <c r="G12" s="46">
        <f t="shared" si="12"/>
        <v>1031.6666666666667</v>
      </c>
      <c r="H12" s="41">
        <f t="shared" si="12"/>
        <v>21.333333333333332</v>
      </c>
      <c r="I12" s="42">
        <f t="shared" si="12"/>
        <v>4.301075268817204E-2</v>
      </c>
      <c r="J12" s="47">
        <f t="shared" si="12"/>
        <v>0.96533333333333327</v>
      </c>
      <c r="K12" s="46">
        <f t="shared" si="12"/>
        <v>898.33333333333337</v>
      </c>
      <c r="L12" s="41">
        <f t="shared" si="12"/>
        <v>18.366666666666667</v>
      </c>
      <c r="M12" s="42">
        <f t="shared" si="12"/>
        <v>3.7029569892473115E-2</v>
      </c>
      <c r="N12" s="47">
        <f t="shared" si="12"/>
        <v>0.97066666666666668</v>
      </c>
      <c r="O12" s="46">
        <f t="shared" si="12"/>
        <v>783.33333333333337</v>
      </c>
      <c r="P12" s="41">
        <f t="shared" si="12"/>
        <v>17.8</v>
      </c>
      <c r="Q12" s="42">
        <f t="shared" si="12"/>
        <v>3.588709677419355E-2</v>
      </c>
      <c r="R12" s="47">
        <f t="shared" si="12"/>
        <v>0.97199999999999998</v>
      </c>
      <c r="S12" s="46">
        <f t="shared" si="12"/>
        <v>646.66666666666663</v>
      </c>
      <c r="T12" s="41">
        <f t="shared" si="12"/>
        <v>16.733333333333334</v>
      </c>
      <c r="U12" s="42">
        <f t="shared" si="12"/>
        <v>3.3736559139784947E-2</v>
      </c>
      <c r="V12" s="47">
        <f t="shared" si="12"/>
        <v>0.97433333333333338</v>
      </c>
      <c r="Y12" s="28">
        <v>3</v>
      </c>
      <c r="Z12" s="46">
        <f t="shared" ref="Z12:AR12" si="13">AVERAGE(Z33,Z49,Z65)</f>
        <v>1161.6666666666667</v>
      </c>
      <c r="AA12" s="41">
        <f t="shared" si="13"/>
        <v>33.43333333333333</v>
      </c>
      <c r="AB12" s="42">
        <f t="shared" si="13"/>
        <v>6.7405913978494617E-2</v>
      </c>
      <c r="AC12" s="47">
        <f t="shared" si="13"/>
        <v>0.92666666666666664</v>
      </c>
      <c r="AD12" s="46">
        <f t="shared" si="13"/>
        <v>1031.6666666666667</v>
      </c>
      <c r="AE12" s="41">
        <f t="shared" si="13"/>
        <v>26.433333333333337</v>
      </c>
      <c r="AF12" s="42">
        <f t="shared" si="13"/>
        <v>5.3293010752688171E-2</v>
      </c>
      <c r="AG12" s="47">
        <f t="shared" si="13"/>
        <v>0.95099999999999996</v>
      </c>
      <c r="AH12" s="46">
        <f t="shared" si="13"/>
        <v>898.33333333333337</v>
      </c>
      <c r="AI12" s="41">
        <f t="shared" si="13"/>
        <v>20.900000000000002</v>
      </c>
      <c r="AJ12" s="42">
        <f t="shared" si="13"/>
        <v>4.2137096774193548E-2</v>
      </c>
      <c r="AK12" s="47">
        <f t="shared" ref="AK12" si="14">AVERAGE(AK33,AK49,AK65)</f>
        <v>0.96566666666666656</v>
      </c>
      <c r="AL12" s="46">
        <f t="shared" si="13"/>
        <v>783.33333333333337</v>
      </c>
      <c r="AM12" s="41">
        <f t="shared" si="13"/>
        <v>20.266666666666666</v>
      </c>
      <c r="AN12" s="42">
        <f t="shared" si="13"/>
        <v>4.0860215053763443E-2</v>
      </c>
      <c r="AO12" s="47">
        <f t="shared" ref="AO12" si="15">AVERAGE(AO33,AO49,AO65)</f>
        <v>0.96699999999999997</v>
      </c>
      <c r="AP12" s="46">
        <f t="shared" si="13"/>
        <v>646.66666666666663</v>
      </c>
      <c r="AQ12" s="41">
        <f t="shared" si="13"/>
        <v>21.866666666666664</v>
      </c>
      <c r="AR12" s="42">
        <f t="shared" si="13"/>
        <v>4.4086021505376348E-2</v>
      </c>
      <c r="AS12" s="47">
        <f t="shared" ref="AS12" si="16">AVERAGE(AS33,AS49,AS65)</f>
        <v>0.97166666666666668</v>
      </c>
    </row>
    <row r="13" spans="1:45" x14ac:dyDescent="0.2">
      <c r="B13" s="1">
        <v>4</v>
      </c>
      <c r="C13" s="46">
        <f t="shared" ref="C13:V13" si="17">AVERAGE(C34,C50,C66)</f>
        <v>1588.3333333333333</v>
      </c>
      <c r="D13" s="41">
        <f t="shared" si="17"/>
        <v>25.400000000000002</v>
      </c>
      <c r="E13" s="42">
        <f t="shared" si="17"/>
        <v>5.1209677419354838E-2</v>
      </c>
      <c r="F13" s="47">
        <f t="shared" si="17"/>
        <v>0.94966666666666655</v>
      </c>
      <c r="G13" s="46">
        <f t="shared" si="17"/>
        <v>1396.6666666666667</v>
      </c>
      <c r="H13" s="41">
        <f t="shared" si="17"/>
        <v>21.466666666666669</v>
      </c>
      <c r="I13" s="42">
        <f t="shared" si="17"/>
        <v>4.327956989247312E-2</v>
      </c>
      <c r="J13" s="47">
        <f t="shared" si="17"/>
        <v>0.96099999999999997</v>
      </c>
      <c r="K13" s="46">
        <f t="shared" si="17"/>
        <v>1216.6666666666667</v>
      </c>
      <c r="L13" s="41">
        <f t="shared" si="17"/>
        <v>18.966666666666669</v>
      </c>
      <c r="M13" s="42">
        <f t="shared" si="17"/>
        <v>3.8239247311827956E-2</v>
      </c>
      <c r="N13" s="47">
        <f t="shared" si="17"/>
        <v>0.96833333333333327</v>
      </c>
      <c r="O13" s="46">
        <f t="shared" si="17"/>
        <v>1050</v>
      </c>
      <c r="P13" s="41">
        <f t="shared" si="17"/>
        <v>18</v>
      </c>
      <c r="Q13" s="42">
        <f t="shared" si="17"/>
        <v>3.6290322580645164E-2</v>
      </c>
      <c r="R13" s="47">
        <f t="shared" si="17"/>
        <v>0.97133333333333327</v>
      </c>
      <c r="S13" s="46">
        <f t="shared" si="17"/>
        <v>880</v>
      </c>
      <c r="T13" s="41">
        <f t="shared" si="17"/>
        <v>18.366666666666667</v>
      </c>
      <c r="U13" s="42">
        <f t="shared" si="17"/>
        <v>3.7029569892473115E-2</v>
      </c>
      <c r="V13" s="47">
        <f t="shared" si="17"/>
        <v>0.96866666666666656</v>
      </c>
      <c r="Y13" s="28">
        <v>4</v>
      </c>
      <c r="Z13" s="46">
        <f t="shared" ref="Z13:AR13" si="18">AVERAGE(Z34,Z50,Z66)</f>
        <v>1588.3333333333333</v>
      </c>
      <c r="AA13" s="41">
        <f t="shared" si="18"/>
        <v>30.866666666666664</v>
      </c>
      <c r="AB13" s="42">
        <f t="shared" si="18"/>
        <v>6.2231182795698926E-2</v>
      </c>
      <c r="AC13" s="47">
        <f t="shared" si="18"/>
        <v>0.93399999999999983</v>
      </c>
      <c r="AD13" s="46">
        <f t="shared" si="18"/>
        <v>1396.6666666666667</v>
      </c>
      <c r="AE13" s="41">
        <f t="shared" si="18"/>
        <v>25</v>
      </c>
      <c r="AF13" s="42">
        <f t="shared" si="18"/>
        <v>5.0403225806451617E-2</v>
      </c>
      <c r="AG13" s="47">
        <f t="shared" si="18"/>
        <v>0.95000000000000007</v>
      </c>
      <c r="AH13" s="46">
        <f t="shared" si="18"/>
        <v>1216.6666666666667</v>
      </c>
      <c r="AI13" s="41">
        <f t="shared" si="18"/>
        <v>22.400000000000002</v>
      </c>
      <c r="AJ13" s="42">
        <f t="shared" si="18"/>
        <v>4.5161290322580649E-2</v>
      </c>
      <c r="AK13" s="47">
        <f t="shared" ref="AK13" si="19">AVERAGE(AK34,AK50,AK66)</f>
        <v>0.95866666666666667</v>
      </c>
      <c r="AL13" s="46">
        <f t="shared" si="18"/>
        <v>1050</v>
      </c>
      <c r="AM13" s="41">
        <f t="shared" si="18"/>
        <v>20.633333333333333</v>
      </c>
      <c r="AN13" s="42">
        <f t="shared" si="18"/>
        <v>4.1599462365591401E-2</v>
      </c>
      <c r="AO13" s="47">
        <f t="shared" ref="AO13" si="20">AVERAGE(AO34,AO50,AO66)</f>
        <v>0.96433333333333326</v>
      </c>
      <c r="AP13" s="46">
        <f t="shared" si="18"/>
        <v>880</v>
      </c>
      <c r="AQ13" s="41">
        <f t="shared" si="18"/>
        <v>21.3</v>
      </c>
      <c r="AR13" s="42">
        <f t="shared" si="18"/>
        <v>4.2943548387096776E-2</v>
      </c>
      <c r="AS13" s="47">
        <f t="shared" ref="AS13" si="21">AVERAGE(AS34,AS50,AS66)</f>
        <v>0.96033333333333326</v>
      </c>
    </row>
    <row r="14" spans="1:45" x14ac:dyDescent="0.2">
      <c r="B14" s="1">
        <v>5</v>
      </c>
      <c r="C14" s="46">
        <f t="shared" ref="C14:V14" si="22">AVERAGE(C35,C51,C67)</f>
        <v>2045</v>
      </c>
      <c r="D14" s="41">
        <f t="shared" si="22"/>
        <v>25.333333333333332</v>
      </c>
      <c r="E14" s="42">
        <f t="shared" si="22"/>
        <v>5.1075268817204304E-2</v>
      </c>
      <c r="F14" s="47">
        <f t="shared" si="22"/>
        <v>0.92666666666666675</v>
      </c>
      <c r="G14" s="46">
        <f t="shared" si="22"/>
        <v>1830</v>
      </c>
      <c r="H14" s="41">
        <f t="shared" si="22"/>
        <v>17.833333333333332</v>
      </c>
      <c r="I14" s="42">
        <f t="shared" si="22"/>
        <v>3.5954301075268813E-2</v>
      </c>
      <c r="J14" s="47">
        <f t="shared" si="22"/>
        <v>0.96399999999999997</v>
      </c>
      <c r="K14" s="46">
        <f t="shared" si="22"/>
        <v>1603.3333333333333</v>
      </c>
      <c r="L14" s="41">
        <f t="shared" si="22"/>
        <v>17.333333333333332</v>
      </c>
      <c r="M14" s="42">
        <f t="shared" si="22"/>
        <v>3.4946236559139782E-2</v>
      </c>
      <c r="N14" s="47">
        <f t="shared" si="22"/>
        <v>0.96566666666666678</v>
      </c>
      <c r="O14" s="46">
        <f t="shared" si="22"/>
        <v>1395</v>
      </c>
      <c r="P14" s="41">
        <f t="shared" si="22"/>
        <v>16.933333333333334</v>
      </c>
      <c r="Q14" s="42">
        <f t="shared" si="22"/>
        <v>3.4139784946236561E-2</v>
      </c>
      <c r="R14" s="47">
        <f t="shared" si="22"/>
        <v>0.96599999999999986</v>
      </c>
      <c r="S14" s="46">
        <f t="shared" si="22"/>
        <v>1165</v>
      </c>
      <c r="T14" s="41">
        <f t="shared" si="22"/>
        <v>15.666666666666666</v>
      </c>
      <c r="U14" s="42">
        <f t="shared" si="22"/>
        <v>3.1586021505376344E-2</v>
      </c>
      <c r="V14" s="47">
        <f t="shared" si="22"/>
        <v>0.97133333333333338</v>
      </c>
      <c r="Y14" s="28">
        <v>5</v>
      </c>
      <c r="Z14" s="46">
        <f t="shared" ref="Z14:AR14" si="23">AVERAGE(Z35,Z51,Z67)</f>
        <v>2045</v>
      </c>
      <c r="AA14" s="41">
        <f t="shared" si="23"/>
        <v>28.900000000000002</v>
      </c>
      <c r="AB14" s="42">
        <f t="shared" si="23"/>
        <v>5.8266129032258064E-2</v>
      </c>
      <c r="AC14" s="47">
        <f t="shared" si="23"/>
        <v>0.90966666666666673</v>
      </c>
      <c r="AD14" s="46">
        <f t="shared" si="23"/>
        <v>1830</v>
      </c>
      <c r="AE14" s="41">
        <f t="shared" si="23"/>
        <v>20.533333333333335</v>
      </c>
      <c r="AF14" s="42">
        <f t="shared" si="23"/>
        <v>4.1397849462365591E-2</v>
      </c>
      <c r="AG14" s="47">
        <f t="shared" si="23"/>
        <v>0.95499999999999996</v>
      </c>
      <c r="AH14" s="46">
        <f t="shared" si="23"/>
        <v>1603.3333333333333</v>
      </c>
      <c r="AI14" s="41">
        <f t="shared" si="23"/>
        <v>19.866666666666664</v>
      </c>
      <c r="AJ14" s="42">
        <f t="shared" si="23"/>
        <v>4.0053763440860209E-2</v>
      </c>
      <c r="AK14" s="47">
        <f t="shared" ref="AK14" si="24">AVERAGE(AK35,AK51,AK67)</f>
        <v>0.95599999999999996</v>
      </c>
      <c r="AL14" s="46">
        <f t="shared" si="23"/>
        <v>1395</v>
      </c>
      <c r="AM14" s="41">
        <f t="shared" si="23"/>
        <v>18.633333333333336</v>
      </c>
      <c r="AN14" s="42">
        <f t="shared" si="23"/>
        <v>3.7567204301075269E-2</v>
      </c>
      <c r="AO14" s="47">
        <f t="shared" ref="AO14" si="25">AVERAGE(AO35,AO51,AO67)</f>
        <v>0.95899999999999996</v>
      </c>
      <c r="AP14" s="46">
        <f t="shared" si="23"/>
        <v>1165</v>
      </c>
      <c r="AQ14" s="41">
        <f t="shared" si="23"/>
        <v>16.733333333333334</v>
      </c>
      <c r="AR14" s="42">
        <f t="shared" si="23"/>
        <v>3.3736559139784947E-2</v>
      </c>
      <c r="AS14" s="47">
        <f t="shared" ref="AS14" si="26">AVERAGE(AS35,AS51,AS67)</f>
        <v>0.96799999999999997</v>
      </c>
    </row>
    <row r="15" spans="1:45" x14ac:dyDescent="0.2">
      <c r="B15" s="1">
        <v>6</v>
      </c>
      <c r="C15" s="46">
        <f t="shared" ref="C15:V15" si="27">AVERAGE(C36,C52,C68)</f>
        <v>1381.6666666666667</v>
      </c>
      <c r="D15" s="41">
        <f t="shared" si="27"/>
        <v>23.100000000000005</v>
      </c>
      <c r="E15" s="42">
        <f t="shared" si="27"/>
        <v>4.6572580645161288E-2</v>
      </c>
      <c r="F15" s="47">
        <f t="shared" si="27"/>
        <v>0.93766666666666676</v>
      </c>
      <c r="G15" s="46">
        <f t="shared" si="27"/>
        <v>1230</v>
      </c>
      <c r="H15" s="41">
        <f t="shared" si="27"/>
        <v>19.633333333333333</v>
      </c>
      <c r="I15" s="42">
        <f t="shared" si="27"/>
        <v>3.9583333333333331E-2</v>
      </c>
      <c r="J15" s="47">
        <f t="shared" si="27"/>
        <v>0.95433333333333337</v>
      </c>
      <c r="K15" s="46">
        <f t="shared" si="27"/>
        <v>1081.6666666666667</v>
      </c>
      <c r="L15" s="41">
        <f t="shared" si="27"/>
        <v>19.033333333333331</v>
      </c>
      <c r="M15" s="42">
        <f t="shared" si="27"/>
        <v>3.837365591397849E-2</v>
      </c>
      <c r="N15" s="47">
        <f t="shared" si="27"/>
        <v>0.95866666666666667</v>
      </c>
      <c r="O15" s="46">
        <f t="shared" si="27"/>
        <v>925</v>
      </c>
      <c r="P15" s="41">
        <f t="shared" si="27"/>
        <v>17.666666666666668</v>
      </c>
      <c r="Q15" s="42">
        <f t="shared" si="27"/>
        <v>3.5618279569892469E-2</v>
      </c>
      <c r="R15" s="47">
        <f t="shared" si="27"/>
        <v>0.96266666666666667</v>
      </c>
      <c r="S15" s="46">
        <f t="shared" si="27"/>
        <v>770</v>
      </c>
      <c r="T15" s="41">
        <f t="shared" si="27"/>
        <v>17.766666666666666</v>
      </c>
      <c r="U15" s="42">
        <f t="shared" si="27"/>
        <v>3.581989247311828E-2</v>
      </c>
      <c r="V15" s="47">
        <f t="shared" si="27"/>
        <v>0.96366666666666667</v>
      </c>
      <c r="Y15" s="28">
        <v>6</v>
      </c>
      <c r="Z15" s="46">
        <f t="shared" ref="Z15:AR15" si="28">AVERAGE(Z36,Z52,Z68)</f>
        <v>1381.6666666666667</v>
      </c>
      <c r="AA15" s="41">
        <f t="shared" si="28"/>
        <v>26.8</v>
      </c>
      <c r="AB15" s="42">
        <f t="shared" si="28"/>
        <v>5.4032258064516135E-2</v>
      </c>
      <c r="AC15" s="47">
        <f t="shared" si="28"/>
        <v>0.92099999999999993</v>
      </c>
      <c r="AD15" s="46">
        <f t="shared" si="28"/>
        <v>1230</v>
      </c>
      <c r="AE15" s="41">
        <f t="shared" si="28"/>
        <v>22.966666666666669</v>
      </c>
      <c r="AF15" s="42">
        <f t="shared" si="28"/>
        <v>4.6303763440860214E-2</v>
      </c>
      <c r="AG15" s="47">
        <f t="shared" si="28"/>
        <v>0.93699999999999994</v>
      </c>
      <c r="AH15" s="46">
        <f t="shared" si="28"/>
        <v>1081.6666666666667</v>
      </c>
      <c r="AI15" s="41">
        <f t="shared" si="28"/>
        <v>20.466666666666665</v>
      </c>
      <c r="AJ15" s="42">
        <f t="shared" si="28"/>
        <v>4.126344086021505E-2</v>
      </c>
      <c r="AK15" s="47">
        <f t="shared" ref="AK15" si="29">AVERAGE(AK36,AK52,AK68)</f>
        <v>0.95199999999999996</v>
      </c>
      <c r="AL15" s="46">
        <f t="shared" si="28"/>
        <v>925</v>
      </c>
      <c r="AM15" s="41">
        <f t="shared" si="28"/>
        <v>19.133333333333333</v>
      </c>
      <c r="AN15" s="42">
        <f t="shared" si="28"/>
        <v>3.85752688172043E-2</v>
      </c>
      <c r="AO15" s="47">
        <f t="shared" ref="AO15" si="30">AVERAGE(AO36,AO52,AO68)</f>
        <v>0.95866666666666667</v>
      </c>
      <c r="AP15" s="46">
        <f t="shared" si="28"/>
        <v>770</v>
      </c>
      <c r="AQ15" s="41">
        <f t="shared" si="28"/>
        <v>19.200000000000003</v>
      </c>
      <c r="AR15" s="42">
        <f t="shared" si="28"/>
        <v>3.870967741935484E-2</v>
      </c>
      <c r="AS15" s="47">
        <f t="shared" ref="AS15" si="31">AVERAGE(AS36,AS52,AS68)</f>
        <v>0.96</v>
      </c>
    </row>
    <row r="16" spans="1:45" ht="16" thickBot="1" x14ac:dyDescent="0.25">
      <c r="B16" s="1">
        <v>7</v>
      </c>
      <c r="C16" s="48">
        <f t="shared" ref="C16:V16" si="32">AVERAGE(C37,C53,C69)</f>
        <v>1100</v>
      </c>
      <c r="D16" s="49">
        <f t="shared" si="32"/>
        <v>28.433333333333334</v>
      </c>
      <c r="E16" s="50">
        <f t="shared" si="32"/>
        <v>5.7325268817204296E-2</v>
      </c>
      <c r="F16" s="51">
        <f t="shared" si="32"/>
        <v>0.86733333333333329</v>
      </c>
      <c r="G16" s="48">
        <f t="shared" si="32"/>
        <v>980</v>
      </c>
      <c r="H16" s="49">
        <f t="shared" si="32"/>
        <v>22.833333333333332</v>
      </c>
      <c r="I16" s="50">
        <f t="shared" si="32"/>
        <v>4.6034946236559147E-2</v>
      </c>
      <c r="J16" s="51">
        <f t="shared" si="32"/>
        <v>0.90466666666666662</v>
      </c>
      <c r="K16" s="48">
        <f t="shared" si="32"/>
        <v>855</v>
      </c>
      <c r="L16" s="49">
        <f t="shared" si="32"/>
        <v>18.533333333333331</v>
      </c>
      <c r="M16" s="50">
        <f t="shared" si="32"/>
        <v>3.7365591397849458E-2</v>
      </c>
      <c r="N16" s="51">
        <f t="shared" si="32"/>
        <v>0.94000000000000006</v>
      </c>
      <c r="O16" s="48">
        <f t="shared" si="32"/>
        <v>745</v>
      </c>
      <c r="P16" s="49">
        <f t="shared" si="32"/>
        <v>17.5</v>
      </c>
      <c r="Q16" s="50">
        <f t="shared" si="32"/>
        <v>3.5282258064516132E-2</v>
      </c>
      <c r="R16" s="51">
        <f t="shared" si="32"/>
        <v>0.94700000000000006</v>
      </c>
      <c r="S16" s="48">
        <f t="shared" si="32"/>
        <v>616.66666666666663</v>
      </c>
      <c r="T16" s="49">
        <f t="shared" si="32"/>
        <v>17.100000000000001</v>
      </c>
      <c r="U16" s="50">
        <f t="shared" si="32"/>
        <v>3.4475806451612905E-2</v>
      </c>
      <c r="V16" s="51">
        <f t="shared" si="32"/>
        <v>0.95033333333333336</v>
      </c>
      <c r="Y16" s="28">
        <v>7</v>
      </c>
      <c r="Z16" s="48">
        <f t="shared" ref="Z16:AR16" si="33">AVERAGE(Z37,Z53,Z69)</f>
        <v>1100</v>
      </c>
      <c r="AA16" s="49">
        <f t="shared" si="33"/>
        <v>39.199999999999996</v>
      </c>
      <c r="AB16" s="50">
        <f t="shared" si="33"/>
        <v>7.9032258064516123E-2</v>
      </c>
      <c r="AC16" s="51">
        <f t="shared" si="33"/>
        <v>0.77533333333333332</v>
      </c>
      <c r="AD16" s="48">
        <f t="shared" si="33"/>
        <v>980</v>
      </c>
      <c r="AE16" s="49">
        <f t="shared" si="33"/>
        <v>28.033333333333331</v>
      </c>
      <c r="AF16" s="50">
        <f t="shared" si="33"/>
        <v>5.6518817204301075E-2</v>
      </c>
      <c r="AG16" s="51">
        <f t="shared" si="33"/>
        <v>0.85433333333333328</v>
      </c>
      <c r="AH16" s="48">
        <f t="shared" si="33"/>
        <v>855</v>
      </c>
      <c r="AI16" s="49">
        <f t="shared" si="33"/>
        <v>22.5</v>
      </c>
      <c r="AJ16" s="50">
        <f t="shared" si="33"/>
        <v>4.536290322580646E-2</v>
      </c>
      <c r="AK16" s="51">
        <f t="shared" ref="AK16" si="34">AVERAGE(AK37,AK53,AK69)</f>
        <v>0.91033333333333333</v>
      </c>
      <c r="AL16" s="48">
        <f t="shared" si="33"/>
        <v>745</v>
      </c>
      <c r="AM16" s="49">
        <f t="shared" si="33"/>
        <v>20.3</v>
      </c>
      <c r="AN16" s="50">
        <f t="shared" si="33"/>
        <v>4.0927419354838714E-2</v>
      </c>
      <c r="AO16" s="51">
        <f t="shared" ref="AO16" si="35">AVERAGE(AO37,AO53,AO69)</f>
        <v>0.93200000000000005</v>
      </c>
      <c r="AP16" s="48">
        <f t="shared" si="33"/>
        <v>616.66666666666663</v>
      </c>
      <c r="AQ16" s="49">
        <f t="shared" si="33"/>
        <v>19.266666666666666</v>
      </c>
      <c r="AR16" s="50">
        <f t="shared" si="33"/>
        <v>3.8844086021505374E-2</v>
      </c>
      <c r="AS16" s="51">
        <f t="shared" ref="AS16" si="36">AVERAGE(AS37,AS53,AS69)</f>
        <v>0.94066666666666665</v>
      </c>
    </row>
    <row r="17" spans="1:45" ht="16" thickBot="1" x14ac:dyDescent="0.25">
      <c r="C17" s="37"/>
      <c r="D17" s="28"/>
      <c r="E17" s="42"/>
      <c r="F17" s="28"/>
      <c r="G17" s="37"/>
      <c r="H17" s="28"/>
      <c r="I17" s="42"/>
      <c r="J17" s="28"/>
      <c r="K17" s="28"/>
      <c r="L17" s="28"/>
      <c r="M17" s="42"/>
      <c r="N17" s="28"/>
      <c r="O17" s="28"/>
      <c r="P17" s="28"/>
      <c r="Q17" s="42"/>
      <c r="R17" s="28"/>
      <c r="S17" s="37"/>
      <c r="T17" s="28"/>
      <c r="U17" s="42"/>
      <c r="V17" s="28"/>
      <c r="Z17" s="37"/>
      <c r="AA17" s="28"/>
      <c r="AB17" s="42"/>
      <c r="AC17" s="28"/>
      <c r="AD17" s="37"/>
      <c r="AE17" s="28"/>
      <c r="AF17" s="42"/>
      <c r="AG17" s="28"/>
      <c r="AH17" s="28"/>
      <c r="AI17" s="28"/>
      <c r="AJ17" s="42"/>
      <c r="AK17" s="28"/>
      <c r="AL17" s="28"/>
      <c r="AM17" s="28"/>
      <c r="AN17" s="42"/>
      <c r="AO17" s="28"/>
      <c r="AP17" s="37"/>
      <c r="AQ17" s="28"/>
      <c r="AR17" s="42"/>
      <c r="AS17" s="28"/>
    </row>
    <row r="18" spans="1:45" ht="16" thickBot="1" x14ac:dyDescent="0.25">
      <c r="B18" s="1" t="s">
        <v>11</v>
      </c>
      <c r="C18" s="28"/>
      <c r="D18" s="56">
        <f t="shared" ref="D18:F18" si="37">AVERAGE(D39,D55,D71)</f>
        <v>23.465257679614115</v>
      </c>
      <c r="E18" s="59">
        <f t="shared" si="37"/>
        <v>4.7308987257286522E-2</v>
      </c>
      <c r="F18" s="57">
        <f t="shared" si="37"/>
        <v>0.92801142421934513</v>
      </c>
      <c r="G18" s="28"/>
      <c r="H18" s="56">
        <f t="shared" ref="H18:J18" si="38">AVERAGE(H39,H55,H71)</f>
        <v>18.963110539845758</v>
      </c>
      <c r="I18" s="59">
        <f t="shared" si="38"/>
        <v>3.8232077701301936E-2</v>
      </c>
      <c r="J18" s="57">
        <f t="shared" si="38"/>
        <v>0.9487265067123678</v>
      </c>
      <c r="K18" s="28"/>
      <c r="L18" s="56">
        <f t="shared" ref="L18:N18" si="39">AVERAGE(L39,L55,L71)</f>
        <v>17.649379693111328</v>
      </c>
      <c r="M18" s="59">
        <f t="shared" si="39"/>
        <v>3.5583426800627677E-2</v>
      </c>
      <c r="N18" s="57">
        <f t="shared" si="39"/>
        <v>0.95718870388507993</v>
      </c>
      <c r="O18" s="28"/>
      <c r="P18" s="56">
        <f t="shared" ref="P18:R18" si="40">AVERAGE(P39,P55,P71)</f>
        <v>16.836683799733482</v>
      </c>
      <c r="Q18" s="59">
        <f t="shared" si="40"/>
        <v>3.3944927015591701E-2</v>
      </c>
      <c r="R18" s="57">
        <f t="shared" si="40"/>
        <v>0.96202588996763738</v>
      </c>
      <c r="S18" s="28"/>
      <c r="T18" s="56">
        <f t="shared" ref="T18:V18" si="41">AVERAGE(T39,T55,T71)</f>
        <v>16.875531185743657</v>
      </c>
      <c r="U18" s="59">
        <f t="shared" si="41"/>
        <v>3.4023248358354158E-2</v>
      </c>
      <c r="V18" s="57">
        <f t="shared" si="41"/>
        <v>0.96197989490518621</v>
      </c>
      <c r="Y18" s="28" t="s">
        <v>11</v>
      </c>
      <c r="Z18" s="28"/>
      <c r="AA18" s="56">
        <f>AVERAGE(AA39,AA55,AA71)</f>
        <v>28.742739273927395</v>
      </c>
      <c r="AB18" s="59">
        <f>AVERAGE(AB39,AB55,AB71)</f>
        <v>5.7949071116789097E-2</v>
      </c>
      <c r="AC18" s="57">
        <f>AVERAGE(AC39,AC55,AC71)</f>
        <v>0.90182267072861133</v>
      </c>
      <c r="AD18" s="28"/>
      <c r="AE18" s="56">
        <f>AVERAGE(AE39,AE55,AE71)</f>
        <v>22.402027992002289</v>
      </c>
      <c r="AF18" s="59">
        <f>AVERAGE(AF39,AF55,AF71)</f>
        <v>4.5165379016133635E-2</v>
      </c>
      <c r="AG18" s="57">
        <f>AVERAGE(AG39,AG55,AG71)</f>
        <v>0.93535475578406169</v>
      </c>
      <c r="AH18" s="28"/>
      <c r="AI18" s="56">
        <f>AVERAGE(AI39,AI55,AI71)</f>
        <v>20.127554684949395</v>
      </c>
      <c r="AJ18" s="59">
        <f>AVERAGE(AJ39,AJ55,AJ71)</f>
        <v>4.05797473486883E-2</v>
      </c>
      <c r="AK18" s="57">
        <f>AVERAGE(AK39,AK55,AK71)</f>
        <v>0.9458519425399935</v>
      </c>
      <c r="AL18" s="28"/>
      <c r="AM18" s="56">
        <f>AVERAGE(AM39,AM55,AM71)</f>
        <v>18.770607272035029</v>
      </c>
      <c r="AN18" s="59">
        <f>AVERAGE(AN39,AN55,AN71)</f>
        <v>3.7843966274264167E-2</v>
      </c>
      <c r="AO18" s="57">
        <f>AVERAGE(AO39,AO55,AO71)</f>
        <v>0.95542509042451929</v>
      </c>
      <c r="AP18" s="28"/>
      <c r="AQ18" s="56">
        <f>AVERAGE(AQ39,AQ55,AQ71)</f>
        <v>18.691843728581219</v>
      </c>
      <c r="AR18" s="59">
        <f>AVERAGE(AR39,AR55,AR71)</f>
        <v>3.7685168807623425E-2</v>
      </c>
      <c r="AS18" s="57">
        <f>AVERAGE(AS39,AS55,AS71)</f>
        <v>0.95638793694311175</v>
      </c>
    </row>
    <row r="20" spans="1:45" x14ac:dyDescent="0.2">
      <c r="C20" s="24"/>
      <c r="D20" s="30"/>
      <c r="G20" s="24"/>
      <c r="H20" s="30"/>
      <c r="K20" s="24"/>
      <c r="L20" s="30"/>
      <c r="O20" s="24"/>
      <c r="P20" s="30"/>
      <c r="S20" s="24"/>
      <c r="T20" s="30"/>
    </row>
    <row r="21" spans="1:45" x14ac:dyDescent="0.2">
      <c r="C21" s="24"/>
      <c r="G21" s="24"/>
      <c r="K21" s="24"/>
      <c r="O21" s="24"/>
      <c r="S21" s="24"/>
    </row>
    <row r="22" spans="1:45" x14ac:dyDescent="0.2">
      <c r="C22" s="24"/>
      <c r="G22" s="24"/>
      <c r="K22" s="24"/>
      <c r="O22" s="24"/>
      <c r="S22" s="24"/>
    </row>
    <row r="23" spans="1:45" s="32" customFormat="1" ht="16" thickBot="1" x14ac:dyDescent="0.25">
      <c r="C23" s="35"/>
      <c r="G23" s="35"/>
      <c r="K23" s="35"/>
      <c r="O23" s="35"/>
      <c r="S23" s="35"/>
      <c r="X23" s="93"/>
    </row>
    <row r="24" spans="1:45" s="32" customFormat="1" ht="16" thickBot="1" x14ac:dyDescent="0.25">
      <c r="C24" s="35"/>
      <c r="G24" s="35"/>
      <c r="K24" s="35"/>
      <c r="O24" s="35"/>
      <c r="S24" s="35"/>
      <c r="X24" s="93"/>
    </row>
    <row r="25" spans="1:45" ht="15.75" customHeight="1" x14ac:dyDescent="0.2">
      <c r="C25" s="1"/>
      <c r="G25" s="1"/>
    </row>
    <row r="26" spans="1:45" ht="15.75" customHeight="1" x14ac:dyDescent="0.2"/>
    <row r="27" spans="1:45" ht="15.75" customHeight="1" x14ac:dyDescent="0.2"/>
    <row r="28" spans="1:45" ht="15.75" customHeight="1" x14ac:dyDescent="0.2">
      <c r="A28" s="1" t="s">
        <v>23</v>
      </c>
      <c r="D28" s="134">
        <v>0.1</v>
      </c>
      <c r="E28" s="133"/>
      <c r="F28" s="133"/>
      <c r="G28" s="2"/>
      <c r="H28" s="134">
        <v>0.2</v>
      </c>
      <c r="I28" s="133"/>
      <c r="J28" s="133"/>
      <c r="K28" s="2"/>
      <c r="L28" s="134">
        <v>0.3</v>
      </c>
      <c r="M28" s="133"/>
      <c r="N28" s="133"/>
      <c r="O28" s="2"/>
      <c r="P28" s="134">
        <v>0.4</v>
      </c>
      <c r="Q28" s="133"/>
      <c r="R28" s="133"/>
      <c r="S28" s="2"/>
      <c r="T28" s="134">
        <v>0.5</v>
      </c>
      <c r="U28" s="133"/>
      <c r="V28" s="133"/>
      <c r="AA28" s="134">
        <v>0.1</v>
      </c>
      <c r="AB28" s="133"/>
      <c r="AC28" s="133"/>
      <c r="AD28" s="2"/>
      <c r="AE28" s="134">
        <v>0.2</v>
      </c>
      <c r="AF28" s="133"/>
      <c r="AG28" s="133"/>
      <c r="AH28" s="2"/>
      <c r="AI28" s="134">
        <v>0.3</v>
      </c>
      <c r="AJ28" s="133"/>
      <c r="AK28" s="133"/>
      <c r="AL28" s="2"/>
      <c r="AM28" s="134">
        <v>0.4</v>
      </c>
      <c r="AN28" s="133"/>
      <c r="AO28" s="133"/>
      <c r="AP28" s="2"/>
      <c r="AQ28" s="134">
        <v>0.5</v>
      </c>
      <c r="AR28" s="133"/>
      <c r="AS28" s="133"/>
    </row>
    <row r="29" spans="1:45" ht="15.75" customHeight="1" thickBot="1" x14ac:dyDescent="0.25">
      <c r="B29" s="13" t="s">
        <v>8</v>
      </c>
      <c r="C29" s="22" t="s">
        <v>22</v>
      </c>
      <c r="D29" s="14" t="s">
        <v>7</v>
      </c>
      <c r="E29" s="13" t="s">
        <v>9</v>
      </c>
      <c r="F29" s="13" t="s">
        <v>10</v>
      </c>
      <c r="G29" s="22" t="s">
        <v>22</v>
      </c>
      <c r="H29" s="14" t="s">
        <v>7</v>
      </c>
      <c r="I29" s="13" t="s">
        <v>9</v>
      </c>
      <c r="J29" s="13" t="s">
        <v>10</v>
      </c>
      <c r="K29" s="22" t="s">
        <v>22</v>
      </c>
      <c r="L29" s="13" t="s">
        <v>7</v>
      </c>
      <c r="M29" s="13" t="s">
        <v>9</v>
      </c>
      <c r="N29" s="13" t="s">
        <v>10</v>
      </c>
      <c r="O29" s="22" t="s">
        <v>22</v>
      </c>
      <c r="P29" s="13" t="s">
        <v>7</v>
      </c>
      <c r="Q29" s="13" t="s">
        <v>9</v>
      </c>
      <c r="R29" s="13" t="s">
        <v>10</v>
      </c>
      <c r="S29" s="22" t="s">
        <v>22</v>
      </c>
      <c r="T29" s="13" t="s">
        <v>7</v>
      </c>
      <c r="U29" s="13" t="s">
        <v>9</v>
      </c>
      <c r="V29" s="13" t="s">
        <v>10</v>
      </c>
      <c r="Y29" s="13" t="s">
        <v>8</v>
      </c>
      <c r="Z29" s="22" t="s">
        <v>22</v>
      </c>
      <c r="AA29" s="14" t="s">
        <v>7</v>
      </c>
      <c r="AB29" s="13" t="s">
        <v>9</v>
      </c>
      <c r="AC29" s="13" t="s">
        <v>10</v>
      </c>
      <c r="AD29" s="22" t="s">
        <v>22</v>
      </c>
      <c r="AE29" s="14" t="s">
        <v>7</v>
      </c>
      <c r="AF29" s="13" t="s">
        <v>9</v>
      </c>
      <c r="AG29" s="13" t="s">
        <v>10</v>
      </c>
      <c r="AH29" s="22" t="s">
        <v>22</v>
      </c>
      <c r="AI29" s="13" t="s">
        <v>7</v>
      </c>
      <c r="AJ29" s="13" t="s">
        <v>9</v>
      </c>
      <c r="AK29" s="13" t="s">
        <v>10</v>
      </c>
      <c r="AL29" s="22" t="s">
        <v>22</v>
      </c>
      <c r="AM29" s="13" t="s">
        <v>7</v>
      </c>
      <c r="AN29" s="13" t="s">
        <v>9</v>
      </c>
      <c r="AO29" s="13" t="s">
        <v>10</v>
      </c>
      <c r="AP29" s="22" t="s">
        <v>22</v>
      </c>
      <c r="AQ29" s="13" t="s">
        <v>7</v>
      </c>
      <c r="AR29" s="13" t="s">
        <v>9</v>
      </c>
      <c r="AS29" s="13" t="s">
        <v>10</v>
      </c>
    </row>
    <row r="30" spans="1:45" ht="15.75" customHeight="1" x14ac:dyDescent="0.2">
      <c r="B30" s="1">
        <v>0</v>
      </c>
      <c r="C30" s="23">
        <v>1585</v>
      </c>
      <c r="D30" s="17">
        <v>20.8</v>
      </c>
      <c r="E30" s="16">
        <f t="shared" ref="E30:E37" si="42">D30/$A$5</f>
        <v>4.1935483870967745E-2</v>
      </c>
      <c r="F30" s="28">
        <v>0.96499999999999997</v>
      </c>
      <c r="G30" s="17">
        <v>1435</v>
      </c>
      <c r="H30" s="17">
        <v>18.100000000000001</v>
      </c>
      <c r="I30" s="16">
        <f t="shared" ref="I30:I37" si="43">H30/$A$5</f>
        <v>3.6491935483870967E-2</v>
      </c>
      <c r="J30" s="28">
        <v>0.97099999999999997</v>
      </c>
      <c r="K30" s="23">
        <v>1220</v>
      </c>
      <c r="L30" s="28">
        <v>17.2</v>
      </c>
      <c r="M30" s="16">
        <f t="shared" ref="M30:M37" si="44">L30/$A$5</f>
        <v>3.4677419354838708E-2</v>
      </c>
      <c r="N30" s="28">
        <v>0.97299999999999998</v>
      </c>
      <c r="O30" s="23">
        <v>1010</v>
      </c>
      <c r="P30" s="28">
        <v>16.8</v>
      </c>
      <c r="Q30" s="16">
        <f t="shared" ref="Q30:Q37" si="45">P30/$A$5</f>
        <v>3.3870967741935487E-2</v>
      </c>
      <c r="R30" s="28">
        <v>0.97399999999999998</v>
      </c>
      <c r="S30" s="23">
        <v>880</v>
      </c>
      <c r="T30" s="28">
        <v>18.2</v>
      </c>
      <c r="U30" s="16">
        <f t="shared" ref="U30:U37" si="46">T30/$A$5</f>
        <v>3.6693548387096771E-2</v>
      </c>
      <c r="V30" s="28">
        <v>0.96899999999999997</v>
      </c>
      <c r="Y30" s="28">
        <v>0</v>
      </c>
      <c r="Z30" s="23">
        <v>1585</v>
      </c>
      <c r="AA30" s="17">
        <v>23.8</v>
      </c>
      <c r="AB30" s="16">
        <f t="shared" ref="AB30:AB37" si="47">AA30/$A$5</f>
        <v>4.798387096774194E-2</v>
      </c>
      <c r="AC30" s="28">
        <v>0.95599999999999996</v>
      </c>
      <c r="AD30" s="17">
        <v>1435</v>
      </c>
      <c r="AE30" s="17">
        <v>21</v>
      </c>
      <c r="AF30" s="16">
        <f t="shared" ref="AF30:AF37" si="48">AE30/$A$5</f>
        <v>4.2338709677419352E-2</v>
      </c>
      <c r="AG30" s="28">
        <v>0.96399999999999997</v>
      </c>
      <c r="AH30" s="23">
        <v>1220</v>
      </c>
      <c r="AI30" s="28">
        <v>19</v>
      </c>
      <c r="AJ30" s="16">
        <f t="shared" ref="AJ30:AJ37" si="49">AI30/$A$5</f>
        <v>3.8306451612903226E-2</v>
      </c>
      <c r="AK30" s="28">
        <v>0.96899999999999997</v>
      </c>
      <c r="AL30" s="23">
        <v>1010</v>
      </c>
      <c r="AM30" s="28">
        <v>18.5</v>
      </c>
      <c r="AN30" s="16">
        <f t="shared" ref="AN30:AN37" si="50">AM30/$A$5</f>
        <v>3.7298387096774195E-2</v>
      </c>
      <c r="AO30" s="28">
        <v>0.97099999999999997</v>
      </c>
      <c r="AP30" s="23">
        <v>880</v>
      </c>
      <c r="AQ30" s="28">
        <v>18.899999999999999</v>
      </c>
      <c r="AR30" s="16">
        <f t="shared" ref="AR30:AR37" si="51">AQ30/$A$5</f>
        <v>3.8104838709677416E-2</v>
      </c>
      <c r="AS30" s="28">
        <v>0.97</v>
      </c>
    </row>
    <row r="31" spans="1:45" ht="15.75" customHeight="1" x14ac:dyDescent="0.2">
      <c r="B31" s="1">
        <v>1</v>
      </c>
      <c r="C31" s="23">
        <v>2995</v>
      </c>
      <c r="D31" s="17">
        <v>22.4</v>
      </c>
      <c r="E31" s="16">
        <f t="shared" si="42"/>
        <v>4.5161290322580643E-2</v>
      </c>
      <c r="F31" s="28">
        <v>0.96299999999999997</v>
      </c>
      <c r="G31" s="17">
        <v>2620</v>
      </c>
      <c r="H31" s="17">
        <v>18.600000000000001</v>
      </c>
      <c r="I31" s="16">
        <f t="shared" si="43"/>
        <v>3.7500000000000006E-2</v>
      </c>
      <c r="J31" s="28">
        <v>0.97299999999999998</v>
      </c>
      <c r="K31" s="23">
        <v>2330</v>
      </c>
      <c r="L31" s="28">
        <v>18.399999999999999</v>
      </c>
      <c r="M31" s="16">
        <f t="shared" si="44"/>
        <v>3.7096774193548385E-2</v>
      </c>
      <c r="N31" s="28">
        <v>0.97199999999999998</v>
      </c>
      <c r="O31" s="23">
        <v>1960</v>
      </c>
      <c r="P31" s="28">
        <v>16.8</v>
      </c>
      <c r="Q31" s="16">
        <f t="shared" si="45"/>
        <v>3.3870967741935487E-2</v>
      </c>
      <c r="R31" s="28">
        <v>0.97699999999999998</v>
      </c>
      <c r="S31" s="23">
        <v>1675</v>
      </c>
      <c r="T31" s="28">
        <v>17.100000000000001</v>
      </c>
      <c r="U31" s="16">
        <f t="shared" si="46"/>
        <v>3.4475806451612905E-2</v>
      </c>
      <c r="V31" s="28">
        <v>0.97799999999999998</v>
      </c>
      <c r="Y31" s="28">
        <v>1</v>
      </c>
      <c r="Z31" s="23">
        <v>2995</v>
      </c>
      <c r="AA31" s="17">
        <v>27.6</v>
      </c>
      <c r="AB31" s="16">
        <f t="shared" si="47"/>
        <v>5.5645161290322584E-2</v>
      </c>
      <c r="AC31" s="28">
        <v>0.94899999999999995</v>
      </c>
      <c r="AD31" s="17">
        <v>2620</v>
      </c>
      <c r="AE31" s="17">
        <v>22.1</v>
      </c>
      <c r="AF31" s="16">
        <f t="shared" si="48"/>
        <v>4.4556451612903232E-2</v>
      </c>
      <c r="AG31" s="28">
        <v>0.96399999999999997</v>
      </c>
      <c r="AH31" s="23">
        <v>2330</v>
      </c>
      <c r="AI31" s="28">
        <v>20.399999999999999</v>
      </c>
      <c r="AJ31" s="16">
        <f t="shared" si="49"/>
        <v>4.112903225806451E-2</v>
      </c>
      <c r="AK31" s="28">
        <v>0.96699999999999997</v>
      </c>
      <c r="AL31" s="23">
        <v>1960</v>
      </c>
      <c r="AM31" s="28">
        <v>18.2</v>
      </c>
      <c r="AN31" s="16">
        <f t="shared" si="50"/>
        <v>3.6693548387096771E-2</v>
      </c>
      <c r="AO31" s="28">
        <v>0.97399999999999998</v>
      </c>
      <c r="AP31" s="23">
        <v>1675</v>
      </c>
      <c r="AQ31" s="28">
        <v>18.3</v>
      </c>
      <c r="AR31" s="16">
        <f t="shared" si="51"/>
        <v>3.6895161290322581E-2</v>
      </c>
      <c r="AS31" s="28">
        <v>0.97499999999999998</v>
      </c>
    </row>
    <row r="32" spans="1:45" ht="15.75" customHeight="1" x14ac:dyDescent="0.2">
      <c r="B32" s="1">
        <v>2</v>
      </c>
      <c r="C32" s="23">
        <v>1830</v>
      </c>
      <c r="D32" s="17">
        <v>27.5</v>
      </c>
      <c r="E32" s="16">
        <f t="shared" si="42"/>
        <v>5.5443548387096774E-2</v>
      </c>
      <c r="F32" s="28">
        <v>0.95099999999999996</v>
      </c>
      <c r="G32" s="17">
        <v>1600</v>
      </c>
      <c r="H32" s="17">
        <v>21.5</v>
      </c>
      <c r="I32" s="16">
        <f t="shared" si="43"/>
        <v>4.334677419354839E-2</v>
      </c>
      <c r="J32" s="28">
        <v>0.97099999999999997</v>
      </c>
      <c r="K32" s="23">
        <v>1375</v>
      </c>
      <c r="L32" s="28">
        <v>18</v>
      </c>
      <c r="M32" s="16">
        <f t="shared" si="44"/>
        <v>3.6290322580645164E-2</v>
      </c>
      <c r="N32" s="28">
        <v>0.98</v>
      </c>
      <c r="O32" s="23">
        <v>1165</v>
      </c>
      <c r="P32" s="28">
        <v>18.100000000000001</v>
      </c>
      <c r="Q32" s="16">
        <f t="shared" si="45"/>
        <v>3.6491935483870967E-2</v>
      </c>
      <c r="R32" s="28">
        <v>0.98</v>
      </c>
      <c r="S32" s="23">
        <v>945</v>
      </c>
      <c r="T32" s="28">
        <v>18.100000000000001</v>
      </c>
      <c r="U32" s="16">
        <f t="shared" si="46"/>
        <v>3.6491935483870967E-2</v>
      </c>
      <c r="V32" s="28">
        <v>0.98</v>
      </c>
      <c r="Y32" s="28">
        <v>2</v>
      </c>
      <c r="Z32" s="23">
        <v>1830</v>
      </c>
      <c r="AA32" s="17">
        <v>29.4</v>
      </c>
      <c r="AB32" s="16">
        <f t="shared" si="47"/>
        <v>5.9274193548387095E-2</v>
      </c>
      <c r="AC32" s="28">
        <v>0.94799999999999995</v>
      </c>
      <c r="AD32" s="17">
        <v>1600</v>
      </c>
      <c r="AE32" s="17">
        <v>25.2</v>
      </c>
      <c r="AF32" s="16">
        <f t="shared" si="48"/>
        <v>5.0806451612903224E-2</v>
      </c>
      <c r="AG32" s="28">
        <v>0.96299999999999997</v>
      </c>
      <c r="AH32" s="23">
        <v>1375</v>
      </c>
      <c r="AI32" s="28">
        <v>21.2</v>
      </c>
      <c r="AJ32" s="16">
        <f t="shared" si="49"/>
        <v>4.2741935483870966E-2</v>
      </c>
      <c r="AK32" s="28">
        <v>0.97399999999999998</v>
      </c>
      <c r="AL32" s="23">
        <v>1165</v>
      </c>
      <c r="AM32" s="28">
        <v>21.5</v>
      </c>
      <c r="AN32" s="16">
        <f t="shared" si="50"/>
        <v>4.334677419354839E-2</v>
      </c>
      <c r="AO32" s="28">
        <v>0.97299999999999998</v>
      </c>
      <c r="AP32" s="23">
        <v>945</v>
      </c>
      <c r="AQ32" s="28">
        <v>21</v>
      </c>
      <c r="AR32" s="16">
        <f t="shared" si="51"/>
        <v>4.2338709677419352E-2</v>
      </c>
      <c r="AS32" s="28">
        <v>0.97499999999999998</v>
      </c>
    </row>
    <row r="33" spans="1:45" ht="15.75" customHeight="1" x14ac:dyDescent="0.2">
      <c r="B33" s="1">
        <v>3</v>
      </c>
      <c r="C33" s="23">
        <v>750</v>
      </c>
      <c r="D33" s="17">
        <v>27.4</v>
      </c>
      <c r="E33" s="16">
        <f t="shared" si="42"/>
        <v>5.5241935483870963E-2</v>
      </c>
      <c r="F33" s="28">
        <v>0.95899999999999996</v>
      </c>
      <c r="G33" s="17">
        <v>665</v>
      </c>
      <c r="H33" s="17">
        <v>24.8</v>
      </c>
      <c r="I33" s="16">
        <f t="shared" si="43"/>
        <v>0.05</v>
      </c>
      <c r="J33" s="28">
        <v>0.96499999999999997</v>
      </c>
      <c r="K33" s="23">
        <v>575</v>
      </c>
      <c r="L33" s="28">
        <v>18.7</v>
      </c>
      <c r="M33" s="16">
        <f t="shared" si="44"/>
        <v>3.7701612903225802E-2</v>
      </c>
      <c r="N33" s="28">
        <v>0.97399999999999998</v>
      </c>
      <c r="O33" s="23">
        <v>480</v>
      </c>
      <c r="P33" s="28">
        <v>17.600000000000001</v>
      </c>
      <c r="Q33" s="16">
        <f t="shared" si="45"/>
        <v>3.5483870967741936E-2</v>
      </c>
      <c r="R33" s="28">
        <v>0.97699999999999998</v>
      </c>
      <c r="S33" s="23">
        <v>395</v>
      </c>
      <c r="T33" s="28">
        <v>17.2</v>
      </c>
      <c r="U33" s="16">
        <f t="shared" si="46"/>
        <v>3.4677419354838708E-2</v>
      </c>
      <c r="V33" s="28">
        <v>0.97599999999999998</v>
      </c>
      <c r="Y33" s="28">
        <v>3</v>
      </c>
      <c r="Z33" s="23">
        <v>750</v>
      </c>
      <c r="AA33" s="17">
        <v>39.799999999999997</v>
      </c>
      <c r="AB33" s="16">
        <f t="shared" si="47"/>
        <v>8.0241935483870958E-2</v>
      </c>
      <c r="AC33" s="28">
        <v>0.91800000000000004</v>
      </c>
      <c r="AD33" s="17">
        <v>665</v>
      </c>
      <c r="AE33" s="17">
        <v>33.9</v>
      </c>
      <c r="AF33" s="16">
        <f t="shared" si="48"/>
        <v>6.8346774193548385E-2</v>
      </c>
      <c r="AG33" s="28">
        <v>0.93799999999999994</v>
      </c>
      <c r="AH33" s="23">
        <v>575</v>
      </c>
      <c r="AI33" s="28">
        <v>21.6</v>
      </c>
      <c r="AJ33" s="16">
        <f t="shared" si="49"/>
        <v>4.3548387096774194E-2</v>
      </c>
      <c r="AK33" s="28">
        <v>0.96899999999999997</v>
      </c>
      <c r="AL33" s="23">
        <v>480</v>
      </c>
      <c r="AM33" s="28">
        <v>20.9</v>
      </c>
      <c r="AN33" s="16">
        <f t="shared" si="50"/>
        <v>4.2137096774193548E-2</v>
      </c>
      <c r="AO33" s="28">
        <v>0.97099999999999997</v>
      </c>
      <c r="AP33" s="23">
        <v>395</v>
      </c>
      <c r="AQ33" s="28">
        <v>28.8</v>
      </c>
      <c r="AR33" s="16">
        <f t="shared" si="51"/>
        <v>5.8064516129032261E-2</v>
      </c>
      <c r="AS33" s="28">
        <v>0.97399999999999998</v>
      </c>
    </row>
    <row r="34" spans="1:45" ht="15.75" customHeight="1" x14ac:dyDescent="0.2">
      <c r="B34" s="1">
        <v>4</v>
      </c>
      <c r="C34" s="23">
        <v>1330</v>
      </c>
      <c r="D34" s="17">
        <v>29</v>
      </c>
      <c r="E34" s="16">
        <f t="shared" si="42"/>
        <v>5.8467741935483868E-2</v>
      </c>
      <c r="F34" s="28">
        <v>0.93100000000000005</v>
      </c>
      <c r="G34" s="17">
        <v>1195</v>
      </c>
      <c r="H34" s="17">
        <v>22.6</v>
      </c>
      <c r="I34" s="16">
        <f t="shared" si="43"/>
        <v>4.5564516129032263E-2</v>
      </c>
      <c r="J34" s="28">
        <v>0.95399999999999996</v>
      </c>
      <c r="K34" s="23">
        <v>1045</v>
      </c>
      <c r="L34" s="28">
        <v>19.5</v>
      </c>
      <c r="M34" s="16">
        <f t="shared" si="44"/>
        <v>3.9314516129032258E-2</v>
      </c>
      <c r="N34" s="28">
        <v>0.96699999999999997</v>
      </c>
      <c r="O34" s="23">
        <v>910</v>
      </c>
      <c r="P34" s="28">
        <v>19.2</v>
      </c>
      <c r="Q34" s="16">
        <f t="shared" si="45"/>
        <v>3.870967741935484E-2</v>
      </c>
      <c r="R34" s="28">
        <v>0.96599999999999997</v>
      </c>
      <c r="S34" s="23">
        <v>725</v>
      </c>
      <c r="T34" s="28">
        <v>20.8</v>
      </c>
      <c r="U34" s="16">
        <f t="shared" si="46"/>
        <v>4.1935483870967745E-2</v>
      </c>
      <c r="V34" s="28">
        <v>0.96</v>
      </c>
      <c r="Y34" s="28">
        <v>4</v>
      </c>
      <c r="Z34" s="23">
        <v>1330</v>
      </c>
      <c r="AA34" s="17">
        <v>32.299999999999997</v>
      </c>
      <c r="AB34" s="16">
        <f t="shared" si="47"/>
        <v>6.5120967741935473E-2</v>
      </c>
      <c r="AC34" s="28">
        <v>0.91900000000000004</v>
      </c>
      <c r="AD34" s="17">
        <v>1195</v>
      </c>
      <c r="AE34" s="17">
        <v>24.9</v>
      </c>
      <c r="AF34" s="16">
        <f t="shared" si="48"/>
        <v>5.0201612903225806E-2</v>
      </c>
      <c r="AG34" s="28">
        <v>0.94399999999999995</v>
      </c>
      <c r="AH34" s="23">
        <v>1045</v>
      </c>
      <c r="AI34" s="28">
        <v>22.1</v>
      </c>
      <c r="AJ34" s="16">
        <f t="shared" si="49"/>
        <v>4.4556451612903232E-2</v>
      </c>
      <c r="AK34" s="28">
        <v>0.95699999999999996</v>
      </c>
      <c r="AL34" s="23">
        <v>910</v>
      </c>
      <c r="AM34" s="28">
        <v>21.4</v>
      </c>
      <c r="AN34" s="16">
        <f t="shared" si="50"/>
        <v>4.314516129032258E-2</v>
      </c>
      <c r="AO34" s="28">
        <v>0.95799999999999996</v>
      </c>
      <c r="AP34" s="23">
        <v>725</v>
      </c>
      <c r="AQ34" s="28">
        <v>23.8</v>
      </c>
      <c r="AR34" s="16">
        <f t="shared" si="51"/>
        <v>4.798387096774194E-2</v>
      </c>
      <c r="AS34" s="28">
        <v>0.94699999999999995</v>
      </c>
    </row>
    <row r="35" spans="1:45" ht="15.75" customHeight="1" x14ac:dyDescent="0.2">
      <c r="B35" s="1">
        <v>5</v>
      </c>
      <c r="C35" s="23">
        <v>2860</v>
      </c>
      <c r="D35" s="17">
        <v>17.399999999999999</v>
      </c>
      <c r="E35" s="16">
        <f t="shared" si="42"/>
        <v>3.5080645161290322E-2</v>
      </c>
      <c r="F35" s="28">
        <v>0.95899999999999996</v>
      </c>
      <c r="G35" s="17">
        <v>2585</v>
      </c>
      <c r="H35" s="17">
        <v>16.5</v>
      </c>
      <c r="I35" s="16">
        <f t="shared" si="43"/>
        <v>3.3266129032258063E-2</v>
      </c>
      <c r="J35" s="28">
        <v>0.96399999999999997</v>
      </c>
      <c r="K35" s="23">
        <v>2285</v>
      </c>
      <c r="L35" s="28">
        <v>16.399999999999999</v>
      </c>
      <c r="M35" s="16">
        <f t="shared" si="44"/>
        <v>3.3064516129032252E-2</v>
      </c>
      <c r="N35" s="28">
        <v>0.96299999999999997</v>
      </c>
      <c r="O35" s="23">
        <v>2045</v>
      </c>
      <c r="P35" s="28">
        <v>16</v>
      </c>
      <c r="Q35" s="16">
        <f t="shared" si="45"/>
        <v>3.2258064516129031E-2</v>
      </c>
      <c r="R35" s="28">
        <v>0.96699999999999997</v>
      </c>
      <c r="S35" s="23">
        <v>1715</v>
      </c>
      <c r="T35" s="28">
        <v>15.2</v>
      </c>
      <c r="U35" s="16">
        <f t="shared" si="46"/>
        <v>3.0645161290322579E-2</v>
      </c>
      <c r="V35" s="28">
        <v>0.97</v>
      </c>
      <c r="Y35" s="28">
        <v>5</v>
      </c>
      <c r="Z35" s="23">
        <v>2860</v>
      </c>
      <c r="AA35" s="17">
        <v>22.4</v>
      </c>
      <c r="AB35" s="16">
        <f t="shared" si="47"/>
        <v>4.5161290322580643E-2</v>
      </c>
      <c r="AC35" s="28">
        <v>0.94</v>
      </c>
      <c r="AD35" s="17">
        <v>2585</v>
      </c>
      <c r="AE35" s="17">
        <v>18.399999999999999</v>
      </c>
      <c r="AF35" s="16">
        <f t="shared" si="48"/>
        <v>3.7096774193548385E-2</v>
      </c>
      <c r="AG35" s="28">
        <v>0.95499999999999996</v>
      </c>
      <c r="AH35" s="23">
        <v>2285</v>
      </c>
      <c r="AI35" s="28">
        <v>17.8</v>
      </c>
      <c r="AJ35" s="16">
        <f t="shared" si="49"/>
        <v>3.588709677419355E-2</v>
      </c>
      <c r="AK35" s="28">
        <v>0.95699999999999996</v>
      </c>
      <c r="AL35" s="23">
        <v>2045</v>
      </c>
      <c r="AM35" s="28">
        <v>16.3</v>
      </c>
      <c r="AN35" s="16">
        <f t="shared" si="50"/>
        <v>3.2862903225806456E-2</v>
      </c>
      <c r="AO35" s="28">
        <v>0.96299999999999997</v>
      </c>
      <c r="AP35" s="23">
        <v>1715</v>
      </c>
      <c r="AQ35" s="28">
        <v>14.7</v>
      </c>
      <c r="AR35" s="16">
        <f t="shared" si="51"/>
        <v>2.9637096774193548E-2</v>
      </c>
      <c r="AS35" s="28">
        <v>0.97099999999999997</v>
      </c>
    </row>
    <row r="36" spans="1:45" ht="15.75" customHeight="1" x14ac:dyDescent="0.2">
      <c r="B36" s="1">
        <v>6</v>
      </c>
      <c r="C36" s="23">
        <v>1120</v>
      </c>
      <c r="D36" s="17">
        <v>25.3</v>
      </c>
      <c r="E36" s="16">
        <f t="shared" si="42"/>
        <v>5.1008064516129034E-2</v>
      </c>
      <c r="F36" s="28">
        <v>0.93300000000000005</v>
      </c>
      <c r="G36" s="17">
        <v>1005</v>
      </c>
      <c r="H36" s="17">
        <v>23.4</v>
      </c>
      <c r="I36" s="16">
        <f t="shared" si="43"/>
        <v>4.7177419354838705E-2</v>
      </c>
      <c r="J36" s="28">
        <v>0.93700000000000006</v>
      </c>
      <c r="K36" s="23">
        <v>885</v>
      </c>
      <c r="L36" s="28">
        <v>23.7</v>
      </c>
      <c r="M36" s="16">
        <f t="shared" si="44"/>
        <v>4.778225806451613E-2</v>
      </c>
      <c r="N36" s="28">
        <v>0.94699999999999995</v>
      </c>
      <c r="O36" s="23">
        <v>760</v>
      </c>
      <c r="P36" s="28">
        <v>20.2</v>
      </c>
      <c r="Q36" s="16">
        <f t="shared" si="45"/>
        <v>4.0725806451612903E-2</v>
      </c>
      <c r="R36" s="28">
        <v>0.95599999999999996</v>
      </c>
      <c r="S36" s="23">
        <v>605</v>
      </c>
      <c r="T36" s="28">
        <v>18.600000000000001</v>
      </c>
      <c r="U36" s="16">
        <f t="shared" si="46"/>
        <v>3.7500000000000006E-2</v>
      </c>
      <c r="V36" s="28">
        <v>0.96199999999999997</v>
      </c>
      <c r="Y36" s="28">
        <v>6</v>
      </c>
      <c r="Z36" s="23">
        <v>1120</v>
      </c>
      <c r="AA36" s="17">
        <v>28.8</v>
      </c>
      <c r="AB36" s="16">
        <f t="shared" si="47"/>
        <v>5.8064516129032261E-2</v>
      </c>
      <c r="AC36" s="28">
        <v>0.91800000000000004</v>
      </c>
      <c r="AD36" s="17">
        <v>1005</v>
      </c>
      <c r="AE36" s="17">
        <v>24</v>
      </c>
      <c r="AF36" s="16">
        <f t="shared" si="48"/>
        <v>4.8387096774193547E-2</v>
      </c>
      <c r="AG36" s="28">
        <v>0.93400000000000005</v>
      </c>
      <c r="AH36" s="23">
        <v>885</v>
      </c>
      <c r="AI36" s="28">
        <v>23.7</v>
      </c>
      <c r="AJ36" s="16">
        <f t="shared" si="49"/>
        <v>4.778225806451613E-2</v>
      </c>
      <c r="AK36" s="28">
        <v>0.94499999999999995</v>
      </c>
      <c r="AL36" s="23">
        <v>760</v>
      </c>
      <c r="AM36" s="28">
        <v>20.9</v>
      </c>
      <c r="AN36" s="16">
        <f t="shared" si="50"/>
        <v>4.2137096774193548E-2</v>
      </c>
      <c r="AO36" s="28">
        <v>0.95399999999999996</v>
      </c>
      <c r="AP36" s="23">
        <v>605</v>
      </c>
      <c r="AQ36" s="28">
        <v>19.3</v>
      </c>
      <c r="AR36" s="16">
        <f t="shared" si="51"/>
        <v>3.8911290322580644E-2</v>
      </c>
      <c r="AS36" s="28">
        <v>0.96</v>
      </c>
    </row>
    <row r="37" spans="1:45" ht="15.75" customHeight="1" x14ac:dyDescent="0.2">
      <c r="B37" s="1">
        <v>7</v>
      </c>
      <c r="C37" s="23">
        <v>660</v>
      </c>
      <c r="D37" s="17">
        <v>22.5</v>
      </c>
      <c r="E37" s="16">
        <f t="shared" si="42"/>
        <v>4.5362903225806453E-2</v>
      </c>
      <c r="F37" s="28">
        <v>0.84799999999999998</v>
      </c>
      <c r="G37" s="17">
        <v>565</v>
      </c>
      <c r="H37" s="17">
        <v>16.8</v>
      </c>
      <c r="I37" s="16">
        <f t="shared" si="43"/>
        <v>3.3870967741935487E-2</v>
      </c>
      <c r="J37" s="28">
        <v>0.90900000000000003</v>
      </c>
      <c r="K37" s="23">
        <v>495</v>
      </c>
      <c r="L37" s="28">
        <v>14.7</v>
      </c>
      <c r="M37" s="16">
        <f t="shared" si="44"/>
        <v>2.9637096774193548E-2</v>
      </c>
      <c r="N37" s="28">
        <v>0.92600000000000005</v>
      </c>
      <c r="O37" s="23">
        <v>425</v>
      </c>
      <c r="P37" s="28">
        <v>15.4</v>
      </c>
      <c r="Q37" s="16">
        <f t="shared" si="45"/>
        <v>3.1048387096774193E-2</v>
      </c>
      <c r="R37" s="28">
        <v>0.92800000000000005</v>
      </c>
      <c r="S37" s="23">
        <v>355</v>
      </c>
      <c r="T37" s="28">
        <v>13.1</v>
      </c>
      <c r="U37" s="16">
        <f t="shared" si="46"/>
        <v>2.6411290322580643E-2</v>
      </c>
      <c r="V37" s="28">
        <v>0.94599999999999995</v>
      </c>
      <c r="Y37" s="28">
        <v>7</v>
      </c>
      <c r="Z37" s="23">
        <v>660</v>
      </c>
      <c r="AA37" s="17">
        <v>30</v>
      </c>
      <c r="AB37" s="16">
        <f t="shared" si="47"/>
        <v>6.0483870967741937E-2</v>
      </c>
      <c r="AC37" s="28">
        <v>0.73299999999999998</v>
      </c>
      <c r="AD37" s="17">
        <v>565</v>
      </c>
      <c r="AE37" s="17">
        <v>21.7</v>
      </c>
      <c r="AF37" s="16">
        <f t="shared" si="48"/>
        <v>4.3749999999999997E-2</v>
      </c>
      <c r="AG37" s="28">
        <v>0.83899999999999997</v>
      </c>
      <c r="AH37" s="23">
        <v>495</v>
      </c>
      <c r="AI37" s="28">
        <v>20.3</v>
      </c>
      <c r="AJ37" s="16">
        <f t="shared" si="49"/>
        <v>4.0927419354838714E-2</v>
      </c>
      <c r="AK37" s="28">
        <v>0.86199999999999999</v>
      </c>
      <c r="AL37" s="23">
        <v>425</v>
      </c>
      <c r="AM37" s="28">
        <v>18.2</v>
      </c>
      <c r="AN37" s="16">
        <f t="shared" si="50"/>
        <v>3.6693548387096771E-2</v>
      </c>
      <c r="AO37" s="28">
        <v>0.90100000000000002</v>
      </c>
      <c r="AP37" s="23">
        <v>355</v>
      </c>
      <c r="AQ37" s="28">
        <v>15.1</v>
      </c>
      <c r="AR37" s="16">
        <f t="shared" si="51"/>
        <v>3.0443548387096772E-2</v>
      </c>
      <c r="AS37" s="28">
        <v>0.93400000000000005</v>
      </c>
    </row>
    <row r="38" spans="1:45" ht="15.75" customHeight="1" x14ac:dyDescent="0.2">
      <c r="C38" s="23"/>
      <c r="D38" s="17"/>
      <c r="G38" s="17"/>
      <c r="H38" s="17"/>
      <c r="K38" s="23"/>
      <c r="O38" s="23"/>
      <c r="S38" s="23"/>
      <c r="Z38" s="23"/>
      <c r="AA38" s="17"/>
      <c r="AD38" s="17"/>
      <c r="AE38" s="17"/>
      <c r="AH38" s="23"/>
      <c r="AL38" s="23"/>
      <c r="AP38" s="23"/>
    </row>
    <row r="39" spans="1:45" ht="15.75" customHeight="1" x14ac:dyDescent="0.2">
      <c r="B39" s="1" t="s">
        <v>11</v>
      </c>
      <c r="C39" s="23"/>
      <c r="D39" s="7">
        <f>SUMPRODUCT(C30:C37,D30:D37)/SUM(C30:C37)</f>
        <v>23.035110434120334</v>
      </c>
      <c r="E39" s="20">
        <f>SUMPRODUCT(C30:C37,E30:E37)/SUM(C30:C37)</f>
        <v>4.6441754907500681E-2</v>
      </c>
      <c r="F39" s="20">
        <f>SUMPRODUCT(C30:C37,F30:F37)/SUM(C30:C37)</f>
        <v>0.94888804265041904</v>
      </c>
      <c r="G39" s="17"/>
      <c r="H39" s="7">
        <f>SUMPRODUCT(G30:G37,H30:H37)/SUM(G30:G37)</f>
        <v>19.560068551842331</v>
      </c>
      <c r="I39" s="20">
        <f>SUMPRODUCT(G30:G37,I30:I37)/SUM(G30:G37)</f>
        <v>3.9435622080327276E-2</v>
      </c>
      <c r="J39" s="20">
        <f>SUMPRODUCT(G30:G37,J30:J37)/SUM(G30:G37)</f>
        <v>0.96188603256212502</v>
      </c>
      <c r="K39" s="23"/>
      <c r="L39" s="7">
        <f>SUMPRODUCT(K30:K37,L30:L37)/SUM(K30:K37)</f>
        <v>18.164642507345739</v>
      </c>
      <c r="M39" s="20">
        <f>SUMPRODUCT(K30:K37,M30:M37)/SUM(K30:K37)</f>
        <v>3.6622263119648668E-2</v>
      </c>
      <c r="N39" s="20">
        <f>SUMPRODUCT(K30:K37,N30:N37)/SUM(K30:K37)</f>
        <v>0.9663863858961802</v>
      </c>
      <c r="O39" s="23"/>
      <c r="P39" s="7">
        <f>SUMPRODUCT(O30:O37,P30:P37)/SUM(O30:O37)</f>
        <v>17.306624785836664</v>
      </c>
      <c r="Q39" s="20">
        <f>SUMPRODUCT(O30:O37,Q30:Q37)/SUM(O30:O37)</f>
        <v>3.4892388681122308E-2</v>
      </c>
      <c r="R39" s="20">
        <f>SUMPRODUCT(O30:O37,R30:R37)/SUM(O30:O37)</f>
        <v>0.96937235865219851</v>
      </c>
      <c r="S39" s="23"/>
      <c r="T39" s="7">
        <f>SUMPRODUCT(S30:S37,T30:T37)/SUM(S30:S37)</f>
        <v>17.2184372858122</v>
      </c>
      <c r="U39" s="20">
        <f>SUMPRODUCT(S30:S37,U30:U37)/SUM(S30:S37)</f>
        <v>3.4714591302040729E-2</v>
      </c>
      <c r="V39" s="20">
        <f>SUMPRODUCT(S30:S37,V30:V37)/SUM(S30:S37)</f>
        <v>0.97051130911583283</v>
      </c>
      <c r="Y39" s="28" t="s">
        <v>11</v>
      </c>
      <c r="Z39" s="23"/>
      <c r="AA39" s="7">
        <f>SUMPRODUCT(Z30:Z37,AA30:AA37)/SUM(Z30:Z37)</f>
        <v>27.655445544554457</v>
      </c>
      <c r="AB39" s="20">
        <f>SUMPRODUCT(Z30:Z37,AB30:AB37)/SUM(Z30:Z37)</f>
        <v>5.5756946662408172E-2</v>
      </c>
      <c r="AC39" s="20">
        <f>SUMPRODUCT(Z30:Z37,AC30:AC37)/SUM(Z30:Z37)</f>
        <v>0.92943373952779895</v>
      </c>
      <c r="AD39" s="17"/>
      <c r="AE39" s="7">
        <f>SUMPRODUCT(AD30:AD37,AE30:AE37)/SUM(AD30:AD37)</f>
        <v>22.6735646958012</v>
      </c>
      <c r="AF39" s="20">
        <f>SUMPRODUCT(AD30:AD37,AF30:AF37)/SUM(AD30:AD37)</f>
        <v>4.571283204798629E-2</v>
      </c>
      <c r="AG39" s="20">
        <f>SUMPRODUCT(AD30:AD37,AG30:AG37)/SUM(AD30:AD37)</f>
        <v>0.94970437017994858</v>
      </c>
      <c r="AH39" s="23"/>
      <c r="AI39" s="7">
        <f>SUMPRODUCT(AH30:AH37,AI30:AI37)/SUM(AH30:AH37)</f>
        <v>20.281341821743389</v>
      </c>
      <c r="AJ39" s="20">
        <f>SUMPRODUCT(AH30:AH37,AJ30:AJ37)/SUM(AH30:AH37)</f>
        <v>4.0889802059966507E-2</v>
      </c>
      <c r="AK39" s="20">
        <f>SUMPRODUCT(AH30:AH37,AK30:AK37)/SUM(AH30:AH37)</f>
        <v>0.95803525954946145</v>
      </c>
      <c r="AL39" s="23"/>
      <c r="AM39" s="7">
        <f>SUMPRODUCT(AL30:AL37,AM30:AM37)/SUM(AL30:AL37)</f>
        <v>18.944945745288408</v>
      </c>
      <c r="AN39" s="20">
        <f>SUMPRODUCT(AL30:AL37,AN30:AN37)/SUM(AL30:AL37)</f>
        <v>3.8195455131629842E-2</v>
      </c>
      <c r="AO39" s="20">
        <f>SUMPRODUCT(AL30:AL37,AO30:AO37)/SUM(AL30:AL37)</f>
        <v>0.96384408909194741</v>
      </c>
      <c r="AP39" s="23"/>
      <c r="AQ39" s="7">
        <f>SUMPRODUCT(AP30:AP37,AQ30:AQ37)/SUM(AP30:AP37)</f>
        <v>18.918163125428375</v>
      </c>
      <c r="AR39" s="20">
        <f>SUMPRODUCT(AP30:AP37,AR30:AR37)/SUM(AP30:AP37)</f>
        <v>3.8141457914170104E-2</v>
      </c>
      <c r="AS39" s="20">
        <f>SUMPRODUCT(AP30:AP37,AS30:AS37)/SUM(AP30:AP37)</f>
        <v>0.96738039753255656</v>
      </c>
    </row>
    <row r="40" spans="1:45" ht="15.75" customHeight="1" x14ac:dyDescent="0.2">
      <c r="E40" s="8">
        <v>5.85</v>
      </c>
      <c r="I40" s="8">
        <v>4.53</v>
      </c>
      <c r="M40" s="8">
        <v>4.2300000000000004</v>
      </c>
      <c r="Q40" s="8">
        <v>4.18</v>
      </c>
      <c r="U40" s="8">
        <v>4.03</v>
      </c>
      <c r="AB40" s="8"/>
      <c r="AF40" s="8"/>
      <c r="AJ40" s="8"/>
      <c r="AN40" s="8"/>
      <c r="AR40" s="8"/>
    </row>
    <row r="41" spans="1:45" ht="15.75" customHeight="1" x14ac:dyDescent="0.2">
      <c r="C41" s="1">
        <f>SUM(C30:C37)</f>
        <v>13130</v>
      </c>
      <c r="G41" s="1">
        <f>SUM(G30:G37)</f>
        <v>11670</v>
      </c>
      <c r="K41" s="1">
        <f>SUM(K30:K37)</f>
        <v>10210</v>
      </c>
      <c r="O41" s="1">
        <f>SUM(O30:O37)</f>
        <v>8755</v>
      </c>
      <c r="S41" s="1">
        <f>SUM(S30:S37)</f>
        <v>7295</v>
      </c>
      <c r="Z41" s="1">
        <f>SUM(Z30:Z37)</f>
        <v>13130</v>
      </c>
      <c r="AD41" s="1">
        <f>SUM(AD30:AD37)</f>
        <v>11670</v>
      </c>
      <c r="AH41" s="1">
        <f>SUM(AH30:AH37)</f>
        <v>10210</v>
      </c>
      <c r="AL41" s="1">
        <f>SUM(AL30:AL37)</f>
        <v>8755</v>
      </c>
      <c r="AP41" s="1">
        <f>SUM(AP30:AP37)</f>
        <v>7295</v>
      </c>
    </row>
    <row r="42" spans="1:45" ht="15.75" customHeight="1" x14ac:dyDescent="0.2">
      <c r="C42" s="1"/>
      <c r="G42" s="1"/>
      <c r="K42" s="1"/>
      <c r="O42" s="1"/>
      <c r="S42" s="1"/>
      <c r="Z42" s="1"/>
      <c r="AD42" s="1"/>
      <c r="AH42" s="1"/>
      <c r="AL42" s="1"/>
      <c r="AP42" s="1"/>
    </row>
    <row r="43" spans="1:45" ht="15.75" customHeight="1" x14ac:dyDescent="0.2"/>
    <row r="44" spans="1:45" ht="15.75" customHeight="1" x14ac:dyDescent="0.2">
      <c r="A44" s="1" t="s">
        <v>24</v>
      </c>
      <c r="D44" s="134">
        <v>0.1</v>
      </c>
      <c r="E44" s="133"/>
      <c r="F44" s="133"/>
      <c r="G44" s="2"/>
      <c r="H44" s="134">
        <v>0.2</v>
      </c>
      <c r="I44" s="133"/>
      <c r="J44" s="133"/>
      <c r="K44" s="2"/>
      <c r="L44" s="134">
        <v>0.3</v>
      </c>
      <c r="M44" s="133"/>
      <c r="N44" s="133"/>
      <c r="O44" s="2"/>
      <c r="P44" s="134">
        <v>0.4</v>
      </c>
      <c r="Q44" s="133"/>
      <c r="R44" s="133"/>
      <c r="S44" s="2"/>
      <c r="T44" s="134">
        <v>0.5</v>
      </c>
      <c r="U44" s="133"/>
      <c r="V44" s="133"/>
      <c r="AA44" s="134">
        <v>0.1</v>
      </c>
      <c r="AB44" s="133"/>
      <c r="AC44" s="133"/>
      <c r="AD44" s="2"/>
      <c r="AE44" s="134">
        <v>0.2</v>
      </c>
      <c r="AF44" s="133"/>
      <c r="AG44" s="133"/>
      <c r="AH44" s="2"/>
      <c r="AI44" s="134">
        <v>0.3</v>
      </c>
      <c r="AJ44" s="133"/>
      <c r="AK44" s="133"/>
      <c r="AL44" s="2"/>
      <c r="AM44" s="134">
        <v>0.4</v>
      </c>
      <c r="AN44" s="133"/>
      <c r="AO44" s="133"/>
      <c r="AP44" s="2"/>
      <c r="AQ44" s="134">
        <v>0.5</v>
      </c>
      <c r="AR44" s="133"/>
      <c r="AS44" s="133"/>
    </row>
    <row r="45" spans="1:45" ht="15.75" customHeight="1" thickBot="1" x14ac:dyDescent="0.25">
      <c r="B45" s="13" t="s">
        <v>8</v>
      </c>
      <c r="C45" s="22" t="s">
        <v>22</v>
      </c>
      <c r="D45" s="14" t="s">
        <v>7</v>
      </c>
      <c r="E45" s="13" t="s">
        <v>9</v>
      </c>
      <c r="F45" s="13" t="s">
        <v>10</v>
      </c>
      <c r="G45" s="22" t="s">
        <v>22</v>
      </c>
      <c r="H45" s="14" t="s">
        <v>7</v>
      </c>
      <c r="I45" s="13" t="s">
        <v>9</v>
      </c>
      <c r="J45" s="13" t="s">
        <v>10</v>
      </c>
      <c r="K45" s="22" t="s">
        <v>22</v>
      </c>
      <c r="L45" s="13" t="s">
        <v>7</v>
      </c>
      <c r="M45" s="13" t="s">
        <v>9</v>
      </c>
      <c r="N45" s="13" t="s">
        <v>10</v>
      </c>
      <c r="O45" s="22" t="s">
        <v>22</v>
      </c>
      <c r="P45" s="13" t="s">
        <v>7</v>
      </c>
      <c r="Q45" s="13" t="s">
        <v>9</v>
      </c>
      <c r="R45" s="13" t="s">
        <v>10</v>
      </c>
      <c r="S45" s="22" t="s">
        <v>22</v>
      </c>
      <c r="T45" s="13" t="s">
        <v>7</v>
      </c>
      <c r="U45" s="13" t="s">
        <v>9</v>
      </c>
      <c r="V45" s="13" t="s">
        <v>10</v>
      </c>
      <c r="Y45" s="13" t="s">
        <v>8</v>
      </c>
      <c r="Z45" s="22" t="s">
        <v>22</v>
      </c>
      <c r="AA45" s="14" t="s">
        <v>7</v>
      </c>
      <c r="AB45" s="13" t="s">
        <v>9</v>
      </c>
      <c r="AC45" s="13" t="s">
        <v>10</v>
      </c>
      <c r="AD45" s="22" t="s">
        <v>22</v>
      </c>
      <c r="AE45" s="14" t="s">
        <v>7</v>
      </c>
      <c r="AF45" s="13" t="s">
        <v>9</v>
      </c>
      <c r="AG45" s="13" t="s">
        <v>10</v>
      </c>
      <c r="AH45" s="22" t="s">
        <v>22</v>
      </c>
      <c r="AI45" s="13" t="s">
        <v>7</v>
      </c>
      <c r="AJ45" s="13" t="s">
        <v>9</v>
      </c>
      <c r="AK45" s="13" t="s">
        <v>10</v>
      </c>
      <c r="AL45" s="22" t="s">
        <v>22</v>
      </c>
      <c r="AM45" s="13" t="s">
        <v>7</v>
      </c>
      <c r="AN45" s="13" t="s">
        <v>9</v>
      </c>
      <c r="AO45" s="13" t="s">
        <v>10</v>
      </c>
      <c r="AP45" s="22" t="s">
        <v>22</v>
      </c>
      <c r="AQ45" s="13" t="s">
        <v>7</v>
      </c>
      <c r="AR45" s="13" t="s">
        <v>9</v>
      </c>
      <c r="AS45" s="13" t="s">
        <v>10</v>
      </c>
    </row>
    <row r="46" spans="1:45" ht="15.75" customHeight="1" x14ac:dyDescent="0.2">
      <c r="B46" s="1">
        <v>0</v>
      </c>
      <c r="C46" s="23">
        <v>2285</v>
      </c>
      <c r="D46" s="17">
        <v>23.8</v>
      </c>
      <c r="E46" s="16">
        <f t="shared" ref="E46:E53" si="52">D46/$A$5</f>
        <v>4.798387096774194E-2</v>
      </c>
      <c r="F46" s="28">
        <v>0.96199999999999997</v>
      </c>
      <c r="G46" s="17">
        <v>2075</v>
      </c>
      <c r="H46" s="17">
        <v>19.600000000000001</v>
      </c>
      <c r="I46" s="16">
        <f t="shared" ref="I46:I53" si="53">H46/$A$5</f>
        <v>3.9516129032258068E-2</v>
      </c>
      <c r="J46" s="28">
        <v>0.97299999999999998</v>
      </c>
      <c r="K46" s="23">
        <v>1825</v>
      </c>
      <c r="L46" s="28">
        <v>18.7</v>
      </c>
      <c r="M46" s="16">
        <f t="shared" ref="M46:M53" si="54">L46/$A$5</f>
        <v>3.7701612903225802E-2</v>
      </c>
      <c r="N46" s="28">
        <v>0.97599999999999998</v>
      </c>
      <c r="O46" s="23">
        <v>1575</v>
      </c>
      <c r="P46" s="28">
        <v>19.399999999999999</v>
      </c>
      <c r="Q46" s="16">
        <f t="shared" ref="Q46:Q53" si="55">P46/$A$5</f>
        <v>3.9112903225806447E-2</v>
      </c>
      <c r="R46" s="28">
        <v>0.97299999999999998</v>
      </c>
      <c r="S46" s="23">
        <v>1315</v>
      </c>
      <c r="T46" s="28">
        <v>19</v>
      </c>
      <c r="U46" s="16">
        <f t="shared" ref="U46:U53" si="56">T46/$A$5</f>
        <v>3.8306451612903226E-2</v>
      </c>
      <c r="V46" s="28">
        <v>0.97399999999999998</v>
      </c>
      <c r="Y46" s="28">
        <v>0</v>
      </c>
      <c r="Z46" s="23">
        <v>2285</v>
      </c>
      <c r="AA46" s="17">
        <v>30.2</v>
      </c>
      <c r="AB46" s="16">
        <f t="shared" ref="AB46:AB53" si="57">AA46/$A$5</f>
        <v>6.0887096774193544E-2</v>
      </c>
      <c r="AC46" s="28">
        <v>0.94</v>
      </c>
      <c r="AD46" s="17">
        <v>2075</v>
      </c>
      <c r="AE46" s="17">
        <v>22.5</v>
      </c>
      <c r="AF46" s="16">
        <f t="shared" ref="AF46:AF53" si="58">AE46/$A$5</f>
        <v>4.5362903225806453E-2</v>
      </c>
      <c r="AG46" s="28">
        <v>0.96599999999999997</v>
      </c>
      <c r="AH46" s="23">
        <v>1825</v>
      </c>
      <c r="AI46" s="28">
        <v>20.5</v>
      </c>
      <c r="AJ46" s="16">
        <f t="shared" ref="AJ46:AJ53" si="59">AI46/$A$5</f>
        <v>4.1330645161290321E-2</v>
      </c>
      <c r="AK46" s="28">
        <v>0.97199999999999998</v>
      </c>
      <c r="AL46" s="23">
        <v>1575</v>
      </c>
      <c r="AM46" s="28">
        <v>20.8</v>
      </c>
      <c r="AN46" s="16">
        <f t="shared" ref="AN46:AN53" si="60">AM46/$A$5</f>
        <v>4.1935483870967745E-2</v>
      </c>
      <c r="AO46" s="28">
        <v>0.97</v>
      </c>
      <c r="AP46" s="23">
        <v>1315</v>
      </c>
      <c r="AQ46" s="28">
        <v>20.9</v>
      </c>
      <c r="AR46" s="16">
        <f t="shared" ref="AR46:AR53" si="61">AQ46/$A$5</f>
        <v>4.2137096774193548E-2</v>
      </c>
      <c r="AS46" s="28">
        <v>0.97</v>
      </c>
    </row>
    <row r="47" spans="1:45" ht="15.75" customHeight="1" x14ac:dyDescent="0.2">
      <c r="B47" s="1">
        <v>1</v>
      </c>
      <c r="C47" s="23">
        <v>3060</v>
      </c>
      <c r="D47" s="17">
        <v>21.2</v>
      </c>
      <c r="E47" s="16">
        <f t="shared" si="52"/>
        <v>4.2741935483870966E-2</v>
      </c>
      <c r="F47" s="28">
        <v>0.96699999999999997</v>
      </c>
      <c r="G47" s="17">
        <v>2725</v>
      </c>
      <c r="H47" s="17">
        <v>14.8</v>
      </c>
      <c r="I47" s="16">
        <f t="shared" si="53"/>
        <v>2.9838709677419355E-2</v>
      </c>
      <c r="J47" s="28">
        <v>0.98099999999999998</v>
      </c>
      <c r="K47" s="23">
        <v>2420</v>
      </c>
      <c r="L47" s="28">
        <v>15.9</v>
      </c>
      <c r="M47" s="16">
        <f t="shared" si="54"/>
        <v>3.2056451612903228E-2</v>
      </c>
      <c r="N47" s="28">
        <v>0.97799999999999998</v>
      </c>
      <c r="O47" s="23">
        <v>2075</v>
      </c>
      <c r="P47" s="28">
        <v>14.6</v>
      </c>
      <c r="Q47" s="16">
        <f t="shared" si="55"/>
        <v>2.9435483870967741E-2</v>
      </c>
      <c r="R47" s="28">
        <v>0.98099999999999998</v>
      </c>
      <c r="S47" s="23">
        <v>1755</v>
      </c>
      <c r="T47" s="28">
        <v>15.1</v>
      </c>
      <c r="U47" s="16">
        <f t="shared" si="56"/>
        <v>3.0443548387096772E-2</v>
      </c>
      <c r="V47" s="28">
        <v>0.98</v>
      </c>
      <c r="Y47" s="28">
        <v>1</v>
      </c>
      <c r="Z47" s="23">
        <v>3060</v>
      </c>
      <c r="AA47" s="17">
        <v>26.5</v>
      </c>
      <c r="AB47" s="16">
        <f t="shared" si="57"/>
        <v>5.3427419354838711E-2</v>
      </c>
      <c r="AC47" s="28">
        <v>0.95099999999999996</v>
      </c>
      <c r="AD47" s="17">
        <v>2725</v>
      </c>
      <c r="AE47" s="17">
        <v>19</v>
      </c>
      <c r="AF47" s="16">
        <f t="shared" si="58"/>
        <v>3.8306451612903226E-2</v>
      </c>
      <c r="AG47" s="28">
        <v>0.97199999999999998</v>
      </c>
      <c r="AH47" s="23">
        <v>2420</v>
      </c>
      <c r="AI47" s="28">
        <v>19</v>
      </c>
      <c r="AJ47" s="16">
        <f t="shared" si="59"/>
        <v>3.8306451612903226E-2</v>
      </c>
      <c r="AK47" s="28">
        <v>0.97099999999999997</v>
      </c>
      <c r="AL47" s="23">
        <v>2075</v>
      </c>
      <c r="AM47" s="28">
        <v>16.2</v>
      </c>
      <c r="AN47" s="16">
        <f t="shared" si="60"/>
        <v>3.2661290322580645E-2</v>
      </c>
      <c r="AO47" s="28">
        <v>0.97899999999999998</v>
      </c>
      <c r="AP47" s="23">
        <v>1755</v>
      </c>
      <c r="AQ47" s="28">
        <v>16.7</v>
      </c>
      <c r="AR47" s="16">
        <f t="shared" si="61"/>
        <v>3.3669354838709677E-2</v>
      </c>
      <c r="AS47" s="28">
        <v>0.97899999999999998</v>
      </c>
    </row>
    <row r="48" spans="1:45" ht="15.75" customHeight="1" x14ac:dyDescent="0.2">
      <c r="B48" s="1">
        <v>2</v>
      </c>
      <c r="C48" s="23">
        <v>1525</v>
      </c>
      <c r="D48" s="17">
        <v>18.3</v>
      </c>
      <c r="E48" s="16">
        <f t="shared" si="52"/>
        <v>3.6895161290322581E-2</v>
      </c>
      <c r="F48" s="28">
        <v>0.71599999999999997</v>
      </c>
      <c r="G48" s="17">
        <v>1350</v>
      </c>
      <c r="H48" s="17">
        <v>14.9</v>
      </c>
      <c r="I48" s="16">
        <f t="shared" si="53"/>
        <v>3.0040322580645162E-2</v>
      </c>
      <c r="J48" s="28">
        <v>0.80800000000000005</v>
      </c>
      <c r="K48" s="23">
        <v>1185</v>
      </c>
      <c r="L48" s="28">
        <v>12.9</v>
      </c>
      <c r="M48" s="16">
        <f t="shared" si="54"/>
        <v>2.6008064516129033E-2</v>
      </c>
      <c r="N48" s="28">
        <v>0.86499999999999999</v>
      </c>
      <c r="O48" s="23">
        <v>985</v>
      </c>
      <c r="P48" s="28">
        <v>10.9</v>
      </c>
      <c r="Q48" s="16">
        <f t="shared" si="55"/>
        <v>2.1975806451612904E-2</v>
      </c>
      <c r="R48" s="28">
        <v>0.9</v>
      </c>
      <c r="S48" s="23">
        <v>760</v>
      </c>
      <c r="T48" s="28">
        <v>11.9</v>
      </c>
      <c r="U48" s="16">
        <f t="shared" si="56"/>
        <v>2.399193548387097E-2</v>
      </c>
      <c r="V48" s="28">
        <v>0.9</v>
      </c>
      <c r="Y48" s="28">
        <v>2</v>
      </c>
      <c r="Z48" s="23">
        <v>1525</v>
      </c>
      <c r="AA48" s="17">
        <v>21.8</v>
      </c>
      <c r="AB48" s="16">
        <f t="shared" si="57"/>
        <v>4.3951612903225808E-2</v>
      </c>
      <c r="AC48" s="28">
        <v>0.69499999999999995</v>
      </c>
      <c r="AD48" s="17">
        <v>1350</v>
      </c>
      <c r="AE48" s="17">
        <v>16.399999999999999</v>
      </c>
      <c r="AF48" s="16">
        <f t="shared" si="58"/>
        <v>3.3064516129032252E-2</v>
      </c>
      <c r="AG48" s="28">
        <v>0.79100000000000004</v>
      </c>
      <c r="AH48" s="23">
        <v>1185</v>
      </c>
      <c r="AI48" s="28">
        <v>14.7</v>
      </c>
      <c r="AJ48" s="16">
        <f t="shared" si="59"/>
        <v>2.9637096774193548E-2</v>
      </c>
      <c r="AK48" s="28">
        <v>0.81499999999999995</v>
      </c>
      <c r="AL48" s="23">
        <v>985</v>
      </c>
      <c r="AM48" s="28">
        <v>11.4</v>
      </c>
      <c r="AN48" s="16">
        <f t="shared" si="60"/>
        <v>2.2983870967741935E-2</v>
      </c>
      <c r="AO48" s="28">
        <v>0.89700000000000002</v>
      </c>
      <c r="AP48" s="23">
        <v>760</v>
      </c>
      <c r="AQ48" s="28">
        <v>12.8</v>
      </c>
      <c r="AR48" s="16">
        <f t="shared" si="61"/>
        <v>2.5806451612903226E-2</v>
      </c>
      <c r="AS48" s="28">
        <v>0.88500000000000001</v>
      </c>
    </row>
    <row r="49" spans="1:45" ht="15.75" customHeight="1" x14ac:dyDescent="0.2">
      <c r="B49" s="1">
        <v>3</v>
      </c>
      <c r="C49" s="23">
        <v>1290</v>
      </c>
      <c r="D49" s="17">
        <v>24.8</v>
      </c>
      <c r="E49" s="16">
        <f t="shared" si="52"/>
        <v>0.05</v>
      </c>
      <c r="F49" s="28">
        <v>0.95499999999999996</v>
      </c>
      <c r="G49" s="17">
        <v>1135</v>
      </c>
      <c r="H49" s="17">
        <v>19.600000000000001</v>
      </c>
      <c r="I49" s="16">
        <f t="shared" si="53"/>
        <v>3.9516129032258068E-2</v>
      </c>
      <c r="J49" s="28">
        <v>0.96799999999999997</v>
      </c>
      <c r="K49" s="23">
        <v>1010</v>
      </c>
      <c r="L49" s="28">
        <v>18</v>
      </c>
      <c r="M49" s="16">
        <f t="shared" si="54"/>
        <v>3.6290322580645164E-2</v>
      </c>
      <c r="N49" s="28">
        <v>0.97199999999999998</v>
      </c>
      <c r="O49" s="23">
        <v>855</v>
      </c>
      <c r="P49" s="28">
        <v>17</v>
      </c>
      <c r="Q49" s="16">
        <f t="shared" si="55"/>
        <v>3.4274193548387094E-2</v>
      </c>
      <c r="R49" s="28">
        <v>0.97499999999999998</v>
      </c>
      <c r="S49" s="23">
        <v>725</v>
      </c>
      <c r="T49" s="28">
        <v>16.2</v>
      </c>
      <c r="U49" s="16">
        <f t="shared" si="56"/>
        <v>3.2661290322580645E-2</v>
      </c>
      <c r="V49" s="28">
        <v>0.97699999999999998</v>
      </c>
      <c r="Y49" s="28">
        <v>3</v>
      </c>
      <c r="Z49" s="23">
        <v>1290</v>
      </c>
      <c r="AA49" s="17">
        <v>30.7</v>
      </c>
      <c r="AB49" s="16">
        <f t="shared" si="57"/>
        <v>6.1895161290322583E-2</v>
      </c>
      <c r="AC49" s="28">
        <v>0.93799999999999994</v>
      </c>
      <c r="AD49" s="17">
        <v>1135</v>
      </c>
      <c r="AE49" s="17">
        <v>22.8</v>
      </c>
      <c r="AF49" s="16">
        <f t="shared" si="58"/>
        <v>4.596774193548387E-2</v>
      </c>
      <c r="AG49" s="28">
        <v>0.96</v>
      </c>
      <c r="AH49" s="23">
        <v>1010</v>
      </c>
      <c r="AI49" s="28">
        <v>21.1</v>
      </c>
      <c r="AJ49" s="16">
        <f t="shared" si="59"/>
        <v>4.2540322580645162E-2</v>
      </c>
      <c r="AK49" s="28">
        <v>0.96499999999999997</v>
      </c>
      <c r="AL49" s="23">
        <v>855</v>
      </c>
      <c r="AM49" s="28">
        <v>19.100000000000001</v>
      </c>
      <c r="AN49" s="16">
        <f t="shared" si="60"/>
        <v>3.8508064516129037E-2</v>
      </c>
      <c r="AO49" s="28">
        <v>0.97099999999999997</v>
      </c>
      <c r="AP49" s="23">
        <v>725</v>
      </c>
      <c r="AQ49" s="28">
        <v>18.3</v>
      </c>
      <c r="AR49" s="16">
        <f t="shared" si="61"/>
        <v>3.6895161290322581E-2</v>
      </c>
      <c r="AS49" s="28">
        <v>0.97399999999999998</v>
      </c>
    </row>
    <row r="50" spans="1:45" ht="15.75" customHeight="1" x14ac:dyDescent="0.2">
      <c r="B50" s="1">
        <v>4</v>
      </c>
      <c r="C50" s="23">
        <v>1215</v>
      </c>
      <c r="D50" s="17">
        <v>23</v>
      </c>
      <c r="E50" s="16">
        <f t="shared" si="52"/>
        <v>4.6370967741935484E-2</v>
      </c>
      <c r="F50" s="28">
        <v>0.96099999999999997</v>
      </c>
      <c r="G50" s="17">
        <v>1045</v>
      </c>
      <c r="H50" s="17">
        <v>22.1</v>
      </c>
      <c r="I50" s="16">
        <f t="shared" si="53"/>
        <v>4.4556451612903232E-2</v>
      </c>
      <c r="J50" s="28">
        <v>0.95799999999999996</v>
      </c>
      <c r="K50" s="23">
        <v>875</v>
      </c>
      <c r="L50" s="28">
        <v>18.7</v>
      </c>
      <c r="M50" s="16">
        <f t="shared" si="54"/>
        <v>3.7701612903225802E-2</v>
      </c>
      <c r="N50" s="28">
        <v>0.96599999999999997</v>
      </c>
      <c r="O50" s="23">
        <v>780</v>
      </c>
      <c r="P50" s="28">
        <v>17.8</v>
      </c>
      <c r="Q50" s="16">
        <f t="shared" si="55"/>
        <v>3.588709677419355E-2</v>
      </c>
      <c r="R50" s="28">
        <v>0.97</v>
      </c>
      <c r="S50" s="23">
        <v>655</v>
      </c>
      <c r="T50" s="28">
        <v>17.7</v>
      </c>
      <c r="U50" s="16">
        <f t="shared" si="56"/>
        <v>3.5685483870967739E-2</v>
      </c>
      <c r="V50" s="28">
        <v>0.96899999999999997</v>
      </c>
      <c r="Y50" s="28">
        <v>4</v>
      </c>
      <c r="Z50" s="23">
        <v>1215</v>
      </c>
      <c r="AA50" s="17">
        <v>30.7</v>
      </c>
      <c r="AB50" s="16">
        <f t="shared" si="57"/>
        <v>6.1895161290322583E-2</v>
      </c>
      <c r="AC50" s="28">
        <v>0.94099999999999995</v>
      </c>
      <c r="AD50" s="17">
        <v>1045</v>
      </c>
      <c r="AE50" s="17">
        <v>25.4</v>
      </c>
      <c r="AF50" s="16">
        <f t="shared" si="58"/>
        <v>5.1209677419354838E-2</v>
      </c>
      <c r="AG50" s="28">
        <v>0.95099999999999996</v>
      </c>
      <c r="AH50" s="23">
        <v>875</v>
      </c>
      <c r="AI50" s="28">
        <v>22.8</v>
      </c>
      <c r="AJ50" s="16">
        <f t="shared" si="59"/>
        <v>4.596774193548387E-2</v>
      </c>
      <c r="AK50" s="28">
        <v>0.95699999999999996</v>
      </c>
      <c r="AL50" s="23">
        <v>780</v>
      </c>
      <c r="AM50" s="28">
        <v>20.6</v>
      </c>
      <c r="AN50" s="16">
        <f t="shared" si="60"/>
        <v>4.1532258064516131E-2</v>
      </c>
      <c r="AO50" s="28">
        <v>0.96399999999999997</v>
      </c>
      <c r="AP50" s="23">
        <v>655</v>
      </c>
      <c r="AQ50" s="28">
        <v>21.2</v>
      </c>
      <c r="AR50" s="16">
        <f t="shared" si="61"/>
        <v>4.2741935483870966E-2</v>
      </c>
      <c r="AS50" s="28">
        <v>0.96199999999999997</v>
      </c>
    </row>
    <row r="51" spans="1:45" ht="15.75" customHeight="1" x14ac:dyDescent="0.2">
      <c r="B51" s="1">
        <v>5</v>
      </c>
      <c r="C51" s="23">
        <v>1365</v>
      </c>
      <c r="D51" s="17">
        <v>35.1</v>
      </c>
      <c r="E51" s="16">
        <f t="shared" si="52"/>
        <v>7.0766129032258068E-2</v>
      </c>
      <c r="F51" s="28">
        <v>0.86299999999999999</v>
      </c>
      <c r="G51" s="17">
        <v>1195</v>
      </c>
      <c r="H51" s="17">
        <v>20.5</v>
      </c>
      <c r="I51" s="16">
        <f t="shared" si="53"/>
        <v>4.1330645161290321E-2</v>
      </c>
      <c r="J51" s="28">
        <v>0.95199999999999996</v>
      </c>
      <c r="K51" s="23">
        <v>1050</v>
      </c>
      <c r="L51" s="28">
        <v>18.2</v>
      </c>
      <c r="M51" s="16">
        <f t="shared" si="54"/>
        <v>3.6693548387096771E-2</v>
      </c>
      <c r="N51" s="28">
        <v>0.96</v>
      </c>
      <c r="O51" s="23">
        <v>875</v>
      </c>
      <c r="P51" s="28">
        <v>17.899999999999999</v>
      </c>
      <c r="Q51" s="16">
        <f t="shared" si="55"/>
        <v>3.6088709677419353E-2</v>
      </c>
      <c r="R51" s="28">
        <v>0.95699999999999996</v>
      </c>
      <c r="S51" s="23">
        <v>725</v>
      </c>
      <c r="T51" s="28">
        <v>15</v>
      </c>
      <c r="U51" s="16">
        <f t="shared" si="56"/>
        <v>3.0241935483870969E-2</v>
      </c>
      <c r="V51" s="28">
        <v>0.96899999999999997</v>
      </c>
      <c r="Y51" s="28">
        <v>5</v>
      </c>
      <c r="Z51" s="23">
        <v>1365</v>
      </c>
      <c r="AA51" s="17">
        <v>36.1</v>
      </c>
      <c r="AB51" s="16">
        <f t="shared" si="57"/>
        <v>7.2782258064516131E-2</v>
      </c>
      <c r="AC51" s="28">
        <v>0.84599999999999997</v>
      </c>
      <c r="AD51" s="17">
        <v>1195</v>
      </c>
      <c r="AE51" s="17">
        <v>23.3</v>
      </c>
      <c r="AF51" s="16">
        <f t="shared" si="58"/>
        <v>4.6975806451612902E-2</v>
      </c>
      <c r="AG51" s="28">
        <v>0.94199999999999995</v>
      </c>
      <c r="AH51" s="23">
        <v>1050</v>
      </c>
      <c r="AI51" s="28">
        <v>21</v>
      </c>
      <c r="AJ51" s="16">
        <f t="shared" si="59"/>
        <v>4.2338709677419352E-2</v>
      </c>
      <c r="AK51" s="28">
        <v>0.94599999999999995</v>
      </c>
      <c r="AL51" s="23">
        <v>875</v>
      </c>
      <c r="AM51" s="28">
        <v>19.8</v>
      </c>
      <c r="AN51" s="16">
        <f t="shared" si="60"/>
        <v>3.9919354838709682E-2</v>
      </c>
      <c r="AO51" s="28">
        <v>0.94799999999999995</v>
      </c>
      <c r="AP51" s="23">
        <v>725</v>
      </c>
      <c r="AQ51" s="28">
        <v>16.3</v>
      </c>
      <c r="AR51" s="16">
        <f t="shared" si="61"/>
        <v>3.2862903225806456E-2</v>
      </c>
      <c r="AS51" s="28">
        <v>0.96399999999999997</v>
      </c>
    </row>
    <row r="52" spans="1:45" ht="15.75" customHeight="1" x14ac:dyDescent="0.2">
      <c r="B52" s="1">
        <v>6</v>
      </c>
      <c r="C52" s="23">
        <v>1360</v>
      </c>
      <c r="D52" s="17">
        <v>21.4</v>
      </c>
      <c r="E52" s="16">
        <f t="shared" si="52"/>
        <v>4.314516129032258E-2</v>
      </c>
      <c r="F52" s="28">
        <v>0.92500000000000004</v>
      </c>
      <c r="G52" s="17">
        <v>1195</v>
      </c>
      <c r="H52" s="17">
        <v>17</v>
      </c>
      <c r="I52" s="16">
        <f t="shared" si="53"/>
        <v>3.4274193548387094E-2</v>
      </c>
      <c r="J52" s="28">
        <v>0.95799999999999996</v>
      </c>
      <c r="K52" s="23">
        <v>1020</v>
      </c>
      <c r="L52" s="28">
        <v>15.1</v>
      </c>
      <c r="M52" s="16">
        <f t="shared" si="54"/>
        <v>3.0443548387096772E-2</v>
      </c>
      <c r="N52" s="28">
        <v>0.96</v>
      </c>
      <c r="O52" s="23">
        <v>890</v>
      </c>
      <c r="P52" s="28">
        <v>14.8</v>
      </c>
      <c r="Q52" s="16">
        <f t="shared" si="55"/>
        <v>2.9838709677419355E-2</v>
      </c>
      <c r="R52" s="28">
        <v>0.96199999999999997</v>
      </c>
      <c r="S52" s="23">
        <v>750</v>
      </c>
      <c r="T52" s="28">
        <v>15.5</v>
      </c>
      <c r="U52" s="16">
        <f t="shared" si="56"/>
        <v>3.125E-2</v>
      </c>
      <c r="V52" s="28">
        <v>0.96099999999999997</v>
      </c>
      <c r="Y52" s="28">
        <v>6</v>
      </c>
      <c r="Z52" s="23">
        <v>1360</v>
      </c>
      <c r="AA52" s="17">
        <v>27.7</v>
      </c>
      <c r="AB52" s="16">
        <f t="shared" si="57"/>
        <v>5.5846774193548387E-2</v>
      </c>
      <c r="AC52" s="28">
        <v>0.89400000000000002</v>
      </c>
      <c r="AD52" s="17">
        <v>1195</v>
      </c>
      <c r="AE52" s="17">
        <v>25</v>
      </c>
      <c r="AF52" s="16">
        <f t="shared" si="58"/>
        <v>5.040322580645161E-2</v>
      </c>
      <c r="AG52" s="28">
        <v>0.91200000000000003</v>
      </c>
      <c r="AH52" s="23">
        <v>1020</v>
      </c>
      <c r="AI52" s="28">
        <v>18.2</v>
      </c>
      <c r="AJ52" s="16">
        <f t="shared" si="59"/>
        <v>3.6693548387096771E-2</v>
      </c>
      <c r="AK52" s="28">
        <v>0.94499999999999995</v>
      </c>
      <c r="AL52" s="23">
        <v>890</v>
      </c>
      <c r="AM52" s="28">
        <v>17.399999999999999</v>
      </c>
      <c r="AN52" s="16">
        <f t="shared" si="60"/>
        <v>3.5080645161290322E-2</v>
      </c>
      <c r="AO52" s="28">
        <v>0.95399999999999996</v>
      </c>
      <c r="AP52" s="23">
        <v>750</v>
      </c>
      <c r="AQ52" s="28">
        <v>18.100000000000001</v>
      </c>
      <c r="AR52" s="16">
        <f t="shared" si="61"/>
        <v>3.6491935483870967E-2</v>
      </c>
      <c r="AS52" s="28">
        <v>0.95399999999999996</v>
      </c>
    </row>
    <row r="53" spans="1:45" ht="15.75" customHeight="1" x14ac:dyDescent="0.2">
      <c r="B53" s="1">
        <v>7</v>
      </c>
      <c r="C53" s="23">
        <v>1030</v>
      </c>
      <c r="D53" s="17">
        <v>39.9</v>
      </c>
      <c r="E53" s="16">
        <f t="shared" si="52"/>
        <v>8.0443548387096775E-2</v>
      </c>
      <c r="F53" s="28">
        <v>0.79700000000000004</v>
      </c>
      <c r="G53" s="17">
        <v>950</v>
      </c>
      <c r="H53" s="17">
        <v>34.1</v>
      </c>
      <c r="I53" s="16">
        <f t="shared" si="53"/>
        <v>6.8750000000000006E-2</v>
      </c>
      <c r="J53" s="28">
        <v>0.83199999999999996</v>
      </c>
      <c r="K53" s="23">
        <v>825</v>
      </c>
      <c r="L53" s="28">
        <v>24.7</v>
      </c>
      <c r="M53" s="16">
        <f t="shared" si="54"/>
        <v>4.9798387096774192E-2</v>
      </c>
      <c r="N53" s="28">
        <v>0.91900000000000004</v>
      </c>
      <c r="O53" s="23">
        <v>720</v>
      </c>
      <c r="P53" s="28">
        <v>20.6</v>
      </c>
      <c r="Q53" s="16">
        <f t="shared" si="55"/>
        <v>4.1532258064516131E-2</v>
      </c>
      <c r="R53" s="28">
        <v>0.93799999999999994</v>
      </c>
      <c r="S53" s="23">
        <v>610</v>
      </c>
      <c r="T53" s="28">
        <v>22.1</v>
      </c>
      <c r="U53" s="16">
        <f t="shared" si="56"/>
        <v>4.4556451612903232E-2</v>
      </c>
      <c r="V53" s="28">
        <v>0.92900000000000005</v>
      </c>
      <c r="Y53" s="28">
        <v>7</v>
      </c>
      <c r="Z53" s="23">
        <v>1030</v>
      </c>
      <c r="AA53" s="17">
        <v>50</v>
      </c>
      <c r="AB53" s="16">
        <f t="shared" si="57"/>
        <v>0.10080645161290322</v>
      </c>
      <c r="AC53" s="28">
        <v>0.68600000000000005</v>
      </c>
      <c r="AD53" s="17">
        <v>950</v>
      </c>
      <c r="AE53" s="17">
        <v>39.799999999999997</v>
      </c>
      <c r="AF53" s="16">
        <f t="shared" si="58"/>
        <v>8.0241935483870958E-2</v>
      </c>
      <c r="AG53" s="28">
        <v>0.76700000000000002</v>
      </c>
      <c r="AH53" s="23">
        <v>825</v>
      </c>
      <c r="AI53" s="28">
        <v>28</v>
      </c>
      <c r="AJ53" s="16">
        <f t="shared" si="59"/>
        <v>5.6451612903225805E-2</v>
      </c>
      <c r="AK53" s="28">
        <v>0.90100000000000002</v>
      </c>
      <c r="AL53" s="23">
        <v>720</v>
      </c>
      <c r="AM53" s="28">
        <v>23.5</v>
      </c>
      <c r="AN53" s="16">
        <f t="shared" si="60"/>
        <v>4.7379032258064516E-2</v>
      </c>
      <c r="AO53" s="28">
        <v>0.92500000000000004</v>
      </c>
      <c r="AP53" s="23">
        <v>610</v>
      </c>
      <c r="AQ53" s="28">
        <v>24.5</v>
      </c>
      <c r="AR53" s="16">
        <f t="shared" si="61"/>
        <v>4.9395161290322578E-2</v>
      </c>
      <c r="AS53" s="28">
        <v>0.91600000000000004</v>
      </c>
    </row>
    <row r="54" spans="1:45" ht="15.75" customHeight="1" x14ac:dyDescent="0.2">
      <c r="C54" s="23"/>
      <c r="D54" s="17"/>
      <c r="G54" s="17"/>
      <c r="H54" s="17"/>
      <c r="K54" s="23"/>
      <c r="O54" s="23"/>
      <c r="S54" s="23"/>
      <c r="Z54" s="23"/>
      <c r="AA54" s="17"/>
      <c r="AD54" s="17"/>
      <c r="AE54" s="17"/>
      <c r="AH54" s="23"/>
      <c r="AL54" s="23"/>
      <c r="AP54" s="23"/>
    </row>
    <row r="55" spans="1:45" ht="15.75" customHeight="1" x14ac:dyDescent="0.2">
      <c r="B55" s="1" t="s">
        <v>11</v>
      </c>
      <c r="C55" s="23"/>
      <c r="D55" s="7">
        <f>SUMPRODUCT(C46:C53,D46:D53)/SUM(C46:C53)</f>
        <v>24.768621477532367</v>
      </c>
      <c r="E55" s="20">
        <f>SUMPRODUCT(C46:C53,E46:E53)/SUM(C46:C53)</f>
        <v>4.9936736849863633E-2</v>
      </c>
      <c r="F55" s="20">
        <f>SUMPRODUCT(C46:C53,F46:F53)/SUM(C46:C53)</f>
        <v>0.90674485910129488</v>
      </c>
      <c r="G55" s="17"/>
      <c r="H55" s="7">
        <f>SUMPRODUCT(G46:G53,H46:H53)/SUM(G46:G53)</f>
        <v>19.165638389031706</v>
      </c>
      <c r="I55" s="20">
        <f>SUMPRODUCT(G46:G53,I46:I53)/SUM(G46:G53)</f>
        <v>3.8640399977886507E-2</v>
      </c>
      <c r="J55" s="20">
        <f>SUMPRODUCT(G46:G53,J46:J53)/SUM(G46:G53)</f>
        <v>0.93878663239074545</v>
      </c>
      <c r="K55" s="23"/>
      <c r="L55" s="7">
        <f>SUMPRODUCT(K46:K53,L46:L53)/SUM(K46:K53)</f>
        <v>17.36767874632713</v>
      </c>
      <c r="M55" s="20">
        <f>SUMPRODUCT(K46:K53,M46:M53)/SUM(K46:K53)</f>
        <v>3.5015481343401475E-2</v>
      </c>
      <c r="N55" s="20">
        <f>SUMPRODUCT(K46:K53,N46:N53)/SUM(K46:K53)</f>
        <v>0.95448873653281097</v>
      </c>
      <c r="O55" s="23"/>
      <c r="P55" s="7">
        <f>SUMPRODUCT(O46:O53,P46:P53)/SUM(O46:O53)</f>
        <v>16.410279840091377</v>
      </c>
      <c r="Q55" s="20">
        <f>SUMPRODUCT(O46:O53,Q46:Q53)/SUM(O46:O53)</f>
        <v>3.308524161308745E-2</v>
      </c>
      <c r="R55" s="20">
        <f>SUMPRODUCT(O46:O53,R46:R53)/SUM(O46:O53)</f>
        <v>0.96101541976013716</v>
      </c>
      <c r="S55" s="23"/>
      <c r="T55" s="7">
        <f>SUMPRODUCT(S46:S53,T46:T53)/SUM(S46:S53)</f>
        <v>16.428923920493489</v>
      </c>
      <c r="U55" s="20">
        <f>SUMPRODUCT(S46:S53,U46:U53)/SUM(S46:S53)</f>
        <v>3.312283048486591E-2</v>
      </c>
      <c r="V55" s="20">
        <f>SUMPRODUCT(S46:S53,V46:V53)/SUM(S46:S53)</f>
        <v>0.9619869773817683</v>
      </c>
      <c r="Y55" s="28" t="s">
        <v>11</v>
      </c>
      <c r="Z55" s="23"/>
      <c r="AA55" s="7">
        <f>SUMPRODUCT(Z46:Z53,AA46:AA53)/SUM(Z46:Z53)</f>
        <v>30.365118050266567</v>
      </c>
      <c r="AB55" s="20">
        <f>SUMPRODUCT(Z46:Z53,AB46:AB53)/SUM(Z46:Z53)</f>
        <v>6.1219996069085819E-2</v>
      </c>
      <c r="AC55" s="20">
        <f>SUMPRODUCT(Z46:Z53,AC46:AC53)/SUM(Z46:Z53)</f>
        <v>0.87954150799695352</v>
      </c>
      <c r="AD55" s="17"/>
      <c r="AE55" s="7">
        <f>SUMPRODUCT(AD46:AD53,AE46:AE53)/SUM(AD46:AD53)</f>
        <v>23.012167952013712</v>
      </c>
      <c r="AF55" s="20">
        <f>SUMPRODUCT(AD46:AD53,AF46:AF53)/SUM(AD46:AD53)</f>
        <v>4.6395499903253451E-2</v>
      </c>
      <c r="AG55" s="20">
        <f>SUMPRODUCT(AD46:AD53,AG46:AG53)/SUM(AD46:AD53)</f>
        <v>0.92104327335047131</v>
      </c>
      <c r="AH55" s="23"/>
      <c r="AI55" s="7">
        <f>SUMPRODUCT(AH46:AH53,AI46:AI53)/SUM(AH46:AH53)</f>
        <v>20.155435847208619</v>
      </c>
      <c r="AJ55" s="20">
        <f>SUMPRODUCT(AH46:AH53,AJ46:AJ53)/SUM(AH46:AH53)</f>
        <v>4.0635959369372213E-2</v>
      </c>
      <c r="AK55" s="20">
        <f>SUMPRODUCT(AH46:AH53,AK46:AK53)/SUM(AH46:AH53)</f>
        <v>0.94045494613124392</v>
      </c>
      <c r="AL55" s="23"/>
      <c r="AM55" s="7">
        <f>SUMPRODUCT(AL46:AL53,AM46:AM53)/SUM(AL46:AL53)</f>
        <v>18.244831524842947</v>
      </c>
      <c r="AN55" s="20">
        <f>SUMPRODUCT(AL46:AL53,AN46:AN53)/SUM(AL46:AL53)</f>
        <v>3.6783934525893042E-2</v>
      </c>
      <c r="AO55" s="20">
        <f>SUMPRODUCT(AL46:AL53,AO46:AO53)/SUM(AL46:AL53)</f>
        <v>0.95595716733295266</v>
      </c>
      <c r="AP55" s="23"/>
      <c r="AQ55" s="7">
        <f>SUMPRODUCT(AP46:AP53,AQ46:AQ53)/SUM(AP46:AP53)</f>
        <v>18.370253598355038</v>
      </c>
      <c r="AR55" s="20">
        <f>SUMPRODUCT(AP46:AP53,AR46:AR53)/SUM(AP46:AP53)</f>
        <v>3.7036801609586771E-2</v>
      </c>
      <c r="AS55" s="20">
        <f>SUMPRODUCT(AP46:AP53,AS46:AS53)/SUM(AP46:AP53)</f>
        <v>0.95623235092529124</v>
      </c>
    </row>
    <row r="56" spans="1:45" ht="15.75" customHeight="1" x14ac:dyDescent="0.2"/>
    <row r="57" spans="1:45" ht="15.75" customHeight="1" x14ac:dyDescent="0.2">
      <c r="C57" s="1">
        <f>SUM(C46:C53)</f>
        <v>13130</v>
      </c>
      <c r="G57" s="1">
        <f>SUM(G46:G53)</f>
        <v>11670</v>
      </c>
      <c r="K57" s="1">
        <f>SUM(K46:K53)</f>
        <v>10210</v>
      </c>
      <c r="O57" s="1">
        <f>SUM(O46:O53)</f>
        <v>8755</v>
      </c>
      <c r="S57" s="1">
        <f>SUM(S46:S53)</f>
        <v>7295</v>
      </c>
      <c r="Z57" s="1">
        <f>SUM(Z46:Z53)</f>
        <v>13130</v>
      </c>
      <c r="AD57" s="1">
        <f>SUM(AD46:AD53)</f>
        <v>11670</v>
      </c>
      <c r="AH57" s="1">
        <f>SUM(AH46:AH53)</f>
        <v>10210</v>
      </c>
      <c r="AL57" s="1">
        <f>SUM(AL46:AL53)</f>
        <v>8755</v>
      </c>
      <c r="AP57" s="1">
        <f>SUM(AP46:AP53)</f>
        <v>7295</v>
      </c>
    </row>
    <row r="58" spans="1:45" ht="15.75" customHeight="1" x14ac:dyDescent="0.2">
      <c r="C58" s="1"/>
      <c r="G58" s="1"/>
      <c r="K58" s="1"/>
      <c r="O58" s="1"/>
      <c r="S58" s="1"/>
      <c r="Z58" s="1"/>
      <c r="AD58" s="1"/>
      <c r="AH58" s="1"/>
      <c r="AL58" s="1"/>
      <c r="AP58" s="1"/>
    </row>
    <row r="59" spans="1:45" ht="15.75" customHeight="1" x14ac:dyDescent="0.2"/>
    <row r="60" spans="1:45" ht="15.75" customHeight="1" x14ac:dyDescent="0.2">
      <c r="A60" s="1" t="s">
        <v>25</v>
      </c>
      <c r="D60" s="134">
        <v>0.1</v>
      </c>
      <c r="E60" s="133"/>
      <c r="F60" s="133"/>
      <c r="G60" s="2"/>
      <c r="H60" s="134">
        <v>0.2</v>
      </c>
      <c r="I60" s="133"/>
      <c r="J60" s="133"/>
      <c r="K60" s="2"/>
      <c r="L60" s="134">
        <v>0.3</v>
      </c>
      <c r="M60" s="133"/>
      <c r="N60" s="133"/>
      <c r="O60" s="2"/>
      <c r="P60" s="134">
        <v>0.4</v>
      </c>
      <c r="Q60" s="133"/>
      <c r="R60" s="133"/>
      <c r="S60" s="2"/>
      <c r="T60" s="134">
        <v>0.5</v>
      </c>
      <c r="U60" s="133"/>
      <c r="V60" s="133"/>
      <c r="AA60" s="134">
        <v>0.1</v>
      </c>
      <c r="AB60" s="133"/>
      <c r="AC60" s="133"/>
      <c r="AD60" s="2"/>
      <c r="AE60" s="134">
        <v>0.2</v>
      </c>
      <c r="AF60" s="133"/>
      <c r="AG60" s="133"/>
      <c r="AH60" s="2"/>
      <c r="AI60" s="134">
        <v>0.3</v>
      </c>
      <c r="AJ60" s="133"/>
      <c r="AK60" s="133"/>
      <c r="AL60" s="2"/>
      <c r="AM60" s="134">
        <v>0.4</v>
      </c>
      <c r="AN60" s="133"/>
      <c r="AO60" s="133"/>
      <c r="AP60" s="2"/>
      <c r="AQ60" s="134">
        <v>0.5</v>
      </c>
      <c r="AR60" s="133"/>
      <c r="AS60" s="133"/>
    </row>
    <row r="61" spans="1:45" ht="15.75" customHeight="1" thickBot="1" x14ac:dyDescent="0.25">
      <c r="B61" s="13" t="s">
        <v>8</v>
      </c>
      <c r="C61" s="22" t="s">
        <v>22</v>
      </c>
      <c r="D61" s="14" t="s">
        <v>7</v>
      </c>
      <c r="E61" s="13" t="s">
        <v>9</v>
      </c>
      <c r="F61" s="13" t="s">
        <v>10</v>
      </c>
      <c r="G61" s="22" t="s">
        <v>22</v>
      </c>
      <c r="H61" s="14" t="s">
        <v>7</v>
      </c>
      <c r="I61" s="13" t="s">
        <v>9</v>
      </c>
      <c r="J61" s="13" t="s">
        <v>10</v>
      </c>
      <c r="K61" s="22" t="s">
        <v>22</v>
      </c>
      <c r="L61" s="13" t="s">
        <v>7</v>
      </c>
      <c r="M61" s="13" t="s">
        <v>9</v>
      </c>
      <c r="N61" s="13" t="s">
        <v>10</v>
      </c>
      <c r="O61" s="22" t="s">
        <v>22</v>
      </c>
      <c r="P61" s="13" t="s">
        <v>7</v>
      </c>
      <c r="Q61" s="13" t="s">
        <v>9</v>
      </c>
      <c r="R61" s="13" t="s">
        <v>10</v>
      </c>
      <c r="S61" s="22" t="s">
        <v>22</v>
      </c>
      <c r="T61" s="13" t="s">
        <v>7</v>
      </c>
      <c r="U61" s="13" t="s">
        <v>9</v>
      </c>
      <c r="V61" s="13" t="s">
        <v>10</v>
      </c>
      <c r="Y61" s="13" t="s">
        <v>8</v>
      </c>
      <c r="Z61" s="22" t="s">
        <v>22</v>
      </c>
      <c r="AA61" s="14" t="s">
        <v>7</v>
      </c>
      <c r="AB61" s="13" t="s">
        <v>9</v>
      </c>
      <c r="AC61" s="13" t="s">
        <v>10</v>
      </c>
      <c r="AD61" s="22" t="s">
        <v>22</v>
      </c>
      <c r="AE61" s="14" t="s">
        <v>7</v>
      </c>
      <c r="AF61" s="13" t="s">
        <v>9</v>
      </c>
      <c r="AG61" s="13" t="s">
        <v>10</v>
      </c>
      <c r="AH61" s="22" t="s">
        <v>22</v>
      </c>
      <c r="AI61" s="13" t="s">
        <v>7</v>
      </c>
      <c r="AJ61" s="13" t="s">
        <v>9</v>
      </c>
      <c r="AK61" s="13" t="s">
        <v>10</v>
      </c>
      <c r="AL61" s="22" t="s">
        <v>22</v>
      </c>
      <c r="AM61" s="13" t="s">
        <v>7</v>
      </c>
      <c r="AN61" s="13" t="s">
        <v>9</v>
      </c>
      <c r="AO61" s="13" t="s">
        <v>10</v>
      </c>
      <c r="AP61" s="22" t="s">
        <v>22</v>
      </c>
      <c r="AQ61" s="13" t="s">
        <v>7</v>
      </c>
      <c r="AR61" s="13" t="s">
        <v>9</v>
      </c>
      <c r="AS61" s="13" t="s">
        <v>10</v>
      </c>
    </row>
    <row r="62" spans="1:45" ht="15.75" customHeight="1" x14ac:dyDescent="0.2">
      <c r="B62" s="1">
        <v>0</v>
      </c>
      <c r="C62" s="23">
        <v>1555</v>
      </c>
      <c r="D62" s="17">
        <v>19.8</v>
      </c>
      <c r="E62" s="16">
        <f t="shared" ref="E62:E69" si="62">D62/$A$5</f>
        <v>3.9919354838709682E-2</v>
      </c>
      <c r="F62" s="28">
        <v>0.97399999999999998</v>
      </c>
      <c r="G62" s="17">
        <v>1360</v>
      </c>
      <c r="H62" s="17">
        <v>17.899999999999999</v>
      </c>
      <c r="I62" s="16">
        <f t="shared" ref="I62:I69" si="63">H62/$A$5</f>
        <v>3.6088709677419353E-2</v>
      </c>
      <c r="J62" s="28">
        <v>0.97899999999999998</v>
      </c>
      <c r="K62" s="23">
        <v>1160</v>
      </c>
      <c r="L62" s="28">
        <v>16.2</v>
      </c>
      <c r="M62" s="16">
        <f t="shared" ref="M62:M69" si="64">L62/$A$5</f>
        <v>3.2661290322580645E-2</v>
      </c>
      <c r="N62" s="28">
        <v>0.98199999999999998</v>
      </c>
      <c r="O62" s="23">
        <v>1030</v>
      </c>
      <c r="P62" s="28">
        <v>15.3</v>
      </c>
      <c r="Q62" s="16">
        <f t="shared" ref="Q62:Q69" si="65">P62/$A$5</f>
        <v>3.084677419354839E-2</v>
      </c>
      <c r="R62" s="28">
        <v>0.98399999999999999</v>
      </c>
      <c r="S62" s="23">
        <v>850</v>
      </c>
      <c r="T62" s="28">
        <v>17.399999999999999</v>
      </c>
      <c r="U62" s="16">
        <f t="shared" ref="U62:U69" si="66">T62/$A$5</f>
        <v>3.5080645161290322E-2</v>
      </c>
      <c r="V62" s="28">
        <v>0.98</v>
      </c>
      <c r="Y62" s="28">
        <v>0</v>
      </c>
      <c r="Z62" s="23">
        <v>1555</v>
      </c>
      <c r="AA62" s="17">
        <v>24.3</v>
      </c>
      <c r="AB62" s="16">
        <f t="shared" ref="AB62:AB69" si="67">AA62/$A$5</f>
        <v>4.8991935483870971E-2</v>
      </c>
      <c r="AC62" s="28">
        <v>0.96499999999999997</v>
      </c>
      <c r="AD62" s="17">
        <v>1360</v>
      </c>
      <c r="AE62" s="17">
        <v>22.7</v>
      </c>
      <c r="AF62" s="16">
        <f t="shared" ref="AF62:AF69" si="68">AE62/$A$5</f>
        <v>4.576612903225806E-2</v>
      </c>
      <c r="AG62" s="28">
        <v>0.97099999999999997</v>
      </c>
      <c r="AH62" s="23">
        <v>1160</v>
      </c>
      <c r="AI62" s="28">
        <v>19.100000000000001</v>
      </c>
      <c r="AJ62" s="16">
        <f t="shared" ref="AJ62:AJ69" si="69">AI62/$A$5</f>
        <v>3.8508064516129037E-2</v>
      </c>
      <c r="AK62" s="28">
        <v>0.97699999999999998</v>
      </c>
      <c r="AL62" s="23">
        <v>1030</v>
      </c>
      <c r="AM62" s="28">
        <v>18.600000000000001</v>
      </c>
      <c r="AN62" s="16">
        <f t="shared" ref="AN62:AN69" si="70">AM62/$A$5</f>
        <v>3.7500000000000006E-2</v>
      </c>
      <c r="AO62" s="28">
        <v>0.97899999999999998</v>
      </c>
      <c r="AP62" s="23">
        <v>850</v>
      </c>
      <c r="AQ62" s="28">
        <v>20.399999999999999</v>
      </c>
      <c r="AR62" s="16">
        <f t="shared" ref="AR62:AR69" si="71">AQ62/$A$5</f>
        <v>4.112903225806451E-2</v>
      </c>
      <c r="AS62" s="28">
        <v>0.97399999999999998</v>
      </c>
    </row>
    <row r="63" spans="1:45" ht="15.75" customHeight="1" x14ac:dyDescent="0.2">
      <c r="B63" s="1">
        <v>1</v>
      </c>
      <c r="C63" s="23">
        <v>1705</v>
      </c>
      <c r="D63" s="17">
        <v>19.2</v>
      </c>
      <c r="E63" s="16">
        <f t="shared" si="62"/>
        <v>3.870967741935484E-2</v>
      </c>
      <c r="F63" s="28">
        <v>0.873</v>
      </c>
      <c r="G63" s="17">
        <v>1545</v>
      </c>
      <c r="H63" s="17">
        <v>17.5</v>
      </c>
      <c r="I63" s="16">
        <f t="shared" si="63"/>
        <v>3.5282258064516132E-2</v>
      </c>
      <c r="J63" s="28">
        <v>0.88600000000000001</v>
      </c>
      <c r="K63" s="23">
        <v>1315</v>
      </c>
      <c r="L63" s="28">
        <v>16.5</v>
      </c>
      <c r="M63" s="16">
        <f t="shared" si="64"/>
        <v>3.3266129032258063E-2</v>
      </c>
      <c r="N63" s="28">
        <v>0.90300000000000002</v>
      </c>
      <c r="O63" s="23">
        <v>1085</v>
      </c>
      <c r="P63" s="28">
        <v>16.8</v>
      </c>
      <c r="Q63" s="16">
        <f t="shared" si="65"/>
        <v>3.3870967741935487E-2</v>
      </c>
      <c r="R63" s="28">
        <v>0.91100000000000003</v>
      </c>
      <c r="S63" s="23">
        <v>910</v>
      </c>
      <c r="T63" s="28">
        <v>17.899999999999999</v>
      </c>
      <c r="U63" s="16">
        <f t="shared" si="66"/>
        <v>3.6088709677419353E-2</v>
      </c>
      <c r="V63" s="28">
        <v>0.90100000000000002</v>
      </c>
      <c r="Y63" s="28">
        <v>1</v>
      </c>
      <c r="Z63" s="23">
        <v>1705</v>
      </c>
      <c r="AA63" s="17">
        <v>23.9</v>
      </c>
      <c r="AB63" s="16">
        <f t="shared" si="67"/>
        <v>4.8185483870967737E-2</v>
      </c>
      <c r="AC63" s="28">
        <v>0.80400000000000005</v>
      </c>
      <c r="AD63" s="17">
        <v>1545</v>
      </c>
      <c r="AE63" s="17">
        <v>19.5</v>
      </c>
      <c r="AF63" s="16">
        <f t="shared" si="68"/>
        <v>3.9314516129032258E-2</v>
      </c>
      <c r="AG63" s="28">
        <v>0.86599999999999999</v>
      </c>
      <c r="AH63" s="23">
        <v>1315</v>
      </c>
      <c r="AI63" s="28">
        <v>17.399999999999999</v>
      </c>
      <c r="AJ63" s="16">
        <f t="shared" si="69"/>
        <v>3.5080645161290322E-2</v>
      </c>
      <c r="AK63" s="28">
        <v>0.88500000000000001</v>
      </c>
      <c r="AL63" s="23">
        <v>1085</v>
      </c>
      <c r="AM63" s="28">
        <v>18</v>
      </c>
      <c r="AN63" s="16">
        <f t="shared" si="70"/>
        <v>3.6290322580645164E-2</v>
      </c>
      <c r="AO63" s="28">
        <v>0.89400000000000002</v>
      </c>
      <c r="AP63" s="23">
        <v>910</v>
      </c>
      <c r="AQ63" s="28">
        <v>18.2</v>
      </c>
      <c r="AR63" s="16">
        <f t="shared" si="71"/>
        <v>3.6693548387096771E-2</v>
      </c>
      <c r="AS63" s="28">
        <v>0.89300000000000002</v>
      </c>
    </row>
    <row r="64" spans="1:45" ht="15.75" customHeight="1" x14ac:dyDescent="0.2">
      <c r="B64" s="1">
        <v>2</v>
      </c>
      <c r="C64" s="23">
        <v>1020</v>
      </c>
      <c r="D64" s="17">
        <v>22.7</v>
      </c>
      <c r="E64" s="16">
        <f t="shared" si="62"/>
        <v>4.576612903225806E-2</v>
      </c>
      <c r="F64" s="28">
        <v>0.72599999999999998</v>
      </c>
      <c r="G64" s="17">
        <v>895</v>
      </c>
      <c r="H64" s="17">
        <v>17.8</v>
      </c>
      <c r="I64" s="16">
        <f t="shared" si="63"/>
        <v>3.588709677419355E-2</v>
      </c>
      <c r="J64" s="28">
        <v>0.77700000000000002</v>
      </c>
      <c r="K64" s="23">
        <v>835</v>
      </c>
      <c r="L64" s="28">
        <v>17</v>
      </c>
      <c r="M64" s="16">
        <f t="shared" si="64"/>
        <v>3.4274193548387094E-2</v>
      </c>
      <c r="N64" s="28">
        <v>0.81100000000000005</v>
      </c>
      <c r="O64" s="23">
        <v>685</v>
      </c>
      <c r="P64" s="28">
        <v>13.9</v>
      </c>
      <c r="Q64" s="16">
        <f t="shared" si="65"/>
        <v>2.8024193548387099E-2</v>
      </c>
      <c r="R64" s="28">
        <v>0.83599999999999997</v>
      </c>
      <c r="S64" s="23">
        <v>560</v>
      </c>
      <c r="T64" s="28">
        <v>13.9</v>
      </c>
      <c r="U64" s="16">
        <f t="shared" si="66"/>
        <v>2.8024193548387099E-2</v>
      </c>
      <c r="V64" s="28">
        <v>0.82</v>
      </c>
      <c r="Y64" s="28">
        <v>2</v>
      </c>
      <c r="Z64" s="23">
        <v>1020</v>
      </c>
      <c r="AA64" s="17">
        <v>28.3</v>
      </c>
      <c r="AB64" s="16">
        <f t="shared" si="67"/>
        <v>5.7056451612903229E-2</v>
      </c>
      <c r="AC64" s="28">
        <v>0.61599999999999999</v>
      </c>
      <c r="AD64" s="17">
        <v>895</v>
      </c>
      <c r="AE64" s="17">
        <v>18.8</v>
      </c>
      <c r="AF64" s="16">
        <f t="shared" si="68"/>
        <v>3.7903225806451613E-2</v>
      </c>
      <c r="AG64" s="28">
        <v>0.78300000000000003</v>
      </c>
      <c r="AH64" s="23">
        <v>835</v>
      </c>
      <c r="AI64" s="28">
        <v>20.5</v>
      </c>
      <c r="AJ64" s="16">
        <f t="shared" si="69"/>
        <v>4.1330645161290321E-2</v>
      </c>
      <c r="AK64" s="28">
        <v>0.76</v>
      </c>
      <c r="AL64" s="23">
        <v>685</v>
      </c>
      <c r="AM64" s="28">
        <v>16.2</v>
      </c>
      <c r="AN64" s="16">
        <f t="shared" si="70"/>
        <v>3.2661290322580645E-2</v>
      </c>
      <c r="AO64" s="28">
        <v>0.80100000000000005</v>
      </c>
      <c r="AP64" s="23">
        <v>560</v>
      </c>
      <c r="AQ64" s="28">
        <v>15.2</v>
      </c>
      <c r="AR64" s="16">
        <f t="shared" si="71"/>
        <v>3.0645161290322579E-2</v>
      </c>
      <c r="AS64" s="28">
        <v>0.77600000000000002</v>
      </c>
    </row>
    <row r="65" spans="2:45" ht="15.75" customHeight="1" x14ac:dyDescent="0.2">
      <c r="B65" s="1">
        <v>3</v>
      </c>
      <c r="C65" s="23">
        <v>1445</v>
      </c>
      <c r="D65" s="17">
        <v>25.5</v>
      </c>
      <c r="E65" s="16">
        <f t="shared" si="62"/>
        <v>5.1411290322580648E-2</v>
      </c>
      <c r="F65" s="28">
        <v>0.94199999999999995</v>
      </c>
      <c r="G65" s="17">
        <v>1295</v>
      </c>
      <c r="H65" s="17">
        <v>19.600000000000001</v>
      </c>
      <c r="I65" s="16">
        <f t="shared" si="63"/>
        <v>3.9516129032258068E-2</v>
      </c>
      <c r="J65" s="28">
        <v>0.96299999999999997</v>
      </c>
      <c r="K65" s="23">
        <v>1110</v>
      </c>
      <c r="L65" s="28">
        <v>18.399999999999999</v>
      </c>
      <c r="M65" s="16">
        <f t="shared" si="64"/>
        <v>3.7096774193548385E-2</v>
      </c>
      <c r="N65" s="28">
        <v>0.96599999999999997</v>
      </c>
      <c r="O65" s="23">
        <v>1015</v>
      </c>
      <c r="P65" s="28">
        <v>18.8</v>
      </c>
      <c r="Q65" s="16">
        <f t="shared" si="65"/>
        <v>3.7903225806451613E-2</v>
      </c>
      <c r="R65" s="28">
        <v>0.96399999999999997</v>
      </c>
      <c r="S65" s="23">
        <v>820</v>
      </c>
      <c r="T65" s="28">
        <v>16.8</v>
      </c>
      <c r="U65" s="16">
        <f t="shared" si="66"/>
        <v>3.3870967741935487E-2</v>
      </c>
      <c r="V65" s="28">
        <v>0.97</v>
      </c>
      <c r="Y65" s="28">
        <v>3</v>
      </c>
      <c r="Z65" s="23">
        <v>1445</v>
      </c>
      <c r="AA65" s="17">
        <v>29.8</v>
      </c>
      <c r="AB65" s="16">
        <f t="shared" si="67"/>
        <v>6.0080645161290323E-2</v>
      </c>
      <c r="AC65" s="28">
        <v>0.92400000000000004</v>
      </c>
      <c r="AD65" s="17">
        <v>1295</v>
      </c>
      <c r="AE65" s="17">
        <v>22.6</v>
      </c>
      <c r="AF65" s="16">
        <f t="shared" si="68"/>
        <v>4.5564516129032263E-2</v>
      </c>
      <c r="AG65" s="28">
        <v>0.95499999999999996</v>
      </c>
      <c r="AH65" s="23">
        <v>1110</v>
      </c>
      <c r="AI65" s="28">
        <v>20</v>
      </c>
      <c r="AJ65" s="16">
        <f t="shared" si="69"/>
        <v>4.0322580645161289E-2</v>
      </c>
      <c r="AK65" s="28">
        <v>0.96299999999999997</v>
      </c>
      <c r="AL65" s="23">
        <v>1015</v>
      </c>
      <c r="AM65" s="28">
        <v>20.8</v>
      </c>
      <c r="AN65" s="16">
        <f t="shared" si="70"/>
        <v>4.1935483870967745E-2</v>
      </c>
      <c r="AO65" s="28">
        <v>0.95899999999999996</v>
      </c>
      <c r="AP65" s="23">
        <v>820</v>
      </c>
      <c r="AQ65" s="28">
        <v>18.5</v>
      </c>
      <c r="AR65" s="16">
        <f t="shared" si="71"/>
        <v>3.7298387096774195E-2</v>
      </c>
      <c r="AS65" s="28">
        <v>0.96699999999999997</v>
      </c>
    </row>
    <row r="66" spans="2:45" ht="15.75" customHeight="1" x14ac:dyDescent="0.2">
      <c r="B66" s="1">
        <v>4</v>
      </c>
      <c r="C66" s="23">
        <v>2220</v>
      </c>
      <c r="D66" s="17">
        <v>24.2</v>
      </c>
      <c r="E66" s="16">
        <f t="shared" si="62"/>
        <v>4.8790322580645161E-2</v>
      </c>
      <c r="F66" s="28">
        <v>0.95699999999999996</v>
      </c>
      <c r="G66" s="17">
        <v>1950</v>
      </c>
      <c r="H66" s="17">
        <v>19.7</v>
      </c>
      <c r="I66" s="16">
        <f t="shared" si="63"/>
        <v>3.9717741935483872E-2</v>
      </c>
      <c r="J66" s="28">
        <v>0.97099999999999997</v>
      </c>
      <c r="K66" s="23">
        <v>1730</v>
      </c>
      <c r="L66" s="28">
        <v>18.7</v>
      </c>
      <c r="M66" s="16">
        <f t="shared" si="64"/>
        <v>3.7701612903225802E-2</v>
      </c>
      <c r="N66" s="28">
        <v>0.97199999999999998</v>
      </c>
      <c r="O66" s="23">
        <v>1460</v>
      </c>
      <c r="P66" s="28">
        <v>17</v>
      </c>
      <c r="Q66" s="16">
        <f t="shared" si="65"/>
        <v>3.4274193548387094E-2</v>
      </c>
      <c r="R66" s="28">
        <v>0.97799999999999998</v>
      </c>
      <c r="S66" s="23">
        <v>1260</v>
      </c>
      <c r="T66" s="28">
        <v>16.600000000000001</v>
      </c>
      <c r="U66" s="16">
        <f t="shared" si="66"/>
        <v>3.3467741935483873E-2</v>
      </c>
      <c r="V66" s="28">
        <v>0.97699999999999998</v>
      </c>
      <c r="Y66" s="28">
        <v>4</v>
      </c>
      <c r="Z66" s="23">
        <v>2220</v>
      </c>
      <c r="AA66" s="17">
        <v>29.6</v>
      </c>
      <c r="AB66" s="16">
        <f t="shared" si="67"/>
        <v>5.9677419354838709E-2</v>
      </c>
      <c r="AC66" s="28">
        <v>0.94199999999999995</v>
      </c>
      <c r="AD66" s="17">
        <v>1950</v>
      </c>
      <c r="AE66" s="17">
        <v>24.7</v>
      </c>
      <c r="AF66" s="16">
        <f t="shared" si="68"/>
        <v>4.9798387096774192E-2</v>
      </c>
      <c r="AG66" s="28">
        <v>0.95499999999999996</v>
      </c>
      <c r="AH66" s="23">
        <v>1730</v>
      </c>
      <c r="AI66" s="28">
        <v>22.3</v>
      </c>
      <c r="AJ66" s="16">
        <f t="shared" si="69"/>
        <v>4.4959677419354839E-2</v>
      </c>
      <c r="AK66" s="28">
        <v>0.96199999999999997</v>
      </c>
      <c r="AL66" s="23">
        <v>1460</v>
      </c>
      <c r="AM66" s="28">
        <v>19.899999999999999</v>
      </c>
      <c r="AN66" s="16">
        <f t="shared" si="70"/>
        <v>4.0120967741935479E-2</v>
      </c>
      <c r="AO66" s="28">
        <v>0.97099999999999997</v>
      </c>
      <c r="AP66" s="23">
        <v>1260</v>
      </c>
      <c r="AQ66" s="28">
        <v>18.899999999999999</v>
      </c>
      <c r="AR66" s="16">
        <f t="shared" si="71"/>
        <v>3.8104838709677416E-2</v>
      </c>
      <c r="AS66" s="28">
        <v>0.97199999999999998</v>
      </c>
    </row>
    <row r="67" spans="2:45" ht="15.75" customHeight="1" x14ac:dyDescent="0.2">
      <c r="B67" s="1">
        <v>5</v>
      </c>
      <c r="C67" s="23">
        <v>1910</v>
      </c>
      <c r="D67" s="17">
        <v>23.5</v>
      </c>
      <c r="E67" s="16">
        <f t="shared" si="62"/>
        <v>4.7379032258064516E-2</v>
      </c>
      <c r="F67" s="28">
        <v>0.95799999999999996</v>
      </c>
      <c r="G67" s="17">
        <v>1710</v>
      </c>
      <c r="H67" s="17">
        <v>16.5</v>
      </c>
      <c r="I67" s="16">
        <f t="shared" si="63"/>
        <v>3.3266129032258063E-2</v>
      </c>
      <c r="J67" s="28">
        <v>0.97599999999999998</v>
      </c>
      <c r="K67" s="23">
        <v>1475</v>
      </c>
      <c r="L67" s="28">
        <v>17.399999999999999</v>
      </c>
      <c r="M67" s="16">
        <f t="shared" si="64"/>
        <v>3.5080645161290322E-2</v>
      </c>
      <c r="N67" s="28">
        <v>0.97399999999999998</v>
      </c>
      <c r="O67" s="23">
        <v>1265</v>
      </c>
      <c r="P67" s="28">
        <v>16.899999999999999</v>
      </c>
      <c r="Q67" s="16">
        <f t="shared" si="65"/>
        <v>3.4072580645161291E-2</v>
      </c>
      <c r="R67" s="28">
        <v>0.97399999999999998</v>
      </c>
      <c r="S67" s="23">
        <v>1055</v>
      </c>
      <c r="T67" s="28">
        <v>16.8</v>
      </c>
      <c r="U67" s="16">
        <f t="shared" si="66"/>
        <v>3.3870967741935487E-2</v>
      </c>
      <c r="V67" s="28">
        <v>0.97499999999999998</v>
      </c>
      <c r="Y67" s="28">
        <v>5</v>
      </c>
      <c r="Z67" s="23">
        <v>1910</v>
      </c>
      <c r="AA67" s="17">
        <v>28.2</v>
      </c>
      <c r="AB67" s="16">
        <f t="shared" si="67"/>
        <v>5.6854838709677419E-2</v>
      </c>
      <c r="AC67" s="28">
        <v>0.94299999999999995</v>
      </c>
      <c r="AD67" s="17">
        <v>1710</v>
      </c>
      <c r="AE67" s="17">
        <v>19.899999999999999</v>
      </c>
      <c r="AF67" s="16">
        <f t="shared" si="68"/>
        <v>4.0120967741935479E-2</v>
      </c>
      <c r="AG67" s="28">
        <v>0.96799999999999997</v>
      </c>
      <c r="AH67" s="23">
        <v>1475</v>
      </c>
      <c r="AI67" s="28">
        <v>20.8</v>
      </c>
      <c r="AJ67" s="16">
        <f t="shared" si="69"/>
        <v>4.1935483870967745E-2</v>
      </c>
      <c r="AK67" s="28">
        <v>0.96499999999999997</v>
      </c>
      <c r="AL67" s="23">
        <v>1265</v>
      </c>
      <c r="AM67" s="28">
        <v>19.8</v>
      </c>
      <c r="AN67" s="16">
        <f t="shared" si="70"/>
        <v>3.9919354838709682E-2</v>
      </c>
      <c r="AO67" s="28">
        <v>0.96599999999999997</v>
      </c>
      <c r="AP67" s="23">
        <v>1055</v>
      </c>
      <c r="AQ67" s="28">
        <v>19.2</v>
      </c>
      <c r="AR67" s="16">
        <f t="shared" si="71"/>
        <v>3.870967741935484E-2</v>
      </c>
      <c r="AS67" s="28">
        <v>0.96899999999999997</v>
      </c>
    </row>
    <row r="68" spans="2:45" ht="15.75" customHeight="1" x14ac:dyDescent="0.2">
      <c r="B68" s="1">
        <v>6</v>
      </c>
      <c r="C68" s="23">
        <v>1665</v>
      </c>
      <c r="D68" s="17">
        <v>22.6</v>
      </c>
      <c r="E68" s="16">
        <f t="shared" si="62"/>
        <v>4.5564516129032263E-2</v>
      </c>
      <c r="F68" s="28">
        <v>0.95499999999999996</v>
      </c>
      <c r="G68" s="17">
        <v>1490</v>
      </c>
      <c r="H68" s="17">
        <v>18.5</v>
      </c>
      <c r="I68" s="16">
        <f t="shared" si="63"/>
        <v>3.7298387096774195E-2</v>
      </c>
      <c r="J68" s="28">
        <v>0.96799999999999997</v>
      </c>
      <c r="K68" s="23">
        <v>1340</v>
      </c>
      <c r="L68" s="28">
        <v>18.3</v>
      </c>
      <c r="M68" s="16">
        <f t="shared" si="64"/>
        <v>3.6895161290322581E-2</v>
      </c>
      <c r="N68" s="28">
        <v>0.96899999999999997</v>
      </c>
      <c r="O68" s="23">
        <v>1125</v>
      </c>
      <c r="P68" s="28">
        <v>18</v>
      </c>
      <c r="Q68" s="16">
        <f t="shared" si="65"/>
        <v>3.6290322580645164E-2</v>
      </c>
      <c r="R68" s="28">
        <v>0.97</v>
      </c>
      <c r="S68" s="23">
        <v>955</v>
      </c>
      <c r="T68" s="28">
        <v>19.2</v>
      </c>
      <c r="U68" s="16">
        <f t="shared" si="66"/>
        <v>3.870967741935484E-2</v>
      </c>
      <c r="V68" s="28">
        <v>0.96799999999999997</v>
      </c>
      <c r="Y68" s="28">
        <v>6</v>
      </c>
      <c r="Z68" s="23">
        <v>1665</v>
      </c>
      <c r="AA68" s="17">
        <v>23.9</v>
      </c>
      <c r="AB68" s="16">
        <f t="shared" si="67"/>
        <v>4.8185483870967737E-2</v>
      </c>
      <c r="AC68" s="28">
        <v>0.95099999999999996</v>
      </c>
      <c r="AD68" s="17">
        <v>1490</v>
      </c>
      <c r="AE68" s="17">
        <v>19.899999999999999</v>
      </c>
      <c r="AF68" s="16">
        <f t="shared" si="68"/>
        <v>4.0120967741935479E-2</v>
      </c>
      <c r="AG68" s="28">
        <v>0.96499999999999997</v>
      </c>
      <c r="AH68" s="23">
        <v>1340</v>
      </c>
      <c r="AI68" s="28">
        <v>19.5</v>
      </c>
      <c r="AJ68" s="16">
        <f t="shared" si="69"/>
        <v>3.9314516129032258E-2</v>
      </c>
      <c r="AK68" s="28">
        <v>0.96599999999999997</v>
      </c>
      <c r="AL68" s="23">
        <v>1125</v>
      </c>
      <c r="AM68" s="28">
        <v>19.100000000000001</v>
      </c>
      <c r="AN68" s="16">
        <f t="shared" si="70"/>
        <v>3.8508064516129037E-2</v>
      </c>
      <c r="AO68" s="28">
        <v>0.96799999999999997</v>
      </c>
      <c r="AP68" s="23">
        <v>955</v>
      </c>
      <c r="AQ68" s="28">
        <v>20.2</v>
      </c>
      <c r="AR68" s="16">
        <f t="shared" si="71"/>
        <v>4.0725806451612903E-2</v>
      </c>
      <c r="AS68" s="28">
        <v>0.96599999999999997</v>
      </c>
    </row>
    <row r="69" spans="2:45" ht="15.75" customHeight="1" x14ac:dyDescent="0.2">
      <c r="B69" s="1">
        <v>7</v>
      </c>
      <c r="C69" s="23">
        <v>1610</v>
      </c>
      <c r="D69" s="17">
        <v>22.9</v>
      </c>
      <c r="E69" s="16">
        <f t="shared" si="62"/>
        <v>4.6169354838709674E-2</v>
      </c>
      <c r="F69" s="28">
        <v>0.95699999999999996</v>
      </c>
      <c r="G69" s="17">
        <v>1425</v>
      </c>
      <c r="H69" s="17">
        <v>17.600000000000001</v>
      </c>
      <c r="I69" s="16">
        <f t="shared" si="63"/>
        <v>3.5483870967741936E-2</v>
      </c>
      <c r="J69" s="28">
        <v>0.97299999999999998</v>
      </c>
      <c r="K69" s="23">
        <v>1245</v>
      </c>
      <c r="L69" s="28">
        <v>16.2</v>
      </c>
      <c r="M69" s="16">
        <f t="shared" si="64"/>
        <v>3.2661290322580645E-2</v>
      </c>
      <c r="N69" s="28">
        <v>0.97499999999999998</v>
      </c>
      <c r="O69" s="23">
        <v>1090</v>
      </c>
      <c r="P69" s="28">
        <v>16.5</v>
      </c>
      <c r="Q69" s="16">
        <f t="shared" si="65"/>
        <v>3.3266129032258063E-2</v>
      </c>
      <c r="R69" s="28">
        <v>0.97499999999999998</v>
      </c>
      <c r="S69" s="23">
        <v>885</v>
      </c>
      <c r="T69" s="28">
        <v>16.100000000000001</v>
      </c>
      <c r="U69" s="16">
        <f t="shared" si="66"/>
        <v>3.2459677419354842E-2</v>
      </c>
      <c r="V69" s="28">
        <v>0.97599999999999998</v>
      </c>
      <c r="Y69" s="28">
        <v>7</v>
      </c>
      <c r="Z69" s="23">
        <v>1610</v>
      </c>
      <c r="AA69" s="17">
        <v>37.6</v>
      </c>
      <c r="AB69" s="16">
        <f t="shared" si="67"/>
        <v>7.5806451612903225E-2</v>
      </c>
      <c r="AC69" s="28">
        <v>0.90700000000000003</v>
      </c>
      <c r="AD69" s="17">
        <v>1425</v>
      </c>
      <c r="AE69" s="17">
        <v>22.6</v>
      </c>
      <c r="AF69" s="16">
        <f t="shared" si="68"/>
        <v>4.5564516129032263E-2</v>
      </c>
      <c r="AG69" s="28">
        <v>0.95699999999999996</v>
      </c>
      <c r="AH69" s="23">
        <v>1245</v>
      </c>
      <c r="AI69" s="28">
        <v>19.2</v>
      </c>
      <c r="AJ69" s="16">
        <f t="shared" si="69"/>
        <v>3.870967741935484E-2</v>
      </c>
      <c r="AK69" s="28">
        <v>0.96799999999999997</v>
      </c>
      <c r="AL69" s="23">
        <v>1090</v>
      </c>
      <c r="AM69" s="28">
        <v>19.2</v>
      </c>
      <c r="AN69" s="16">
        <f t="shared" si="70"/>
        <v>3.870967741935484E-2</v>
      </c>
      <c r="AO69" s="28">
        <v>0.97</v>
      </c>
      <c r="AP69" s="23">
        <v>885</v>
      </c>
      <c r="AQ69" s="28">
        <v>18.2</v>
      </c>
      <c r="AR69" s="16">
        <f t="shared" si="71"/>
        <v>3.6693548387096771E-2</v>
      </c>
      <c r="AS69" s="28">
        <v>0.97199999999999998</v>
      </c>
    </row>
    <row r="70" spans="2:45" ht="15.75" customHeight="1" x14ac:dyDescent="0.2">
      <c r="C70" s="23"/>
      <c r="D70" s="17"/>
      <c r="G70" s="17"/>
      <c r="H70" s="17"/>
      <c r="K70" s="23"/>
      <c r="O70" s="23"/>
      <c r="S70" s="23"/>
      <c r="Z70" s="23"/>
      <c r="AA70" s="17"/>
      <c r="AD70" s="17"/>
      <c r="AE70" s="17"/>
      <c r="AH70" s="23"/>
      <c r="AL70" s="23"/>
      <c r="AP70" s="23"/>
    </row>
    <row r="71" spans="2:45" ht="15.75" customHeight="1" x14ac:dyDescent="0.2">
      <c r="B71" s="1" t="s">
        <v>11</v>
      </c>
      <c r="C71" s="23"/>
      <c r="D71" s="7">
        <f>SUMPRODUCT(C62:C69,D62:D69)/SUM(C62:C69)</f>
        <v>22.592041127189642</v>
      </c>
      <c r="E71" s="20">
        <f>SUMPRODUCT(C62:C69,E62:E69)/SUM(C62:C69)</f>
        <v>4.5548470014495246E-2</v>
      </c>
      <c r="F71" s="20">
        <f>SUMPRODUCT(C62:C69,F62:F69)/SUM(C62:C69)</f>
        <v>0.92840137090632158</v>
      </c>
      <c r="G71" s="17"/>
      <c r="H71" s="7">
        <f>SUMPRODUCT(G62:G69,H62:H69)/SUM(G62:G69)</f>
        <v>18.16362467866324</v>
      </c>
      <c r="I71" s="20">
        <f>SUMPRODUCT(G62:G69,I62:I69)/SUM(G62:G69)</f>
        <v>3.6620211045692012E-2</v>
      </c>
      <c r="J71" s="20">
        <f>SUMPRODUCT(G62:G69,J62:J69)/SUM(G62:G69)</f>
        <v>0.94550685518423316</v>
      </c>
      <c r="K71" s="23"/>
      <c r="L71" s="7">
        <f>SUMPRODUCT(K62:K69,L62:L69)/SUM(K62:K69)</f>
        <v>17.415817825661115</v>
      </c>
      <c r="M71" s="20">
        <f>SUMPRODUCT(K62:K69,M62:M69)/SUM(K62:K69)</f>
        <v>3.5112535938832894E-2</v>
      </c>
      <c r="N71" s="20">
        <f>SUMPRODUCT(K62:K69,N62:N69)/SUM(K62:K69)</f>
        <v>0.95069098922624884</v>
      </c>
      <c r="O71" s="23"/>
      <c r="P71" s="7">
        <f>SUMPRODUCT(O62:O69,P62:P69)/SUM(O62:O69)</f>
        <v>16.793146773272415</v>
      </c>
      <c r="Q71" s="20">
        <f>SUMPRODUCT(O62:O69,Q62:Q69)/SUM(O62:O69)</f>
        <v>3.3857150752565353E-2</v>
      </c>
      <c r="R71" s="20">
        <f>SUMPRODUCT(O62:O69,R62:R69)/SUM(O62:O69)</f>
        <v>0.9556898914905767</v>
      </c>
      <c r="S71" s="23"/>
      <c r="T71" s="7">
        <f>SUMPRODUCT(S62:S69,T62:T69)/SUM(S62:S69)</f>
        <v>16.97923235092529</v>
      </c>
      <c r="U71" s="20">
        <f>SUMPRODUCT(S62:S69,U62:U69)/SUM(S62:S69)</f>
        <v>3.4232323288155835E-2</v>
      </c>
      <c r="V71" s="20">
        <f>SUMPRODUCT(S62:S69,V62:V69)/SUM(S62:S69)</f>
        <v>0.95344139821795748</v>
      </c>
      <c r="Y71" s="28" t="s">
        <v>11</v>
      </c>
      <c r="Z71" s="23"/>
      <c r="AA71" s="7">
        <f>SUMPRODUCT(Z62:Z69,AA62:AA69)/SUM(Z62:Z69)</f>
        <v>28.207654226961157</v>
      </c>
      <c r="AB71" s="20">
        <f>SUMPRODUCT(Z62:Z69,AB62:AB69)/SUM(Z62:Z69)</f>
        <v>5.6870270618873293E-2</v>
      </c>
      <c r="AC71" s="20">
        <f>SUMPRODUCT(Z62:Z69,AC62:AC69)/SUM(Z62:Z69)</f>
        <v>0.89649276466108152</v>
      </c>
      <c r="AD71" s="17"/>
      <c r="AE71" s="7">
        <f>SUMPRODUCT(AD62:AD69,AE62:AE69)/SUM(AD62:AD69)</f>
        <v>21.520351328191946</v>
      </c>
      <c r="AF71" s="20">
        <f>SUMPRODUCT(AD62:AD69,AF62:AF69)/SUM(AD62:AD69)</f>
        <v>4.3387805097161176E-2</v>
      </c>
      <c r="AG71" s="20">
        <f>SUMPRODUCT(AD62:AD69,AG62:AG69)/SUM(AD62:AD69)</f>
        <v>0.93531662382176506</v>
      </c>
      <c r="AH71" s="23"/>
      <c r="AI71" s="7">
        <f>SUMPRODUCT(AH62:AH69,AI62:AI69)/SUM(AH62:AH69)</f>
        <v>19.945886385896181</v>
      </c>
      <c r="AJ71" s="20">
        <f>SUMPRODUCT(AH62:AH69,AJ62:AJ69)/SUM(AH62:AH69)</f>
        <v>4.0213480616726173E-2</v>
      </c>
      <c r="AK71" s="20">
        <f>SUMPRODUCT(AH62:AH69,AK62:AK69)/SUM(AH62:AH69)</f>
        <v>0.93906562193927523</v>
      </c>
      <c r="AL71" s="23"/>
      <c r="AM71" s="7">
        <f>SUMPRODUCT(AL62:AL69,AM62:AM69)/SUM(AL62:AL69)</f>
        <v>19.122044545973729</v>
      </c>
      <c r="AN71" s="20">
        <f>SUMPRODUCT(AL62:AL69,AN62:AN69)/SUM(AL62:AL69)</f>
        <v>3.8552509165269616E-2</v>
      </c>
      <c r="AO71" s="20">
        <f>SUMPRODUCT(AL62:AL69,AO62:AO69)/SUM(AL62:AL69)</f>
        <v>0.94647401484865779</v>
      </c>
      <c r="AP71" s="23"/>
      <c r="AQ71" s="7">
        <f>SUMPRODUCT(AP62:AP69,AQ62:AQ69)/SUM(AP62:AP69)</f>
        <v>18.787114461960247</v>
      </c>
      <c r="AR71" s="20">
        <f>SUMPRODUCT(AP62:AP69,AR62:AR69)/SUM(AP62:AP69)</f>
        <v>3.7877246899113391E-2</v>
      </c>
      <c r="AS71" s="20">
        <f>SUMPRODUCT(AP62:AP69,AS62:AS69)/SUM(AP62:AP69)</f>
        <v>0.94555106237148734</v>
      </c>
    </row>
    <row r="72" spans="2:45" ht="15.75" customHeight="1" x14ac:dyDescent="0.2"/>
    <row r="73" spans="2:45" ht="15.75" customHeight="1" x14ac:dyDescent="0.2">
      <c r="C73" s="1">
        <f>SUM(C62:C69)</f>
        <v>13130</v>
      </c>
      <c r="G73" s="1">
        <f>SUM(G62:G69)</f>
        <v>11670</v>
      </c>
      <c r="K73" s="1">
        <f>SUM(K62:K69)</f>
        <v>10210</v>
      </c>
      <c r="O73" s="1">
        <f>SUM(O62:O69)</f>
        <v>8755</v>
      </c>
      <c r="S73" s="1">
        <f>SUM(S62:S69)</f>
        <v>7295</v>
      </c>
    </row>
    <row r="74" spans="2:45" ht="15.75" customHeight="1" x14ac:dyDescent="0.2">
      <c r="C74" s="1"/>
      <c r="G74" s="1"/>
      <c r="K74" s="1"/>
      <c r="O74" s="1"/>
      <c r="S74" s="1"/>
    </row>
    <row r="75" spans="2:45" ht="15.75" customHeight="1" x14ac:dyDescent="0.2">
      <c r="C75" s="1"/>
      <c r="G75" s="1"/>
      <c r="K75" s="1"/>
      <c r="O75" s="1"/>
      <c r="S75" s="1"/>
    </row>
    <row r="76" spans="2:45" ht="15.75" customHeight="1" x14ac:dyDescent="0.2">
      <c r="C76" s="1"/>
      <c r="G76" s="1"/>
      <c r="K76" s="1"/>
      <c r="O76" s="1"/>
      <c r="S76" s="1"/>
    </row>
    <row r="77" spans="2:45" ht="15.75" customHeight="1" x14ac:dyDescent="0.2"/>
    <row r="78" spans="2:45" ht="15.75" customHeight="1" x14ac:dyDescent="0.2"/>
    <row r="79" spans="2:45" ht="15.75" customHeight="1" x14ac:dyDescent="0.2"/>
    <row r="80" spans="2:4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</sheetData>
  <mergeCells count="40">
    <mergeCell ref="D7:F7"/>
    <mergeCell ref="H7:J7"/>
    <mergeCell ref="L7:N7"/>
    <mergeCell ref="P7:R7"/>
    <mergeCell ref="T7:V7"/>
    <mergeCell ref="D28:F28"/>
    <mergeCell ref="H28:J28"/>
    <mergeCell ref="T28:V28"/>
    <mergeCell ref="D60:F60"/>
    <mergeCell ref="H60:J60"/>
    <mergeCell ref="L60:N60"/>
    <mergeCell ref="P60:R60"/>
    <mergeCell ref="T60:V60"/>
    <mergeCell ref="L28:N28"/>
    <mergeCell ref="P28:R28"/>
    <mergeCell ref="D44:F44"/>
    <mergeCell ref="H44:J44"/>
    <mergeCell ref="L44:N44"/>
    <mergeCell ref="P44:R44"/>
    <mergeCell ref="T44:V44"/>
    <mergeCell ref="AA28:AC28"/>
    <mergeCell ref="AE28:AG28"/>
    <mergeCell ref="AI28:AK28"/>
    <mergeCell ref="AM28:AO28"/>
    <mergeCell ref="AQ28:AS28"/>
    <mergeCell ref="AA44:AC44"/>
    <mergeCell ref="AE44:AG44"/>
    <mergeCell ref="AI44:AK44"/>
    <mergeCell ref="AM44:AO44"/>
    <mergeCell ref="AQ44:AS44"/>
    <mergeCell ref="AA60:AC60"/>
    <mergeCell ref="AE60:AG60"/>
    <mergeCell ref="AI60:AK60"/>
    <mergeCell ref="AM60:AO60"/>
    <mergeCell ref="AQ60:AS60"/>
    <mergeCell ref="AM7:AO7"/>
    <mergeCell ref="AQ7:AS7"/>
    <mergeCell ref="AA7:AC7"/>
    <mergeCell ref="AE7:AG7"/>
    <mergeCell ref="AI7:AK7"/>
  </mergeCells>
  <pageMargins left="0.7" right="0.7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AT954"/>
  <sheetViews>
    <sheetView zoomScale="60" zoomScaleNormal="60" workbookViewId="0">
      <selection activeCell="Z73" sqref="Z73"/>
    </sheetView>
  </sheetViews>
  <sheetFormatPr baseColWidth="10" defaultColWidth="14.5" defaultRowHeight="15" customHeight="1" x14ac:dyDescent="0.2"/>
  <cols>
    <col min="1" max="1" width="10.6640625" customWidth="1"/>
    <col min="2" max="2" width="12.5" customWidth="1"/>
    <col min="3" max="3" width="12.6640625" bestFit="1" customWidth="1"/>
    <col min="4" max="4" width="10.6640625" customWidth="1"/>
    <col min="5" max="5" width="12.83203125" bestFit="1" customWidth="1"/>
    <col min="6" max="6" width="11.5" bestFit="1" customWidth="1"/>
    <col min="7" max="7" width="12.6640625" bestFit="1" customWidth="1"/>
    <col min="8" max="8" width="10.6640625" customWidth="1"/>
    <col min="9" max="9" width="12.83203125" bestFit="1" customWidth="1"/>
    <col min="10" max="10" width="11.5" bestFit="1" customWidth="1"/>
    <col min="11" max="11" width="12.6640625" bestFit="1" customWidth="1"/>
    <col min="12" max="12" width="10.6640625" customWidth="1"/>
    <col min="13" max="13" width="12.83203125" bestFit="1" customWidth="1"/>
    <col min="14" max="14" width="11.5" bestFit="1" customWidth="1"/>
    <col min="15" max="15" width="12.6640625" bestFit="1" customWidth="1"/>
    <col min="16" max="16" width="10.6640625" customWidth="1"/>
    <col min="17" max="17" width="12.83203125" bestFit="1" customWidth="1"/>
    <col min="18" max="19" width="12.6640625" bestFit="1" customWidth="1"/>
    <col min="20" max="20" width="10.6640625" customWidth="1"/>
    <col min="21" max="21" width="12.83203125" bestFit="1" customWidth="1"/>
    <col min="22" max="22" width="11.5" bestFit="1" customWidth="1"/>
    <col min="23" max="23" width="10.6640625" customWidth="1"/>
    <col min="24" max="24" width="10.6640625" style="91" customWidth="1"/>
    <col min="25" max="25" width="10.6640625" style="27" customWidth="1"/>
    <col min="26" max="26" width="10.6640625" customWidth="1"/>
  </cols>
  <sheetData>
    <row r="2" spans="1:46" ht="15" customHeight="1" x14ac:dyDescent="0.2">
      <c r="B2" t="s">
        <v>30</v>
      </c>
      <c r="Z2" t="s">
        <v>29</v>
      </c>
    </row>
    <row r="3" spans="1:46" x14ac:dyDescent="0.2">
      <c r="B3" s="1"/>
      <c r="C3" s="1"/>
      <c r="D3" s="1"/>
      <c r="E3" s="1"/>
    </row>
    <row r="4" spans="1:46" x14ac:dyDescent="0.2">
      <c r="A4" s="1" t="s">
        <v>27</v>
      </c>
    </row>
    <row r="5" spans="1:46" x14ac:dyDescent="0.2">
      <c r="A5" s="1">
        <v>1159</v>
      </c>
      <c r="B5" s="1"/>
    </row>
    <row r="7" spans="1:46" ht="16" thickBot="1" x14ac:dyDescent="0.25">
      <c r="A7" s="1"/>
      <c r="D7" s="134">
        <v>0.1</v>
      </c>
      <c r="E7" s="133"/>
      <c r="F7" s="133"/>
      <c r="G7" s="2"/>
      <c r="H7" s="134">
        <v>0.2</v>
      </c>
      <c r="I7" s="133"/>
      <c r="J7" s="133"/>
      <c r="K7" s="2"/>
      <c r="L7" s="134">
        <v>0.3</v>
      </c>
      <c r="M7" s="133"/>
      <c r="N7" s="133"/>
      <c r="O7" s="2"/>
      <c r="P7" s="134">
        <v>0.4</v>
      </c>
      <c r="Q7" s="133"/>
      <c r="R7" s="133"/>
      <c r="S7" s="2"/>
      <c r="T7" s="134">
        <v>0.5</v>
      </c>
      <c r="U7" s="133"/>
      <c r="V7" s="133"/>
      <c r="W7" s="12"/>
      <c r="X7" s="92"/>
      <c r="Y7" s="28"/>
      <c r="AB7" s="134">
        <v>0.1</v>
      </c>
      <c r="AC7" s="133"/>
      <c r="AD7" s="133"/>
      <c r="AE7" s="2"/>
      <c r="AF7" s="134">
        <v>0.2</v>
      </c>
      <c r="AG7" s="133"/>
      <c r="AH7" s="133"/>
      <c r="AI7" s="2"/>
      <c r="AJ7" s="134">
        <v>0.3</v>
      </c>
      <c r="AK7" s="133"/>
      <c r="AL7" s="133"/>
      <c r="AM7" s="2"/>
      <c r="AN7" s="134">
        <v>0.4</v>
      </c>
      <c r="AO7" s="133"/>
      <c r="AP7" s="133"/>
      <c r="AQ7" s="2"/>
      <c r="AR7" s="134">
        <v>0.5</v>
      </c>
      <c r="AS7" s="133"/>
      <c r="AT7" s="133"/>
    </row>
    <row r="8" spans="1:46" ht="16" thickBot="1" x14ac:dyDescent="0.25">
      <c r="B8" s="60" t="s">
        <v>8</v>
      </c>
      <c r="C8" s="43" t="s">
        <v>22</v>
      </c>
      <c r="D8" s="44" t="s">
        <v>7</v>
      </c>
      <c r="E8" s="36" t="s">
        <v>9</v>
      </c>
      <c r="F8" s="45" t="s">
        <v>10</v>
      </c>
      <c r="G8" s="43" t="s">
        <v>22</v>
      </c>
      <c r="H8" s="44" t="s">
        <v>7</v>
      </c>
      <c r="I8" s="36" t="s">
        <v>9</v>
      </c>
      <c r="J8" s="45" t="s">
        <v>10</v>
      </c>
      <c r="K8" s="43" t="s">
        <v>22</v>
      </c>
      <c r="L8" s="36" t="s">
        <v>7</v>
      </c>
      <c r="M8" s="36" t="s">
        <v>9</v>
      </c>
      <c r="N8" s="45" t="s">
        <v>10</v>
      </c>
      <c r="O8" s="43" t="s">
        <v>22</v>
      </c>
      <c r="P8" s="36" t="s">
        <v>7</v>
      </c>
      <c r="Q8" s="36" t="s">
        <v>9</v>
      </c>
      <c r="R8" s="45" t="s">
        <v>10</v>
      </c>
      <c r="S8" s="43" t="s">
        <v>22</v>
      </c>
      <c r="T8" s="36" t="s">
        <v>7</v>
      </c>
      <c r="U8" s="36" t="s">
        <v>9</v>
      </c>
      <c r="V8" s="45" t="s">
        <v>10</v>
      </c>
      <c r="Z8" s="13" t="s">
        <v>8</v>
      </c>
      <c r="AA8" s="43" t="s">
        <v>22</v>
      </c>
      <c r="AB8" s="44" t="s">
        <v>7</v>
      </c>
      <c r="AC8" s="36" t="s">
        <v>9</v>
      </c>
      <c r="AD8" s="45" t="s">
        <v>10</v>
      </c>
      <c r="AE8" s="43" t="s">
        <v>22</v>
      </c>
      <c r="AF8" s="44" t="s">
        <v>7</v>
      </c>
      <c r="AG8" s="36" t="s">
        <v>9</v>
      </c>
      <c r="AH8" s="45" t="s">
        <v>10</v>
      </c>
      <c r="AI8" s="43" t="s">
        <v>22</v>
      </c>
      <c r="AJ8" s="36" t="s">
        <v>7</v>
      </c>
      <c r="AK8" s="36" t="s">
        <v>9</v>
      </c>
      <c r="AL8" s="45" t="s">
        <v>10</v>
      </c>
      <c r="AM8" s="43" t="s">
        <v>22</v>
      </c>
      <c r="AN8" s="36" t="s">
        <v>7</v>
      </c>
      <c r="AO8" s="36" t="s">
        <v>9</v>
      </c>
      <c r="AP8" s="45" t="s">
        <v>10</v>
      </c>
      <c r="AQ8" s="43" t="s">
        <v>22</v>
      </c>
      <c r="AR8" s="36" t="s">
        <v>7</v>
      </c>
      <c r="AS8" s="36" t="s">
        <v>9</v>
      </c>
      <c r="AT8" s="45" t="s">
        <v>10</v>
      </c>
    </row>
    <row r="9" spans="1:46" x14ac:dyDescent="0.2">
      <c r="B9" s="52">
        <v>0</v>
      </c>
      <c r="C9" s="46">
        <f t="shared" ref="C9:V9" si="0">AVERAGE(C30,C46,C62)</f>
        <v>2018.3333333333333</v>
      </c>
      <c r="D9" s="41">
        <f t="shared" si="0"/>
        <v>51.566666666666663</v>
      </c>
      <c r="E9" s="42">
        <f t="shared" si="0"/>
        <v>4.4492378487201611E-2</v>
      </c>
      <c r="F9" s="47">
        <f t="shared" si="0"/>
        <v>0.96166666666666656</v>
      </c>
      <c r="G9" s="46">
        <f t="shared" si="0"/>
        <v>1780</v>
      </c>
      <c r="H9" s="41">
        <f t="shared" si="0"/>
        <v>46.666666666666664</v>
      </c>
      <c r="I9" s="42">
        <f t="shared" si="0"/>
        <v>4.0264595916019552E-2</v>
      </c>
      <c r="J9" s="47">
        <f t="shared" si="0"/>
        <v>0.96833333333333338</v>
      </c>
      <c r="K9" s="46">
        <f t="shared" si="0"/>
        <v>1535</v>
      </c>
      <c r="L9" s="41">
        <f t="shared" si="0"/>
        <v>43.4</v>
      </c>
      <c r="M9" s="42">
        <f t="shared" si="0"/>
        <v>3.7446074201898188E-2</v>
      </c>
      <c r="N9" s="47">
        <f t="shared" si="0"/>
        <v>0.97166666666666668</v>
      </c>
      <c r="O9" s="46">
        <f t="shared" si="0"/>
        <v>1326.6666666666667</v>
      </c>
      <c r="P9" s="41">
        <f t="shared" si="0"/>
        <v>42.633333333333333</v>
      </c>
      <c r="Q9" s="42">
        <f t="shared" si="0"/>
        <v>3.6784584411849307E-2</v>
      </c>
      <c r="R9" s="47">
        <f t="shared" si="0"/>
        <v>0.97233333333333327</v>
      </c>
      <c r="S9" s="46">
        <f t="shared" si="0"/>
        <v>1101.6666666666667</v>
      </c>
      <c r="T9" s="41">
        <f t="shared" si="0"/>
        <v>42.699999999999996</v>
      </c>
      <c r="U9" s="42">
        <f t="shared" si="0"/>
        <v>3.6842105263157891E-2</v>
      </c>
      <c r="V9" s="47">
        <f t="shared" si="0"/>
        <v>0.97133333333333338</v>
      </c>
      <c r="Z9" s="1">
        <v>0</v>
      </c>
      <c r="AA9" s="86">
        <f t="shared" ref="AA9:AT9" si="1">AVERAGE(AA30,AA46,AA62)</f>
        <v>2018.3333333333333</v>
      </c>
      <c r="AB9" s="101">
        <f t="shared" si="1"/>
        <v>61.933333333333337</v>
      </c>
      <c r="AC9" s="97">
        <f t="shared" si="1"/>
        <v>5.3436870865688817E-2</v>
      </c>
      <c r="AD9" s="117">
        <f t="shared" si="1"/>
        <v>0.94633333333333336</v>
      </c>
      <c r="AE9" s="86">
        <f t="shared" si="1"/>
        <v>1780</v>
      </c>
      <c r="AF9" s="101">
        <f t="shared" si="1"/>
        <v>52.9</v>
      </c>
      <c r="AG9" s="97">
        <f t="shared" si="1"/>
        <v>4.56427955133736E-2</v>
      </c>
      <c r="AH9" s="117">
        <f t="shared" si="1"/>
        <v>0.96233333333333337</v>
      </c>
      <c r="AI9" s="86">
        <f t="shared" si="1"/>
        <v>1535</v>
      </c>
      <c r="AJ9" s="101">
        <f t="shared" si="1"/>
        <v>47.566666666666663</v>
      </c>
      <c r="AK9" s="97">
        <f t="shared" si="1"/>
        <v>4.1041127408685645E-2</v>
      </c>
      <c r="AL9" s="117">
        <f t="shared" si="1"/>
        <v>0.96733333333333338</v>
      </c>
      <c r="AM9" s="86">
        <f t="shared" si="1"/>
        <v>1326.6666666666667</v>
      </c>
      <c r="AN9" s="101">
        <f t="shared" si="1"/>
        <v>46.833333333333336</v>
      </c>
      <c r="AO9" s="97">
        <f t="shared" si="1"/>
        <v>4.0408398044291055E-2</v>
      </c>
      <c r="AP9" s="117">
        <f t="shared" si="1"/>
        <v>0.96799999999999997</v>
      </c>
      <c r="AQ9" s="86">
        <f t="shared" si="1"/>
        <v>1101.6666666666667</v>
      </c>
      <c r="AR9" s="101">
        <f t="shared" si="1"/>
        <v>46.333333333333336</v>
      </c>
      <c r="AS9" s="97">
        <f t="shared" si="1"/>
        <v>3.9976991659476553E-2</v>
      </c>
      <c r="AT9" s="117">
        <f t="shared" si="1"/>
        <v>0.96699999999999997</v>
      </c>
    </row>
    <row r="10" spans="1:46" x14ac:dyDescent="0.2">
      <c r="B10" s="52">
        <v>1</v>
      </c>
      <c r="C10" s="46">
        <f t="shared" ref="C10:V10" si="2">AVERAGE(C31,C47,C63)</f>
        <v>1863.3333333333333</v>
      </c>
      <c r="D10" s="41">
        <f t="shared" si="2"/>
        <v>41.566666666666663</v>
      </c>
      <c r="E10" s="42">
        <f t="shared" si="2"/>
        <v>3.5864250790911704E-2</v>
      </c>
      <c r="F10" s="47">
        <f t="shared" si="2"/>
        <v>0.95366666666666677</v>
      </c>
      <c r="G10" s="46">
        <f t="shared" si="2"/>
        <v>1655</v>
      </c>
      <c r="H10" s="41">
        <f t="shared" si="2"/>
        <v>35.533333333333331</v>
      </c>
      <c r="I10" s="42">
        <f t="shared" si="2"/>
        <v>3.0658613747483465E-2</v>
      </c>
      <c r="J10" s="47">
        <f t="shared" si="2"/>
        <v>0.96366666666666667</v>
      </c>
      <c r="K10" s="46">
        <f t="shared" si="2"/>
        <v>1450</v>
      </c>
      <c r="L10" s="41">
        <f t="shared" si="2"/>
        <v>33.333333333333336</v>
      </c>
      <c r="M10" s="42">
        <f t="shared" si="2"/>
        <v>2.8760425654299687E-2</v>
      </c>
      <c r="N10" s="47">
        <f t="shared" si="2"/>
        <v>0.96600000000000008</v>
      </c>
      <c r="O10" s="46">
        <f t="shared" si="2"/>
        <v>1233.3333333333333</v>
      </c>
      <c r="P10" s="41">
        <f t="shared" si="2"/>
        <v>34.666666666666664</v>
      </c>
      <c r="Q10" s="42">
        <f t="shared" si="2"/>
        <v>2.9910842680471672E-2</v>
      </c>
      <c r="R10" s="47">
        <f t="shared" si="2"/>
        <v>0.96400000000000008</v>
      </c>
      <c r="S10" s="46">
        <f t="shared" si="2"/>
        <v>1016.6666666666666</v>
      </c>
      <c r="T10" s="41">
        <f t="shared" si="2"/>
        <v>33.766666666666666</v>
      </c>
      <c r="U10" s="42">
        <f t="shared" si="2"/>
        <v>2.9134311187805583E-2</v>
      </c>
      <c r="V10" s="47">
        <f t="shared" si="2"/>
        <v>0.96666666666666667</v>
      </c>
      <c r="Z10" s="1">
        <v>1</v>
      </c>
      <c r="AA10" s="46">
        <f t="shared" ref="AA10:AD10" si="3">AVERAGE(AA31,AA47,AA63)</f>
        <v>1863.3333333333333</v>
      </c>
      <c r="AB10" s="41">
        <f t="shared" si="3"/>
        <v>50.6</v>
      </c>
      <c r="AC10" s="42">
        <f t="shared" si="3"/>
        <v>4.3658326143226921E-2</v>
      </c>
      <c r="AD10" s="64">
        <f t="shared" si="3"/>
        <v>0.93666666666666665</v>
      </c>
      <c r="AE10" s="46">
        <f t="shared" ref="AE10:AT10" si="4">AVERAGE(AE31,AE47,AE63)</f>
        <v>1655</v>
      </c>
      <c r="AF10" s="41">
        <f t="shared" si="4"/>
        <v>41.633333333333333</v>
      </c>
      <c r="AG10" s="42">
        <f t="shared" si="4"/>
        <v>3.5921771642220303E-2</v>
      </c>
      <c r="AH10" s="64">
        <f t="shared" si="4"/>
        <v>0.95366666666666655</v>
      </c>
      <c r="AI10" s="46">
        <f t="shared" si="4"/>
        <v>1450</v>
      </c>
      <c r="AJ10" s="41">
        <f t="shared" si="4"/>
        <v>37.733333333333341</v>
      </c>
      <c r="AK10" s="42">
        <f t="shared" si="4"/>
        <v>3.2556801840667247E-2</v>
      </c>
      <c r="AL10" s="64">
        <f t="shared" si="4"/>
        <v>0.95533333333333326</v>
      </c>
      <c r="AM10" s="46">
        <f t="shared" si="4"/>
        <v>1233.3333333333333</v>
      </c>
      <c r="AN10" s="41">
        <f t="shared" si="4"/>
        <v>38.4</v>
      </c>
      <c r="AO10" s="42">
        <f t="shared" si="4"/>
        <v>3.3132010353753238E-2</v>
      </c>
      <c r="AP10" s="64">
        <f t="shared" si="4"/>
        <v>0.96</v>
      </c>
      <c r="AQ10" s="46">
        <f t="shared" si="4"/>
        <v>1016.6666666666666</v>
      </c>
      <c r="AR10" s="41">
        <f t="shared" si="4"/>
        <v>38.266666666666659</v>
      </c>
      <c r="AS10" s="42">
        <f t="shared" si="4"/>
        <v>3.3016968651136035E-2</v>
      </c>
      <c r="AT10" s="64">
        <f t="shared" si="4"/>
        <v>0.96033333333333337</v>
      </c>
    </row>
    <row r="11" spans="1:46" x14ac:dyDescent="0.2">
      <c r="B11" s="52">
        <v>2</v>
      </c>
      <c r="C11" s="46">
        <f t="shared" ref="C11:V11" si="5">AVERAGE(C32,C48,C64)</f>
        <v>1561.6666666666667</v>
      </c>
      <c r="D11" s="41">
        <f t="shared" si="5"/>
        <v>42.033333333333331</v>
      </c>
      <c r="E11" s="42">
        <f t="shared" si="5"/>
        <v>3.62668967500719E-2</v>
      </c>
      <c r="F11" s="47">
        <f t="shared" si="5"/>
        <v>0.91766666666666674</v>
      </c>
      <c r="G11" s="46">
        <f t="shared" si="5"/>
        <v>1368.3333333333333</v>
      </c>
      <c r="H11" s="41">
        <f t="shared" si="5"/>
        <v>38.133333333333333</v>
      </c>
      <c r="I11" s="42">
        <f t="shared" si="5"/>
        <v>3.2901926948518838E-2</v>
      </c>
      <c r="J11" s="47">
        <f t="shared" si="5"/>
        <v>0.93800000000000006</v>
      </c>
      <c r="K11" s="46">
        <f t="shared" si="5"/>
        <v>1210</v>
      </c>
      <c r="L11" s="41">
        <f t="shared" si="5"/>
        <v>37.366666666666667</v>
      </c>
      <c r="M11" s="42">
        <f t="shared" si="5"/>
        <v>3.2240437158469949E-2</v>
      </c>
      <c r="N11" s="47">
        <f t="shared" si="5"/>
        <v>0.93699999999999994</v>
      </c>
      <c r="O11" s="46">
        <f t="shared" si="5"/>
        <v>1025</v>
      </c>
      <c r="P11" s="41">
        <f t="shared" si="5"/>
        <v>37.266666666666666</v>
      </c>
      <c r="Q11" s="42">
        <f t="shared" si="5"/>
        <v>3.2154155881507045E-2</v>
      </c>
      <c r="R11" s="47">
        <f t="shared" si="5"/>
        <v>0.94233333333333336</v>
      </c>
      <c r="S11" s="46">
        <f t="shared" si="5"/>
        <v>826.66666666666663</v>
      </c>
      <c r="T11" s="41">
        <f t="shared" si="5"/>
        <v>37.833333333333336</v>
      </c>
      <c r="U11" s="42">
        <f t="shared" si="5"/>
        <v>3.2643083117630145E-2</v>
      </c>
      <c r="V11" s="47">
        <f t="shared" si="5"/>
        <v>0.94233333333333336</v>
      </c>
      <c r="Z11" s="1">
        <v>2</v>
      </c>
      <c r="AA11" s="46">
        <f t="shared" ref="AA11:AD11" si="6">AVERAGE(AA32,AA48,AA64)</f>
        <v>1561.6666666666667</v>
      </c>
      <c r="AB11" s="41">
        <f t="shared" si="6"/>
        <v>53.333333333333336</v>
      </c>
      <c r="AC11" s="42">
        <f t="shared" si="6"/>
        <v>4.6016681046879497E-2</v>
      </c>
      <c r="AD11" s="64">
        <f t="shared" si="6"/>
        <v>0.87733333333333319</v>
      </c>
      <c r="AE11" s="46">
        <f t="shared" ref="AE11:AT11" si="7">AVERAGE(AE32,AE48,AE64)</f>
        <v>1368.3333333333333</v>
      </c>
      <c r="AF11" s="41">
        <f t="shared" si="7"/>
        <v>44.266666666666673</v>
      </c>
      <c r="AG11" s="42">
        <f t="shared" si="7"/>
        <v>3.8193845268909982E-2</v>
      </c>
      <c r="AH11" s="64">
        <f t="shared" si="7"/>
        <v>0.92166666666666675</v>
      </c>
      <c r="AI11" s="46">
        <f t="shared" si="7"/>
        <v>1210</v>
      </c>
      <c r="AJ11" s="41">
        <f t="shared" si="7"/>
        <v>42.466666666666669</v>
      </c>
      <c r="AK11" s="42">
        <f t="shared" si="7"/>
        <v>3.6640782283577797E-2</v>
      </c>
      <c r="AL11" s="64">
        <f t="shared" si="7"/>
        <v>0.92099999999999993</v>
      </c>
      <c r="AM11" s="46">
        <f t="shared" si="7"/>
        <v>1025</v>
      </c>
      <c r="AN11" s="41">
        <f t="shared" si="7"/>
        <v>41.666666666666664</v>
      </c>
      <c r="AO11" s="42">
        <f t="shared" si="7"/>
        <v>3.5950532067874602E-2</v>
      </c>
      <c r="AP11" s="64">
        <f t="shared" si="7"/>
        <v>0.92766666666666664</v>
      </c>
      <c r="AQ11" s="46">
        <f t="shared" si="7"/>
        <v>826.66666666666663</v>
      </c>
      <c r="AR11" s="41">
        <f t="shared" si="7"/>
        <v>39.5</v>
      </c>
      <c r="AS11" s="42">
        <f t="shared" si="7"/>
        <v>3.4081104400345126E-2</v>
      </c>
      <c r="AT11" s="64">
        <f t="shared" si="7"/>
        <v>0.94100000000000017</v>
      </c>
    </row>
    <row r="12" spans="1:46" x14ac:dyDescent="0.2">
      <c r="B12" s="52">
        <v>3</v>
      </c>
      <c r="C12" s="46">
        <f t="shared" ref="C12:V12" si="8">AVERAGE(C33,C49,C65)</f>
        <v>2181.6666666666665</v>
      </c>
      <c r="D12" s="41">
        <f t="shared" si="8"/>
        <v>41.5</v>
      </c>
      <c r="E12" s="42">
        <f t="shared" si="8"/>
        <v>3.5806729939603106E-2</v>
      </c>
      <c r="F12" s="47">
        <f t="shared" si="8"/>
        <v>0.97566666666666668</v>
      </c>
      <c r="G12" s="46">
        <f t="shared" si="8"/>
        <v>1961.6666666666667</v>
      </c>
      <c r="H12" s="41">
        <f t="shared" si="8"/>
        <v>36.6</v>
      </c>
      <c r="I12" s="42">
        <f t="shared" si="8"/>
        <v>3.1578947368421054E-2</v>
      </c>
      <c r="J12" s="47">
        <f t="shared" si="8"/>
        <v>0.97899999999999998</v>
      </c>
      <c r="K12" s="46">
        <f t="shared" si="8"/>
        <v>1726.6666666666667</v>
      </c>
      <c r="L12" s="41">
        <f t="shared" si="8"/>
        <v>35.733333333333327</v>
      </c>
      <c r="M12" s="42">
        <f t="shared" si="8"/>
        <v>3.083117630140926E-2</v>
      </c>
      <c r="N12" s="47">
        <f t="shared" si="8"/>
        <v>0.98</v>
      </c>
      <c r="O12" s="46">
        <f t="shared" si="8"/>
        <v>1456.6666666666667</v>
      </c>
      <c r="P12" s="41">
        <f t="shared" si="8"/>
        <v>33.300000000000004</v>
      </c>
      <c r="Q12" s="42">
        <f t="shared" si="8"/>
        <v>2.8731665228645384E-2</v>
      </c>
      <c r="R12" s="47">
        <f t="shared" si="8"/>
        <v>0.98299999999999998</v>
      </c>
      <c r="S12" s="46">
        <f t="shared" si="8"/>
        <v>1226.6666666666667</v>
      </c>
      <c r="T12" s="41">
        <f t="shared" si="8"/>
        <v>35.299999999999997</v>
      </c>
      <c r="U12" s="42">
        <f t="shared" si="8"/>
        <v>3.0457290767903364E-2</v>
      </c>
      <c r="V12" s="47">
        <f t="shared" si="8"/>
        <v>0.98299999999999998</v>
      </c>
      <c r="Z12" s="1">
        <v>3</v>
      </c>
      <c r="AA12" s="46">
        <f t="shared" ref="AA12:AD12" si="9">AVERAGE(AA33,AA49,AA65)</f>
        <v>2181.6666666666665</v>
      </c>
      <c r="AB12" s="41">
        <f t="shared" si="9"/>
        <v>51.233333333333327</v>
      </c>
      <c r="AC12" s="42">
        <f t="shared" si="9"/>
        <v>4.4204774230658606E-2</v>
      </c>
      <c r="AD12" s="64">
        <f t="shared" si="9"/>
        <v>0.96566666666666656</v>
      </c>
      <c r="AE12" s="46">
        <f t="shared" ref="AE12:AT12" si="10">AVERAGE(AE33,AE49,AE65)</f>
        <v>1961.6666666666667</v>
      </c>
      <c r="AF12" s="41">
        <f t="shared" si="10"/>
        <v>41.43333333333333</v>
      </c>
      <c r="AG12" s="42">
        <f t="shared" si="10"/>
        <v>3.5749209088294508E-2</v>
      </c>
      <c r="AH12" s="64">
        <f t="shared" si="10"/>
        <v>0.97566666666666668</v>
      </c>
      <c r="AI12" s="46">
        <f t="shared" si="10"/>
        <v>1726.6666666666667</v>
      </c>
      <c r="AJ12" s="41">
        <f t="shared" si="10"/>
        <v>40.033333333333339</v>
      </c>
      <c r="AK12" s="42">
        <f t="shared" si="10"/>
        <v>3.454127121081392E-2</v>
      </c>
      <c r="AL12" s="64">
        <f t="shared" si="10"/>
        <v>0.97666666666666657</v>
      </c>
      <c r="AM12" s="46">
        <f t="shared" si="10"/>
        <v>1456.6666666666667</v>
      </c>
      <c r="AN12" s="41">
        <f t="shared" si="10"/>
        <v>37.033333333333331</v>
      </c>
      <c r="AO12" s="42">
        <f t="shared" si="10"/>
        <v>3.1952832901926943E-2</v>
      </c>
      <c r="AP12" s="64">
        <f t="shared" si="10"/>
        <v>0.98066666666666669</v>
      </c>
      <c r="AQ12" s="46">
        <f t="shared" si="10"/>
        <v>1226.6666666666667</v>
      </c>
      <c r="AR12" s="41">
        <f t="shared" si="10"/>
        <v>39.1</v>
      </c>
      <c r="AS12" s="42">
        <f t="shared" si="10"/>
        <v>3.3735979292493529E-2</v>
      </c>
      <c r="AT12" s="64">
        <f t="shared" si="10"/>
        <v>0.97933333333333328</v>
      </c>
    </row>
    <row r="13" spans="1:46" x14ac:dyDescent="0.2">
      <c r="B13" s="52">
        <v>4</v>
      </c>
      <c r="C13" s="46">
        <f t="shared" ref="C13:V13" si="11">AVERAGE(C34,C50,C66)</f>
        <v>1423.3333333333333</v>
      </c>
      <c r="D13" s="41">
        <f t="shared" si="11"/>
        <v>45.866666666666667</v>
      </c>
      <c r="E13" s="42">
        <f t="shared" si="11"/>
        <v>3.9574345700316364E-2</v>
      </c>
      <c r="F13" s="47">
        <f t="shared" si="11"/>
        <v>0.97166666666666668</v>
      </c>
      <c r="G13" s="46">
        <f t="shared" si="11"/>
        <v>1283.3333333333333</v>
      </c>
      <c r="H13" s="41">
        <f t="shared" si="11"/>
        <v>42.199999999999996</v>
      </c>
      <c r="I13" s="42">
        <f t="shared" si="11"/>
        <v>3.6410698878343396E-2</v>
      </c>
      <c r="J13" s="47">
        <f t="shared" si="11"/>
        <v>0.97266666666666668</v>
      </c>
      <c r="K13" s="46">
        <f t="shared" si="11"/>
        <v>1120</v>
      </c>
      <c r="L13" s="41">
        <f t="shared" si="11"/>
        <v>36.200000000000003</v>
      </c>
      <c r="M13" s="42">
        <f t="shared" si="11"/>
        <v>3.123382226056946E-2</v>
      </c>
      <c r="N13" s="47">
        <f t="shared" si="11"/>
        <v>0.98133333333333328</v>
      </c>
      <c r="O13" s="46">
        <f t="shared" si="11"/>
        <v>980</v>
      </c>
      <c r="P13" s="41">
        <f t="shared" si="11"/>
        <v>35.93333333333333</v>
      </c>
      <c r="Q13" s="42">
        <f t="shared" si="11"/>
        <v>3.1003738855335056E-2</v>
      </c>
      <c r="R13" s="47">
        <f t="shared" si="11"/>
        <v>0.98133333333333328</v>
      </c>
      <c r="S13" s="46">
        <f t="shared" si="11"/>
        <v>836.66666666666663</v>
      </c>
      <c r="T13" s="41">
        <f t="shared" si="11"/>
        <v>35.633333333333333</v>
      </c>
      <c r="U13" s="42">
        <f t="shared" si="11"/>
        <v>3.0744895024446366E-2</v>
      </c>
      <c r="V13" s="47">
        <f t="shared" si="11"/>
        <v>0.98099999999999998</v>
      </c>
      <c r="Z13" s="1">
        <v>4</v>
      </c>
      <c r="AA13" s="46">
        <f t="shared" ref="AA13:AD13" si="12">AVERAGE(AA34,AA50,AA66)</f>
        <v>1423.3333333333333</v>
      </c>
      <c r="AB13" s="41">
        <f t="shared" si="12"/>
        <v>57.566666666666663</v>
      </c>
      <c r="AC13" s="42">
        <f t="shared" si="12"/>
        <v>4.9669255104975552E-2</v>
      </c>
      <c r="AD13" s="64">
        <f t="shared" si="12"/>
        <v>0.95966666666666667</v>
      </c>
      <c r="AE13" s="46">
        <f t="shared" ref="AE13:AT13" si="13">AVERAGE(AE34,AE50,AE66)</f>
        <v>1283.3333333333333</v>
      </c>
      <c r="AF13" s="41">
        <f t="shared" si="13"/>
        <v>48.433333333333337</v>
      </c>
      <c r="AG13" s="42">
        <f t="shared" si="13"/>
        <v>4.1788898475697445E-2</v>
      </c>
      <c r="AH13" s="64">
        <f t="shared" si="13"/>
        <v>0.96566666666666656</v>
      </c>
      <c r="AI13" s="46">
        <f t="shared" si="13"/>
        <v>1120</v>
      </c>
      <c r="AJ13" s="41">
        <f t="shared" si="13"/>
        <v>40.466666666666669</v>
      </c>
      <c r="AK13" s="42">
        <f t="shared" si="13"/>
        <v>3.491515674431981E-2</v>
      </c>
      <c r="AL13" s="64">
        <f t="shared" si="13"/>
        <v>0.97733333333333328</v>
      </c>
      <c r="AM13" s="46">
        <f t="shared" si="13"/>
        <v>980</v>
      </c>
      <c r="AN13" s="41">
        <f t="shared" si="13"/>
        <v>40.199999999999996</v>
      </c>
      <c r="AO13" s="42">
        <f t="shared" si="13"/>
        <v>3.4685073339085416E-2</v>
      </c>
      <c r="AP13" s="64">
        <f t="shared" si="13"/>
        <v>0.97733333333333328</v>
      </c>
      <c r="AQ13" s="46">
        <f t="shared" si="13"/>
        <v>836.66666666666663</v>
      </c>
      <c r="AR13" s="41">
        <f t="shared" si="13"/>
        <v>40.199999999999996</v>
      </c>
      <c r="AS13" s="42">
        <f t="shared" si="13"/>
        <v>3.4685073339085416E-2</v>
      </c>
      <c r="AT13" s="64">
        <f t="shared" si="13"/>
        <v>0.97733333333333328</v>
      </c>
    </row>
    <row r="14" spans="1:46" x14ac:dyDescent="0.2">
      <c r="B14" s="52">
        <v>5</v>
      </c>
      <c r="C14" s="46">
        <f t="shared" ref="C14:V14" si="14">AVERAGE(C35,C51,C67)</f>
        <v>1383.3333333333333</v>
      </c>
      <c r="D14" s="41">
        <f t="shared" si="14"/>
        <v>44.833333333333336</v>
      </c>
      <c r="E14" s="42">
        <f t="shared" si="14"/>
        <v>3.8682772505033075E-2</v>
      </c>
      <c r="F14" s="47">
        <f t="shared" si="14"/>
        <v>0.94733333333333325</v>
      </c>
      <c r="G14" s="46">
        <f t="shared" si="14"/>
        <v>1245</v>
      </c>
      <c r="H14" s="41">
        <f t="shared" si="14"/>
        <v>34.866666666666667</v>
      </c>
      <c r="I14" s="42">
        <f t="shared" si="14"/>
        <v>3.0083405234397471E-2</v>
      </c>
      <c r="J14" s="47">
        <f t="shared" si="14"/>
        <v>0.96099999999999997</v>
      </c>
      <c r="K14" s="46">
        <f t="shared" si="14"/>
        <v>1083.3333333333333</v>
      </c>
      <c r="L14" s="41">
        <f t="shared" si="14"/>
        <v>32.833333333333336</v>
      </c>
      <c r="M14" s="42">
        <f t="shared" si="14"/>
        <v>2.8329019269485192E-2</v>
      </c>
      <c r="N14" s="47">
        <f t="shared" si="14"/>
        <v>0.96566666666666678</v>
      </c>
      <c r="O14" s="46">
        <f t="shared" si="14"/>
        <v>933.33333333333337</v>
      </c>
      <c r="P14" s="41">
        <f t="shared" si="14"/>
        <v>30.666666666666668</v>
      </c>
      <c r="Q14" s="42">
        <f t="shared" si="14"/>
        <v>2.6459591601955709E-2</v>
      </c>
      <c r="R14" s="47">
        <f t="shared" si="14"/>
        <v>0.96833333333333338</v>
      </c>
      <c r="S14" s="46">
        <f t="shared" si="14"/>
        <v>790</v>
      </c>
      <c r="T14" s="41">
        <f t="shared" si="14"/>
        <v>31.766666666666666</v>
      </c>
      <c r="U14" s="42">
        <f t="shared" si="14"/>
        <v>2.7408685648547596E-2</v>
      </c>
      <c r="V14" s="47">
        <f t="shared" si="14"/>
        <v>0.96699999999999997</v>
      </c>
      <c r="Z14" s="1">
        <v>5</v>
      </c>
      <c r="AA14" s="46">
        <f t="shared" ref="AA14:AD14" si="15">AVERAGE(AA35,AA51,AA67)</f>
        <v>1383.3333333333333</v>
      </c>
      <c r="AB14" s="41">
        <f t="shared" si="15"/>
        <v>51.699999999999996</v>
      </c>
      <c r="AC14" s="42">
        <f t="shared" si="15"/>
        <v>4.4607420189818808E-2</v>
      </c>
      <c r="AD14" s="64">
        <f t="shared" si="15"/>
        <v>0.93066666666666664</v>
      </c>
      <c r="AE14" s="46">
        <f t="shared" ref="AE14:AT14" si="16">AVERAGE(AE35,AE51,AE67)</f>
        <v>1245</v>
      </c>
      <c r="AF14" s="41">
        <f t="shared" si="16"/>
        <v>43.033333333333331</v>
      </c>
      <c r="AG14" s="42">
        <f t="shared" si="16"/>
        <v>3.712970951970089E-2</v>
      </c>
      <c r="AH14" s="64">
        <f t="shared" si="16"/>
        <v>0.94733333333333336</v>
      </c>
      <c r="AI14" s="46">
        <f t="shared" si="16"/>
        <v>1083.3333333333333</v>
      </c>
      <c r="AJ14" s="41">
        <f t="shared" si="16"/>
        <v>38.133333333333333</v>
      </c>
      <c r="AK14" s="42">
        <f t="shared" si="16"/>
        <v>3.2901926948518838E-2</v>
      </c>
      <c r="AL14" s="64">
        <f t="shared" si="16"/>
        <v>0.95733333333333326</v>
      </c>
      <c r="AM14" s="46">
        <f t="shared" si="16"/>
        <v>933.33333333333337</v>
      </c>
      <c r="AN14" s="41">
        <f t="shared" si="16"/>
        <v>34.56666666666667</v>
      </c>
      <c r="AO14" s="42">
        <f t="shared" si="16"/>
        <v>2.9824561403508771E-2</v>
      </c>
      <c r="AP14" s="64">
        <f t="shared" si="16"/>
        <v>0.96300000000000008</v>
      </c>
      <c r="AQ14" s="46">
        <f t="shared" si="16"/>
        <v>790</v>
      </c>
      <c r="AR14" s="41">
        <f t="shared" si="16"/>
        <v>35.4</v>
      </c>
      <c r="AS14" s="42">
        <f t="shared" si="16"/>
        <v>3.0543572044866268E-2</v>
      </c>
      <c r="AT14" s="64">
        <f t="shared" si="16"/>
        <v>0.96233333333333337</v>
      </c>
    </row>
    <row r="15" spans="1:46" x14ac:dyDescent="0.2">
      <c r="B15" s="52">
        <v>6</v>
      </c>
      <c r="C15" s="46">
        <f t="shared" ref="C15:V15" si="17">AVERAGE(C36,C52,C68)</f>
        <v>1945</v>
      </c>
      <c r="D15" s="41">
        <f t="shared" si="17"/>
        <v>50.233333333333327</v>
      </c>
      <c r="E15" s="42">
        <f t="shared" si="17"/>
        <v>4.3341961461029622E-2</v>
      </c>
      <c r="F15" s="47">
        <f t="shared" si="17"/>
        <v>0.92733333333333334</v>
      </c>
      <c r="G15" s="46">
        <f t="shared" si="17"/>
        <v>1705</v>
      </c>
      <c r="H15" s="41">
        <f t="shared" si="17"/>
        <v>40.066666666666663</v>
      </c>
      <c r="I15" s="42">
        <f t="shared" si="17"/>
        <v>3.4570031636468219E-2</v>
      </c>
      <c r="J15" s="47">
        <f t="shared" si="17"/>
        <v>0.96033333333333337</v>
      </c>
      <c r="K15" s="46">
        <f t="shared" si="17"/>
        <v>1491.6666666666667</v>
      </c>
      <c r="L15" s="41">
        <f t="shared" si="17"/>
        <v>38.533333333333331</v>
      </c>
      <c r="M15" s="42">
        <f t="shared" si="17"/>
        <v>3.3247052056370435E-2</v>
      </c>
      <c r="N15" s="47">
        <f t="shared" si="17"/>
        <v>0.96366666666666667</v>
      </c>
      <c r="O15" s="46">
        <f t="shared" si="17"/>
        <v>1280</v>
      </c>
      <c r="P15" s="41">
        <f t="shared" si="17"/>
        <v>35.6</v>
      </c>
      <c r="Q15" s="42">
        <f t="shared" si="17"/>
        <v>3.0716134598792064E-2</v>
      </c>
      <c r="R15" s="47">
        <f t="shared" si="17"/>
        <v>0.96666666666666667</v>
      </c>
      <c r="S15" s="46">
        <f t="shared" si="17"/>
        <v>1070</v>
      </c>
      <c r="T15" s="41">
        <f t="shared" si="17"/>
        <v>34.9</v>
      </c>
      <c r="U15" s="42">
        <f t="shared" si="17"/>
        <v>3.0112165660051773E-2</v>
      </c>
      <c r="V15" s="47">
        <f t="shared" si="17"/>
        <v>0.96899999999999997</v>
      </c>
      <c r="Z15" s="1">
        <v>6</v>
      </c>
      <c r="AA15" s="46">
        <f t="shared" ref="AA15:AD15" si="18">AVERAGE(AA36,AA52,AA68)</f>
        <v>1945</v>
      </c>
      <c r="AB15" s="41">
        <f t="shared" si="18"/>
        <v>60.966666666666669</v>
      </c>
      <c r="AC15" s="42">
        <f t="shared" si="18"/>
        <v>5.2602818521714119E-2</v>
      </c>
      <c r="AD15" s="64">
        <f t="shared" si="18"/>
        <v>0.88166666666666671</v>
      </c>
      <c r="AE15" s="46">
        <f t="shared" ref="AE15:AT15" si="19">AVERAGE(AE36,AE52,AE68)</f>
        <v>1705</v>
      </c>
      <c r="AF15" s="41">
        <f t="shared" si="19"/>
        <v>45.233333333333327</v>
      </c>
      <c r="AG15" s="42">
        <f t="shared" si="19"/>
        <v>3.9027897612884672E-2</v>
      </c>
      <c r="AH15" s="64">
        <f t="shared" si="19"/>
        <v>0.95299999999999996</v>
      </c>
      <c r="AI15" s="46">
        <f t="shared" si="19"/>
        <v>1491.6666666666667</v>
      </c>
      <c r="AJ15" s="41">
        <f t="shared" si="19"/>
        <v>42.5</v>
      </c>
      <c r="AK15" s="42">
        <f t="shared" si="19"/>
        <v>3.6669542709232096E-2</v>
      </c>
      <c r="AL15" s="64">
        <f t="shared" si="19"/>
        <v>0.95600000000000007</v>
      </c>
      <c r="AM15" s="46">
        <f t="shared" si="19"/>
        <v>1280</v>
      </c>
      <c r="AN15" s="41">
        <f t="shared" si="19"/>
        <v>39.700000000000003</v>
      </c>
      <c r="AO15" s="42">
        <f t="shared" si="19"/>
        <v>3.4253666954270921E-2</v>
      </c>
      <c r="AP15" s="64">
        <f t="shared" si="19"/>
        <v>0.96</v>
      </c>
      <c r="AQ15" s="46">
        <f t="shared" si="19"/>
        <v>1070</v>
      </c>
      <c r="AR15" s="41">
        <f t="shared" si="19"/>
        <v>38.933333333333337</v>
      </c>
      <c r="AS15" s="42">
        <f t="shared" si="19"/>
        <v>3.3592177164222026E-2</v>
      </c>
      <c r="AT15" s="64">
        <f t="shared" si="19"/>
        <v>0.96300000000000008</v>
      </c>
    </row>
    <row r="16" spans="1:46" ht="16" thickBot="1" x14ac:dyDescent="0.25">
      <c r="B16" s="53">
        <v>7</v>
      </c>
      <c r="C16" s="48">
        <f t="shared" ref="C16:V16" si="20">AVERAGE(C37,C53,C69)</f>
        <v>728.33333333333337</v>
      </c>
      <c r="D16" s="49">
        <f t="shared" si="20"/>
        <v>133.66666666666666</v>
      </c>
      <c r="E16" s="50">
        <f t="shared" si="20"/>
        <v>0.11532930687374172</v>
      </c>
      <c r="F16" s="51">
        <f t="shared" si="20"/>
        <v>0.47800000000000004</v>
      </c>
      <c r="G16" s="48">
        <f t="shared" si="20"/>
        <v>651.66666666666663</v>
      </c>
      <c r="H16" s="49">
        <f t="shared" si="20"/>
        <v>45.466666666666669</v>
      </c>
      <c r="I16" s="50">
        <f t="shared" si="20"/>
        <v>3.922922059246476E-2</v>
      </c>
      <c r="J16" s="51">
        <f t="shared" si="20"/>
        <v>0.94533333333333347</v>
      </c>
      <c r="K16" s="48">
        <f t="shared" si="20"/>
        <v>578.33333333333337</v>
      </c>
      <c r="L16" s="49">
        <f t="shared" si="20"/>
        <v>44.199999999999996</v>
      </c>
      <c r="M16" s="50">
        <f t="shared" si="20"/>
        <v>3.8136324417601376E-2</v>
      </c>
      <c r="N16" s="51">
        <f t="shared" si="20"/>
        <v>0.94733333333333336</v>
      </c>
      <c r="O16" s="48">
        <f t="shared" si="20"/>
        <v>505</v>
      </c>
      <c r="P16" s="49">
        <f t="shared" si="20"/>
        <v>39.666666666666671</v>
      </c>
      <c r="Q16" s="50">
        <f t="shared" si="20"/>
        <v>3.4224906528616629E-2</v>
      </c>
      <c r="R16" s="51">
        <f t="shared" si="20"/>
        <v>0.95400000000000007</v>
      </c>
      <c r="S16" s="48">
        <f t="shared" si="20"/>
        <v>411.66666666666669</v>
      </c>
      <c r="T16" s="49">
        <f t="shared" si="20"/>
        <v>38.633333333333333</v>
      </c>
      <c r="U16" s="50">
        <f t="shared" si="20"/>
        <v>3.3333333333333333E-2</v>
      </c>
      <c r="V16" s="51">
        <f t="shared" si="20"/>
        <v>0.95699999999999996</v>
      </c>
      <c r="Z16" s="1">
        <v>7</v>
      </c>
      <c r="AA16" s="48">
        <f t="shared" ref="AA16:AC16" si="21">AVERAGE(AA37,AA53,AA69)</f>
        <v>728.33333333333337</v>
      </c>
      <c r="AB16" s="49">
        <f t="shared" si="21"/>
        <v>156.86666666666667</v>
      </c>
      <c r="AC16" s="50">
        <f t="shared" si="21"/>
        <v>0.13534656312913432</v>
      </c>
      <c r="AD16" s="118">
        <f>AVERAGE(AD37,AD53,AD69)</f>
        <v>0.39233333333333337</v>
      </c>
      <c r="AE16" s="48">
        <f t="shared" ref="AE16:AG16" si="22">AVERAGE(AE37,AE53,AE69)</f>
        <v>651.66666666666663</v>
      </c>
      <c r="AF16" s="49">
        <f t="shared" si="22"/>
        <v>55.066666666666663</v>
      </c>
      <c r="AG16" s="50">
        <f t="shared" si="22"/>
        <v>4.751222318090307E-2</v>
      </c>
      <c r="AH16" s="118">
        <f>AVERAGE(AH37,AH53,AH69)</f>
        <v>0.92466666666666664</v>
      </c>
      <c r="AI16" s="48">
        <f t="shared" ref="AI16:AK16" si="23">AVERAGE(AI37,AI53,AI69)</f>
        <v>578.33333333333337</v>
      </c>
      <c r="AJ16" s="49">
        <f t="shared" si="23"/>
        <v>51.733333333333327</v>
      </c>
      <c r="AK16" s="50">
        <f t="shared" si="23"/>
        <v>4.4636180615473108E-2</v>
      </c>
      <c r="AL16" s="118">
        <f>AVERAGE(AL37,AL53,AL69)</f>
        <v>0.93100000000000005</v>
      </c>
      <c r="AM16" s="48">
        <f t="shared" ref="AM16:AO16" si="24">AVERAGE(AM37,AM53,AM69)</f>
        <v>505</v>
      </c>
      <c r="AN16" s="49">
        <f t="shared" si="24"/>
        <v>46.699999999999996</v>
      </c>
      <c r="AO16" s="50">
        <f t="shared" si="24"/>
        <v>4.0293356341673858E-2</v>
      </c>
      <c r="AP16" s="118">
        <f>AVERAGE(AP37,AP53,AP69)</f>
        <v>0.93966666666666665</v>
      </c>
      <c r="AQ16" s="48">
        <f t="shared" ref="AQ16:AS16" si="25">AVERAGE(AQ37,AQ53,AQ69)</f>
        <v>411.66666666666669</v>
      </c>
      <c r="AR16" s="49">
        <f t="shared" si="25"/>
        <v>45.099999999999994</v>
      </c>
      <c r="AS16" s="50">
        <f t="shared" si="25"/>
        <v>3.8912855910267476E-2</v>
      </c>
      <c r="AT16" s="118">
        <f>AVERAGE(AT37,AT53,AT69)</f>
        <v>0.94333333333333336</v>
      </c>
    </row>
    <row r="17" spans="1:46" ht="16" thickBot="1" x14ac:dyDescent="0.25">
      <c r="C17" s="37"/>
      <c r="D17" s="28"/>
      <c r="E17" s="42"/>
      <c r="F17" s="27"/>
      <c r="G17" s="28"/>
      <c r="H17" s="28"/>
      <c r="I17" s="42"/>
      <c r="J17" s="27"/>
      <c r="K17" s="37"/>
      <c r="L17" s="27"/>
      <c r="M17" s="42"/>
      <c r="N17" s="27"/>
      <c r="O17" s="28"/>
      <c r="P17" s="27"/>
      <c r="Q17" s="42"/>
      <c r="R17" s="27"/>
      <c r="S17" s="28"/>
      <c r="T17" s="27"/>
      <c r="U17" s="42"/>
      <c r="V17" s="27"/>
      <c r="AA17" s="37"/>
      <c r="AB17" s="28"/>
      <c r="AC17" s="42"/>
      <c r="AD17" s="27"/>
      <c r="AE17" s="28"/>
      <c r="AF17" s="28"/>
      <c r="AG17" s="42"/>
      <c r="AH17" s="27"/>
      <c r="AI17" s="37"/>
      <c r="AJ17" s="27"/>
      <c r="AK17" s="42"/>
      <c r="AL17" s="27"/>
      <c r="AM17" s="28"/>
      <c r="AN17" s="27"/>
      <c r="AO17" s="42"/>
      <c r="AP17" s="27"/>
      <c r="AQ17" s="28"/>
      <c r="AR17" s="27"/>
      <c r="AS17" s="42"/>
      <c r="AT17" s="27"/>
    </row>
    <row r="18" spans="1:46" ht="16" thickBot="1" x14ac:dyDescent="0.25">
      <c r="B18" s="1" t="s">
        <v>11</v>
      </c>
      <c r="C18" s="28"/>
      <c r="D18" s="56">
        <f>AVERAGE(D39,D55,D71)</f>
        <v>50.629085590741454</v>
      </c>
      <c r="E18" s="59">
        <f t="shared" ref="E18:F18" si="26">AVERAGE(E39,E55,E71)</f>
        <v>4.3683421562330842E-2</v>
      </c>
      <c r="F18" s="57">
        <f t="shared" si="26"/>
        <v>0.92860002543558451</v>
      </c>
      <c r="G18" s="28"/>
      <c r="H18" s="56">
        <f t="shared" ref="H18:J18" si="27">AVERAGE(H39,H55,H71)</f>
        <v>39.543376251788267</v>
      </c>
      <c r="I18" s="59">
        <f t="shared" si="27"/>
        <v>3.4118529984286688E-2</v>
      </c>
      <c r="J18" s="57">
        <f t="shared" si="27"/>
        <v>0.9659407725321888</v>
      </c>
      <c r="K18" s="28"/>
      <c r="L18" s="56">
        <f t="shared" ref="L18:N18" si="28">AVERAGE(L39,L55,L71)</f>
        <v>37.472486512996561</v>
      </c>
      <c r="M18" s="59">
        <f>AVERAGE(M39,M55,M71)</f>
        <v>3.2331739873163561E-2</v>
      </c>
      <c r="N18" s="57">
        <f t="shared" si="28"/>
        <v>0.96863740395618769</v>
      </c>
      <c r="O18" s="28"/>
      <c r="P18" s="56">
        <f t="shared" ref="P18:R18" si="29">AVERAGE(P39,P55,P71)</f>
        <v>36.345289855072465</v>
      </c>
      <c r="Q18" s="59">
        <f>AVERAGE(Q39,Q55,Q71)</f>
        <v>3.1359180202823522E-2</v>
      </c>
      <c r="R18" s="57">
        <f t="shared" si="29"/>
        <v>0.97028222730739888</v>
      </c>
      <c r="S18" s="28"/>
      <c r="T18" s="56">
        <f t="shared" ref="T18:V18" si="30">AVERAGE(T39,T55,T71)</f>
        <v>36.316849816849818</v>
      </c>
      <c r="U18" s="59">
        <f>AVERAGE(U39,U55,U71)</f>
        <v>3.1334641774676285E-2</v>
      </c>
      <c r="V18" s="57">
        <f t="shared" si="30"/>
        <v>0.97094436813186802</v>
      </c>
      <c r="Z18" s="1" t="s">
        <v>11</v>
      </c>
      <c r="AA18" s="28"/>
      <c r="AB18" s="56">
        <f t="shared" ref="AB18:AG18" si="31">AVERAGE(AB39,AB55,AB71)</f>
        <v>61.138395014625452</v>
      </c>
      <c r="AC18" s="59">
        <f t="shared" si="31"/>
        <v>5.2750987933240262E-2</v>
      </c>
      <c r="AD18" s="57">
        <f>AVERAGE(AD39,AD55,AD71)</f>
        <v>0.90610568485310949</v>
      </c>
      <c r="AE18" s="28"/>
      <c r="AF18" s="56">
        <f t="shared" si="31"/>
        <v>45.885951359084402</v>
      </c>
      <c r="AG18" s="59">
        <f t="shared" si="31"/>
        <v>3.9590984779192755E-2</v>
      </c>
      <c r="AH18" s="57">
        <f>AVERAGE(AH39,AH55,AH71)</f>
        <v>0.95710128755364809</v>
      </c>
      <c r="AI18" s="28"/>
      <c r="AJ18" s="56">
        <f t="shared" ref="AJ18:AK18" si="32">AVERAGE(AJ39,AJ55,AJ71)</f>
        <v>42.102844531633153</v>
      </c>
      <c r="AK18" s="59">
        <f t="shared" si="32"/>
        <v>3.6326871899597199E-2</v>
      </c>
      <c r="AL18" s="57">
        <f>AVERAGE(AL39,AL55,AL71)</f>
        <v>0.9614317475886871</v>
      </c>
      <c r="AM18" s="28"/>
      <c r="AN18" s="56">
        <f t="shared" ref="AN18:AO18" si="33">AVERAGE(AN39,AN55,AN71)</f>
        <v>40.63213196033562</v>
      </c>
      <c r="AO18" s="59">
        <f t="shared" si="33"/>
        <v>3.5057922312627804E-2</v>
      </c>
      <c r="AP18" s="57">
        <f>AVERAGE(AP39,AP55,AP71)</f>
        <v>0.96456369183829127</v>
      </c>
      <c r="AQ18" s="28"/>
      <c r="AR18" s="56">
        <f t="shared" ref="AR18:AS18" si="34">AVERAGE(AR39,AR55,AR71)</f>
        <v>40.268612637362644</v>
      </c>
      <c r="AS18" s="59">
        <f t="shared" si="34"/>
        <v>3.4744273198759827E-2</v>
      </c>
      <c r="AT18" s="57">
        <f>AVERAGE(AT39,AT55,AT71)</f>
        <v>0.96634363553113556</v>
      </c>
    </row>
    <row r="19" spans="1:46" ht="15" customHeight="1" x14ac:dyDescent="0.2">
      <c r="P19" s="30"/>
    </row>
    <row r="20" spans="1:46" ht="15" customHeight="1" x14ac:dyDescent="0.2">
      <c r="D20" s="30"/>
      <c r="H20" s="30"/>
      <c r="L20" s="30"/>
      <c r="P20" s="30"/>
      <c r="T20" s="30"/>
    </row>
    <row r="21" spans="1:46" x14ac:dyDescent="0.2">
      <c r="C21" s="24"/>
      <c r="G21" s="24"/>
      <c r="K21" s="24"/>
      <c r="O21" s="24"/>
      <c r="S21" s="24"/>
    </row>
    <row r="22" spans="1:46" x14ac:dyDescent="0.2">
      <c r="C22" s="24"/>
      <c r="G22" s="24"/>
      <c r="K22" s="24"/>
      <c r="O22" s="24"/>
      <c r="S22" s="24"/>
    </row>
    <row r="23" spans="1:46" s="32" customFormat="1" ht="16" thickBot="1" x14ac:dyDescent="0.25">
      <c r="C23" s="35"/>
      <c r="G23" s="35"/>
      <c r="K23" s="35"/>
      <c r="O23" s="35"/>
      <c r="S23" s="35"/>
      <c r="X23" s="93"/>
    </row>
    <row r="24" spans="1:46" s="32" customFormat="1" ht="16" thickBot="1" x14ac:dyDescent="0.25">
      <c r="C24" s="35"/>
      <c r="G24" s="35"/>
      <c r="K24" s="35"/>
      <c r="O24" s="35"/>
      <c r="S24" s="35"/>
      <c r="X24" s="93"/>
    </row>
    <row r="25" spans="1:46" x14ac:dyDescent="0.2">
      <c r="C25" s="24"/>
      <c r="G25" s="24"/>
      <c r="K25" s="24"/>
      <c r="O25" s="24"/>
      <c r="S25" s="24"/>
    </row>
    <row r="26" spans="1:46" ht="15.75" customHeight="1" x14ac:dyDescent="0.2"/>
    <row r="27" spans="1:46" ht="15.75" customHeight="1" x14ac:dyDescent="0.2"/>
    <row r="28" spans="1:46" ht="15.75" customHeight="1" x14ac:dyDescent="0.2">
      <c r="A28" s="1" t="s">
        <v>23</v>
      </c>
      <c r="D28" s="134">
        <v>0.1</v>
      </c>
      <c r="E28" s="133"/>
      <c r="F28" s="133"/>
      <c r="G28" s="2"/>
      <c r="H28" s="134">
        <v>0.2</v>
      </c>
      <c r="I28" s="133"/>
      <c r="J28" s="133"/>
      <c r="K28" s="2"/>
      <c r="L28" s="134">
        <v>0.3</v>
      </c>
      <c r="M28" s="133"/>
      <c r="N28" s="133"/>
      <c r="O28" s="2"/>
      <c r="P28" s="134">
        <v>0.4</v>
      </c>
      <c r="Q28" s="133"/>
      <c r="R28" s="133"/>
      <c r="S28" s="2"/>
      <c r="T28" s="134">
        <v>0.5</v>
      </c>
      <c r="U28" s="133"/>
      <c r="V28" s="133"/>
      <c r="Y28" s="28" t="s">
        <v>23</v>
      </c>
      <c r="AB28" s="134">
        <v>0.1</v>
      </c>
      <c r="AC28" s="133"/>
      <c r="AD28" s="133"/>
      <c r="AE28" s="2"/>
      <c r="AF28" s="134">
        <v>0.2</v>
      </c>
      <c r="AG28" s="133"/>
      <c r="AH28" s="133"/>
      <c r="AI28" s="2"/>
      <c r="AJ28" s="134">
        <v>0.3</v>
      </c>
      <c r="AK28" s="133"/>
      <c r="AL28" s="133"/>
      <c r="AM28" s="2"/>
      <c r="AN28" s="134">
        <v>0.4</v>
      </c>
      <c r="AO28" s="133"/>
      <c r="AP28" s="133"/>
      <c r="AQ28" s="2"/>
      <c r="AR28" s="134">
        <v>0.5</v>
      </c>
      <c r="AS28" s="133"/>
      <c r="AT28" s="133"/>
    </row>
    <row r="29" spans="1:46" ht="15.75" customHeight="1" thickBot="1" x14ac:dyDescent="0.25">
      <c r="B29" s="13" t="s">
        <v>8</v>
      </c>
      <c r="C29" s="22" t="s">
        <v>22</v>
      </c>
      <c r="D29" s="14" t="s">
        <v>7</v>
      </c>
      <c r="E29" s="13" t="s">
        <v>9</v>
      </c>
      <c r="F29" s="13" t="s">
        <v>10</v>
      </c>
      <c r="G29" s="22" t="s">
        <v>22</v>
      </c>
      <c r="H29" s="14" t="s">
        <v>7</v>
      </c>
      <c r="I29" s="13" t="s">
        <v>9</v>
      </c>
      <c r="J29" s="13" t="s">
        <v>10</v>
      </c>
      <c r="K29" s="22" t="s">
        <v>22</v>
      </c>
      <c r="L29" s="13" t="s">
        <v>7</v>
      </c>
      <c r="M29" s="13" t="s">
        <v>9</v>
      </c>
      <c r="N29" s="13" t="s">
        <v>10</v>
      </c>
      <c r="O29" s="22" t="s">
        <v>22</v>
      </c>
      <c r="P29" s="13" t="s">
        <v>7</v>
      </c>
      <c r="Q29" s="13" t="s">
        <v>9</v>
      </c>
      <c r="R29" s="13" t="s">
        <v>10</v>
      </c>
      <c r="S29" s="22" t="s">
        <v>22</v>
      </c>
      <c r="T29" s="13" t="s">
        <v>7</v>
      </c>
      <c r="U29" s="13" t="s">
        <v>9</v>
      </c>
      <c r="V29" s="13" t="s">
        <v>10</v>
      </c>
      <c r="Z29" s="13" t="s">
        <v>8</v>
      </c>
      <c r="AA29" s="22" t="s">
        <v>22</v>
      </c>
      <c r="AB29" s="14" t="s">
        <v>7</v>
      </c>
      <c r="AC29" s="13" t="s">
        <v>9</v>
      </c>
      <c r="AD29" s="13" t="s">
        <v>10</v>
      </c>
      <c r="AE29" s="22" t="s">
        <v>22</v>
      </c>
      <c r="AF29" s="14" t="s">
        <v>7</v>
      </c>
      <c r="AG29" s="13" t="s">
        <v>9</v>
      </c>
      <c r="AH29" s="13" t="s">
        <v>10</v>
      </c>
      <c r="AI29" s="22" t="s">
        <v>22</v>
      </c>
      <c r="AJ29" s="13" t="s">
        <v>7</v>
      </c>
      <c r="AK29" s="13" t="s">
        <v>9</v>
      </c>
      <c r="AL29" s="13" t="s">
        <v>10</v>
      </c>
      <c r="AM29" s="22" t="s">
        <v>22</v>
      </c>
      <c r="AN29" s="13" t="s">
        <v>7</v>
      </c>
      <c r="AO29" s="13" t="s">
        <v>9</v>
      </c>
      <c r="AP29" s="13" t="s">
        <v>10</v>
      </c>
      <c r="AQ29" s="22" t="s">
        <v>22</v>
      </c>
      <c r="AR29" s="13" t="s">
        <v>7</v>
      </c>
      <c r="AS29" s="13" t="s">
        <v>9</v>
      </c>
      <c r="AT29" s="13" t="s">
        <v>10</v>
      </c>
    </row>
    <row r="30" spans="1:46" ht="15.75" customHeight="1" x14ac:dyDescent="0.2">
      <c r="B30" s="1">
        <v>0</v>
      </c>
      <c r="C30" s="23">
        <v>1580</v>
      </c>
      <c r="D30" s="17">
        <v>56.1</v>
      </c>
      <c r="E30" s="16">
        <f t="shared" ref="E30:E37" si="35">D30/$A$5</f>
        <v>4.8403796376186366E-2</v>
      </c>
      <c r="F30" s="28">
        <v>0.95299999999999996</v>
      </c>
      <c r="G30" s="17">
        <v>1345</v>
      </c>
      <c r="H30" s="17">
        <v>46</v>
      </c>
      <c r="I30" s="16">
        <f t="shared" ref="I30:I37" si="36">H30/$A$5</f>
        <v>3.9689387402933561E-2</v>
      </c>
      <c r="J30" s="28">
        <v>0.96599999999999997</v>
      </c>
      <c r="K30" s="23">
        <v>1120</v>
      </c>
      <c r="L30" s="28">
        <v>40</v>
      </c>
      <c r="M30" s="16">
        <f t="shared" ref="M30:M37" si="37">L30/$A$5</f>
        <v>3.4512510785159621E-2</v>
      </c>
      <c r="N30" s="28">
        <v>0.97399999999999998</v>
      </c>
      <c r="O30" s="23">
        <v>970</v>
      </c>
      <c r="P30" s="28">
        <v>40.200000000000003</v>
      </c>
      <c r="Q30" s="16">
        <f t="shared" ref="Q30:Q37" si="38">P30/$A$5</f>
        <v>3.4685073339085423E-2</v>
      </c>
      <c r="R30" s="28">
        <v>0.97399999999999998</v>
      </c>
      <c r="S30" s="23">
        <v>775</v>
      </c>
      <c r="T30" s="28">
        <v>43.5</v>
      </c>
      <c r="U30" s="16">
        <f t="shared" ref="U30:U37" si="39">T30/$A$5</f>
        <v>3.7532355478861086E-2</v>
      </c>
      <c r="V30" s="28">
        <v>0.96699999999999997</v>
      </c>
      <c r="Z30" s="1">
        <v>0</v>
      </c>
      <c r="AA30" s="23">
        <v>1580</v>
      </c>
      <c r="AB30" s="17">
        <v>73.099999999999994</v>
      </c>
      <c r="AC30" s="16">
        <f t="shared" ref="AC30:AC37" si="40">AB30/$A$5</f>
        <v>6.3071613459879203E-2</v>
      </c>
      <c r="AD30" s="28">
        <v>0.92100000000000004</v>
      </c>
      <c r="AE30" s="17">
        <v>1345</v>
      </c>
      <c r="AF30" s="17">
        <v>50.7</v>
      </c>
      <c r="AG30" s="16">
        <f t="shared" ref="AG30:AG37" si="41">AF30/$A$5</f>
        <v>4.3744607420189818E-2</v>
      </c>
      <c r="AH30" s="28">
        <v>0.96099999999999997</v>
      </c>
      <c r="AI30" s="23">
        <v>1120</v>
      </c>
      <c r="AJ30" s="28">
        <v>42.8</v>
      </c>
      <c r="AK30" s="16">
        <f t="shared" ref="AK30:AK37" si="42">AJ30/$A$5</f>
        <v>3.6928386540120789E-2</v>
      </c>
      <c r="AL30" s="28">
        <v>0.97199999999999998</v>
      </c>
      <c r="AM30" s="23">
        <v>970</v>
      </c>
      <c r="AN30" s="28">
        <v>42</v>
      </c>
      <c r="AO30" s="16">
        <f t="shared" ref="AO30:AO37" si="43">AN30/$A$5</f>
        <v>3.6238136324417601E-2</v>
      </c>
      <c r="AP30" s="28">
        <v>0.97199999999999998</v>
      </c>
      <c r="AQ30" s="23">
        <v>775</v>
      </c>
      <c r="AR30" s="28">
        <v>45.3</v>
      </c>
      <c r="AS30" s="16">
        <f t="shared" ref="AS30:AS37" si="44">AR30/$A$5</f>
        <v>3.9085418464193271E-2</v>
      </c>
      <c r="AT30" s="28">
        <v>0.96399999999999997</v>
      </c>
    </row>
    <row r="31" spans="1:46" ht="15.75" customHeight="1" x14ac:dyDescent="0.2">
      <c r="B31" s="1">
        <v>1</v>
      </c>
      <c r="C31" s="23">
        <v>2245</v>
      </c>
      <c r="D31" s="17">
        <v>56.3</v>
      </c>
      <c r="E31" s="16">
        <f t="shared" si="35"/>
        <v>4.8576358930112161E-2</v>
      </c>
      <c r="F31" s="28">
        <v>0.96</v>
      </c>
      <c r="G31" s="17">
        <v>2040</v>
      </c>
      <c r="H31" s="17">
        <v>40</v>
      </c>
      <c r="I31" s="16">
        <f t="shared" si="36"/>
        <v>3.4512510785159621E-2</v>
      </c>
      <c r="J31" s="28">
        <v>0.97899999999999998</v>
      </c>
      <c r="K31" s="23">
        <v>1775</v>
      </c>
      <c r="L31" s="28">
        <v>37.6</v>
      </c>
      <c r="M31" s="16">
        <f t="shared" si="37"/>
        <v>3.2441760138050044E-2</v>
      </c>
      <c r="N31" s="28">
        <v>0.98099999999999998</v>
      </c>
      <c r="O31" s="23">
        <v>1490</v>
      </c>
      <c r="P31" s="28">
        <v>39.5</v>
      </c>
      <c r="Q31" s="16">
        <f t="shared" si="38"/>
        <v>3.4081104400345126E-2</v>
      </c>
      <c r="R31" s="28">
        <v>0.98</v>
      </c>
      <c r="S31" s="23">
        <v>1205</v>
      </c>
      <c r="T31" s="28">
        <v>38.200000000000003</v>
      </c>
      <c r="U31" s="16">
        <f t="shared" si="39"/>
        <v>3.2959447799827443E-2</v>
      </c>
      <c r="V31" s="28">
        <v>0.98199999999999998</v>
      </c>
      <c r="Z31" s="1">
        <v>1</v>
      </c>
      <c r="AA31" s="23">
        <v>2245</v>
      </c>
      <c r="AB31" s="17">
        <v>67.7</v>
      </c>
      <c r="AC31" s="16">
        <f t="shared" si="40"/>
        <v>5.8412424503882662E-2</v>
      </c>
      <c r="AD31" s="28">
        <v>0.94299999999999995</v>
      </c>
      <c r="AE31" s="17">
        <v>2040</v>
      </c>
      <c r="AF31" s="17">
        <v>45.9</v>
      </c>
      <c r="AG31" s="16">
        <f t="shared" si="41"/>
        <v>3.9603106125970663E-2</v>
      </c>
      <c r="AH31" s="28">
        <v>0.97499999999999998</v>
      </c>
      <c r="AI31" s="23">
        <v>1775</v>
      </c>
      <c r="AJ31" s="28">
        <v>40.6</v>
      </c>
      <c r="AK31" s="16">
        <f t="shared" si="42"/>
        <v>3.5030198446937014E-2</v>
      </c>
      <c r="AL31" s="28">
        <v>0.97899999999999998</v>
      </c>
      <c r="AM31" s="23">
        <v>1490</v>
      </c>
      <c r="AN31" s="28">
        <v>43.6</v>
      </c>
      <c r="AO31" s="16">
        <f t="shared" si="43"/>
        <v>3.7618636755823991E-2</v>
      </c>
      <c r="AP31" s="28">
        <v>0.97699999999999998</v>
      </c>
      <c r="AQ31" s="23">
        <v>1205</v>
      </c>
      <c r="AR31" s="28">
        <v>43.4</v>
      </c>
      <c r="AS31" s="16">
        <f t="shared" si="44"/>
        <v>3.7446074201898188E-2</v>
      </c>
      <c r="AT31" s="28">
        <v>0.97799999999999998</v>
      </c>
    </row>
    <row r="32" spans="1:46" ht="15.75" customHeight="1" x14ac:dyDescent="0.2">
      <c r="B32" s="1">
        <v>2</v>
      </c>
      <c r="C32" s="23">
        <v>2035</v>
      </c>
      <c r="D32" s="17">
        <v>47.9</v>
      </c>
      <c r="E32" s="16">
        <f t="shared" si="35"/>
        <v>4.1328731665228643E-2</v>
      </c>
      <c r="F32" s="28">
        <v>0.96899999999999997</v>
      </c>
      <c r="G32" s="17">
        <v>1785</v>
      </c>
      <c r="H32" s="17">
        <v>43</v>
      </c>
      <c r="I32" s="16">
        <f t="shared" si="36"/>
        <v>3.7100949094046591E-2</v>
      </c>
      <c r="J32" s="28">
        <v>0.97499999999999998</v>
      </c>
      <c r="K32" s="23">
        <v>1610</v>
      </c>
      <c r="L32" s="28">
        <v>41.1</v>
      </c>
      <c r="M32" s="16">
        <f t="shared" si="37"/>
        <v>3.5461604831751509E-2</v>
      </c>
      <c r="N32" s="28">
        <v>0.97599999999999998</v>
      </c>
      <c r="O32" s="23">
        <v>1355</v>
      </c>
      <c r="P32" s="28">
        <v>43.9</v>
      </c>
      <c r="Q32" s="16">
        <f t="shared" si="38"/>
        <v>3.7877480586712683E-2</v>
      </c>
      <c r="R32" s="28">
        <v>0.97299999999999998</v>
      </c>
      <c r="S32" s="23">
        <v>1125</v>
      </c>
      <c r="T32" s="28">
        <v>44.1</v>
      </c>
      <c r="U32" s="16">
        <f t="shared" si="39"/>
        <v>3.8050043140638486E-2</v>
      </c>
      <c r="V32" s="28">
        <v>0.97099999999999997</v>
      </c>
      <c r="Z32" s="1">
        <v>2</v>
      </c>
      <c r="AA32" s="23">
        <v>2035</v>
      </c>
      <c r="AB32" s="17">
        <v>55.4</v>
      </c>
      <c r="AC32" s="16">
        <f t="shared" si="40"/>
        <v>4.7799827437446075E-2</v>
      </c>
      <c r="AD32" s="28">
        <v>0.96199999999999997</v>
      </c>
      <c r="AE32" s="17">
        <v>1785</v>
      </c>
      <c r="AF32" s="17">
        <v>50.7</v>
      </c>
      <c r="AG32" s="16">
        <f t="shared" si="41"/>
        <v>4.3744607420189818E-2</v>
      </c>
      <c r="AH32" s="28">
        <v>0.96699999999999997</v>
      </c>
      <c r="AI32" s="23">
        <v>1610</v>
      </c>
      <c r="AJ32" s="28">
        <v>45.7</v>
      </c>
      <c r="AK32" s="16">
        <f t="shared" si="42"/>
        <v>3.9430543572044868E-2</v>
      </c>
      <c r="AL32" s="28">
        <v>0.97199999999999998</v>
      </c>
      <c r="AM32" s="23">
        <v>1355</v>
      </c>
      <c r="AN32" s="28">
        <v>47.9</v>
      </c>
      <c r="AO32" s="16">
        <f t="shared" si="43"/>
        <v>4.1328731665228643E-2</v>
      </c>
      <c r="AP32" s="28">
        <v>0.96799999999999997</v>
      </c>
      <c r="AQ32" s="23">
        <v>1125</v>
      </c>
      <c r="AR32" s="28">
        <v>47.6</v>
      </c>
      <c r="AS32" s="16">
        <f t="shared" si="44"/>
        <v>4.1069887834339951E-2</v>
      </c>
      <c r="AT32" s="28">
        <v>0.96699999999999997</v>
      </c>
    </row>
    <row r="33" spans="1:46" ht="15.75" customHeight="1" x14ac:dyDescent="0.2">
      <c r="B33" s="1">
        <v>3</v>
      </c>
      <c r="C33" s="23">
        <v>1550</v>
      </c>
      <c r="D33" s="17">
        <v>47.1</v>
      </c>
      <c r="E33" s="16">
        <f t="shared" si="35"/>
        <v>4.0638481449525456E-2</v>
      </c>
      <c r="F33" s="28">
        <v>0.96699999999999997</v>
      </c>
      <c r="G33" s="17">
        <v>1420</v>
      </c>
      <c r="H33" s="17">
        <v>42.7</v>
      </c>
      <c r="I33" s="16">
        <f t="shared" si="36"/>
        <v>3.6842105263157898E-2</v>
      </c>
      <c r="J33" s="28">
        <v>0.97</v>
      </c>
      <c r="K33" s="23">
        <v>1270</v>
      </c>
      <c r="L33" s="28">
        <v>40.9</v>
      </c>
      <c r="M33" s="16">
        <f t="shared" si="37"/>
        <v>3.5289042277825713E-2</v>
      </c>
      <c r="N33" s="28">
        <v>0.97299999999999998</v>
      </c>
      <c r="O33" s="23">
        <v>1055</v>
      </c>
      <c r="P33" s="28">
        <v>34.299999999999997</v>
      </c>
      <c r="Q33" s="16">
        <f t="shared" si="38"/>
        <v>2.959447799827437E-2</v>
      </c>
      <c r="R33" s="28">
        <v>0.98099999999999998</v>
      </c>
      <c r="S33" s="23">
        <v>885</v>
      </c>
      <c r="T33" s="28">
        <v>39.799999999999997</v>
      </c>
      <c r="U33" s="16">
        <f t="shared" si="39"/>
        <v>3.4339948231233819E-2</v>
      </c>
      <c r="V33" s="28">
        <v>0.97799999999999998</v>
      </c>
      <c r="Z33" s="1">
        <v>3</v>
      </c>
      <c r="AA33" s="23">
        <v>1550</v>
      </c>
      <c r="AB33" s="17">
        <v>57.9</v>
      </c>
      <c r="AC33" s="16">
        <f t="shared" si="40"/>
        <v>4.995685936151855E-2</v>
      </c>
      <c r="AD33" s="28">
        <v>0.95299999999999996</v>
      </c>
      <c r="AE33" s="17">
        <v>1420</v>
      </c>
      <c r="AF33" s="17">
        <v>46.9</v>
      </c>
      <c r="AG33" s="16">
        <f t="shared" si="41"/>
        <v>4.0465918895599653E-2</v>
      </c>
      <c r="AH33" s="28">
        <v>0.96699999999999997</v>
      </c>
      <c r="AI33" s="23">
        <v>1270</v>
      </c>
      <c r="AJ33" s="28">
        <v>44.1</v>
      </c>
      <c r="AK33" s="16">
        <f t="shared" si="42"/>
        <v>3.8050043140638486E-2</v>
      </c>
      <c r="AL33" s="28">
        <v>0.97</v>
      </c>
      <c r="AM33" s="23">
        <v>1055</v>
      </c>
      <c r="AN33" s="28">
        <v>36.9</v>
      </c>
      <c r="AO33" s="16">
        <f t="shared" si="43"/>
        <v>3.1837791199309746E-2</v>
      </c>
      <c r="AP33" s="28">
        <v>0.98</v>
      </c>
      <c r="AQ33" s="23">
        <v>885</v>
      </c>
      <c r="AR33" s="28">
        <v>42.5</v>
      </c>
      <c r="AS33" s="16">
        <f t="shared" si="44"/>
        <v>3.6669542709232096E-2</v>
      </c>
      <c r="AT33" s="28">
        <v>0.97499999999999998</v>
      </c>
    </row>
    <row r="34" spans="1:46" ht="15.75" customHeight="1" x14ac:dyDescent="0.2">
      <c r="B34" s="1">
        <v>4</v>
      </c>
      <c r="C34" s="23">
        <v>1745</v>
      </c>
      <c r="D34" s="17">
        <v>47.9</v>
      </c>
      <c r="E34" s="16">
        <f t="shared" si="35"/>
        <v>4.1328731665228643E-2</v>
      </c>
      <c r="F34" s="28">
        <v>0.97099999999999997</v>
      </c>
      <c r="G34" s="17">
        <v>1590</v>
      </c>
      <c r="H34" s="17">
        <v>44.9</v>
      </c>
      <c r="I34" s="16">
        <f t="shared" si="36"/>
        <v>3.8740293356341673E-2</v>
      </c>
      <c r="J34" s="28">
        <v>0.97</v>
      </c>
      <c r="K34" s="23">
        <v>1405</v>
      </c>
      <c r="L34" s="28">
        <v>37.4</v>
      </c>
      <c r="M34" s="16">
        <f t="shared" si="37"/>
        <v>3.2269197584124241E-2</v>
      </c>
      <c r="N34" s="28">
        <v>0.98099999999999998</v>
      </c>
      <c r="O34" s="23">
        <v>1245</v>
      </c>
      <c r="P34" s="28">
        <v>38.1</v>
      </c>
      <c r="Q34" s="16">
        <f t="shared" si="38"/>
        <v>3.2873166522864539E-2</v>
      </c>
      <c r="R34" s="28">
        <v>0.98</v>
      </c>
      <c r="S34" s="23">
        <v>1050</v>
      </c>
      <c r="T34" s="28">
        <v>35.299999999999997</v>
      </c>
      <c r="U34" s="16">
        <f t="shared" si="39"/>
        <v>3.0457290767903364E-2</v>
      </c>
      <c r="V34" s="28">
        <v>0.98299999999999998</v>
      </c>
      <c r="Z34" s="1">
        <v>4</v>
      </c>
      <c r="AA34" s="23">
        <v>1745</v>
      </c>
      <c r="AB34" s="17">
        <v>65.3</v>
      </c>
      <c r="AC34" s="16">
        <f t="shared" si="40"/>
        <v>5.6341673856773078E-2</v>
      </c>
      <c r="AD34" s="28">
        <v>0.95099999999999996</v>
      </c>
      <c r="AE34" s="17">
        <v>1590</v>
      </c>
      <c r="AF34" s="17">
        <v>53.4</v>
      </c>
      <c r="AG34" s="16">
        <f t="shared" si="41"/>
        <v>4.6074201898188089E-2</v>
      </c>
      <c r="AH34" s="28">
        <v>0.95899999999999996</v>
      </c>
      <c r="AI34" s="23">
        <v>1405</v>
      </c>
      <c r="AJ34" s="28">
        <v>41.3</v>
      </c>
      <c r="AK34" s="16">
        <f t="shared" si="42"/>
        <v>3.5634167385677304E-2</v>
      </c>
      <c r="AL34" s="28">
        <v>0.97799999999999998</v>
      </c>
      <c r="AM34" s="23">
        <v>1245</v>
      </c>
      <c r="AN34" s="28">
        <v>44.8</v>
      </c>
      <c r="AO34" s="16">
        <f t="shared" si="43"/>
        <v>3.8654012079378769E-2</v>
      </c>
      <c r="AP34" s="28">
        <v>0.97399999999999998</v>
      </c>
      <c r="AQ34" s="23">
        <v>1050</v>
      </c>
      <c r="AR34" s="28">
        <v>40.5</v>
      </c>
      <c r="AS34" s="16">
        <f t="shared" si="44"/>
        <v>3.4943917169974116E-2</v>
      </c>
      <c r="AT34" s="28">
        <v>0.98</v>
      </c>
    </row>
    <row r="35" spans="1:46" ht="15.75" customHeight="1" x14ac:dyDescent="0.2">
      <c r="B35" s="1">
        <v>5</v>
      </c>
      <c r="C35" s="23">
        <v>1400</v>
      </c>
      <c r="D35" s="17">
        <v>32.5</v>
      </c>
      <c r="E35" s="16">
        <f t="shared" si="35"/>
        <v>2.8041415012942193E-2</v>
      </c>
      <c r="F35" s="28">
        <v>0.91600000000000004</v>
      </c>
      <c r="G35" s="17">
        <v>1250</v>
      </c>
      <c r="H35" s="17">
        <v>28.2</v>
      </c>
      <c r="I35" s="16">
        <f t="shared" si="36"/>
        <v>2.4331320103537533E-2</v>
      </c>
      <c r="J35" s="28">
        <v>0.92600000000000005</v>
      </c>
      <c r="K35" s="23">
        <v>1060</v>
      </c>
      <c r="L35" s="28">
        <v>28.8</v>
      </c>
      <c r="M35" s="16">
        <f t="shared" si="37"/>
        <v>2.4849007765314929E-2</v>
      </c>
      <c r="N35" s="28">
        <v>0.93600000000000005</v>
      </c>
      <c r="O35" s="23">
        <v>930</v>
      </c>
      <c r="P35" s="28">
        <v>28.4</v>
      </c>
      <c r="Q35" s="16">
        <f t="shared" si="38"/>
        <v>2.4503882657463328E-2</v>
      </c>
      <c r="R35" s="28">
        <v>0.93700000000000006</v>
      </c>
      <c r="S35" s="23">
        <v>830</v>
      </c>
      <c r="T35" s="28">
        <v>28.6</v>
      </c>
      <c r="U35" s="16">
        <f t="shared" si="39"/>
        <v>2.467644521138913E-2</v>
      </c>
      <c r="V35" s="28">
        <v>0.93799999999999994</v>
      </c>
      <c r="Z35" s="1">
        <v>5</v>
      </c>
      <c r="AA35" s="23">
        <v>1400</v>
      </c>
      <c r="AB35" s="17">
        <v>38.299999999999997</v>
      </c>
      <c r="AC35" s="16">
        <f t="shared" si="40"/>
        <v>3.3045729076790334E-2</v>
      </c>
      <c r="AD35" s="28">
        <v>0.88100000000000001</v>
      </c>
      <c r="AE35" s="17">
        <v>1250</v>
      </c>
      <c r="AF35" s="17">
        <v>32.1</v>
      </c>
      <c r="AG35" s="16">
        <f t="shared" si="41"/>
        <v>2.7696289905090595E-2</v>
      </c>
      <c r="AH35" s="28">
        <v>0.90600000000000003</v>
      </c>
      <c r="AI35" s="23">
        <v>1060</v>
      </c>
      <c r="AJ35" s="28">
        <v>33.1</v>
      </c>
      <c r="AK35" s="16">
        <f t="shared" si="42"/>
        <v>2.8559102674719589E-2</v>
      </c>
      <c r="AL35" s="28">
        <v>0.92100000000000004</v>
      </c>
      <c r="AM35" s="23">
        <v>930</v>
      </c>
      <c r="AN35" s="28">
        <v>30.9</v>
      </c>
      <c r="AO35" s="16">
        <f t="shared" si="43"/>
        <v>2.6660914581535806E-2</v>
      </c>
      <c r="AP35" s="28">
        <v>0.92600000000000005</v>
      </c>
      <c r="AQ35" s="23">
        <v>830</v>
      </c>
      <c r="AR35" s="28">
        <v>30.9</v>
      </c>
      <c r="AS35" s="16">
        <f t="shared" si="44"/>
        <v>2.6660914581535806E-2</v>
      </c>
      <c r="AT35" s="28">
        <v>0.92900000000000005</v>
      </c>
    </row>
    <row r="36" spans="1:46" ht="15.75" customHeight="1" x14ac:dyDescent="0.2">
      <c r="B36" s="1">
        <v>6</v>
      </c>
      <c r="C36" s="23">
        <v>1990</v>
      </c>
      <c r="D36" s="17">
        <v>41.4</v>
      </c>
      <c r="E36" s="16">
        <f t="shared" si="35"/>
        <v>3.5720448662640208E-2</v>
      </c>
      <c r="F36" s="28">
        <v>0.98</v>
      </c>
      <c r="G36" s="17">
        <v>1720</v>
      </c>
      <c r="H36" s="17">
        <v>35.1</v>
      </c>
      <c r="I36" s="16">
        <f t="shared" si="36"/>
        <v>3.0284728213977569E-2</v>
      </c>
      <c r="J36" s="28">
        <v>0.98599999999999999</v>
      </c>
      <c r="K36" s="23">
        <v>1510</v>
      </c>
      <c r="L36" s="28">
        <v>34.1</v>
      </c>
      <c r="M36" s="16">
        <f t="shared" si="37"/>
        <v>2.9421915444348579E-2</v>
      </c>
      <c r="N36" s="28">
        <v>0.98599999999999999</v>
      </c>
      <c r="O36" s="23">
        <v>1305</v>
      </c>
      <c r="P36" s="28">
        <v>32.5</v>
      </c>
      <c r="Q36" s="16">
        <f t="shared" si="38"/>
        <v>2.8041415012942193E-2</v>
      </c>
      <c r="R36" s="28">
        <v>0.98799999999999999</v>
      </c>
      <c r="S36" s="23">
        <v>1100</v>
      </c>
      <c r="T36" s="28">
        <v>30.8</v>
      </c>
      <c r="U36" s="16">
        <f t="shared" si="39"/>
        <v>2.6574633304572909E-2</v>
      </c>
      <c r="V36" s="28">
        <v>0.98799999999999999</v>
      </c>
      <c r="Z36" s="1">
        <v>6</v>
      </c>
      <c r="AA36" s="23">
        <v>1990</v>
      </c>
      <c r="AB36" s="17">
        <v>46.7</v>
      </c>
      <c r="AC36" s="16">
        <f t="shared" si="40"/>
        <v>4.0293356341673858E-2</v>
      </c>
      <c r="AD36" s="28">
        <v>0.97599999999999998</v>
      </c>
      <c r="AE36" s="17">
        <v>1720</v>
      </c>
      <c r="AF36" s="17">
        <v>42</v>
      </c>
      <c r="AG36" s="16">
        <f t="shared" si="41"/>
        <v>3.6238136324417601E-2</v>
      </c>
      <c r="AH36" s="28">
        <v>0.98099999999999998</v>
      </c>
      <c r="AI36" s="23">
        <v>1510</v>
      </c>
      <c r="AJ36" s="28">
        <v>37.799999999999997</v>
      </c>
      <c r="AK36" s="16">
        <f t="shared" si="42"/>
        <v>3.2614322691975839E-2</v>
      </c>
      <c r="AL36" s="28">
        <v>0.98399999999999999</v>
      </c>
      <c r="AM36" s="23">
        <v>1305</v>
      </c>
      <c r="AN36" s="28">
        <v>37.6</v>
      </c>
      <c r="AO36" s="16">
        <f t="shared" si="43"/>
        <v>3.2441760138050044E-2</v>
      </c>
      <c r="AP36" s="28">
        <v>0.98399999999999999</v>
      </c>
      <c r="AQ36" s="23">
        <v>1100</v>
      </c>
      <c r="AR36" s="28">
        <v>35</v>
      </c>
      <c r="AS36" s="16">
        <f t="shared" si="44"/>
        <v>3.0198446937014668E-2</v>
      </c>
      <c r="AT36" s="28">
        <v>0.98599999999999999</v>
      </c>
    </row>
    <row r="37" spans="1:46" ht="15.75" customHeight="1" x14ac:dyDescent="0.2">
      <c r="B37" s="1">
        <v>7</v>
      </c>
      <c r="C37" s="23">
        <v>560</v>
      </c>
      <c r="D37" s="17">
        <v>81.400000000000006</v>
      </c>
      <c r="E37" s="16">
        <f t="shared" si="35"/>
        <v>7.0232959447799836E-2</v>
      </c>
      <c r="F37" s="28">
        <v>0.64500000000000002</v>
      </c>
      <c r="G37" s="17">
        <v>500</v>
      </c>
      <c r="H37" s="17">
        <v>40.799999999999997</v>
      </c>
      <c r="I37" s="16">
        <f t="shared" si="36"/>
        <v>3.5202761000862809E-2</v>
      </c>
      <c r="J37" s="28">
        <v>0.92800000000000005</v>
      </c>
      <c r="K37" s="23">
        <v>445</v>
      </c>
      <c r="L37" s="28">
        <v>44</v>
      </c>
      <c r="M37" s="16">
        <f t="shared" si="37"/>
        <v>3.7963761863675581E-2</v>
      </c>
      <c r="N37" s="28">
        <v>0.92100000000000004</v>
      </c>
      <c r="O37" s="23">
        <v>390</v>
      </c>
      <c r="P37" s="28">
        <v>37.6</v>
      </c>
      <c r="Q37" s="16">
        <f t="shared" si="38"/>
        <v>3.2441760138050044E-2</v>
      </c>
      <c r="R37" s="28">
        <v>0.93700000000000006</v>
      </c>
      <c r="S37" s="23">
        <v>310</v>
      </c>
      <c r="T37" s="28">
        <v>36.4</v>
      </c>
      <c r="U37" s="16">
        <f t="shared" si="39"/>
        <v>3.1406384814495251E-2</v>
      </c>
      <c r="V37" s="28">
        <v>0.94899999999999995</v>
      </c>
      <c r="Z37" s="1">
        <v>7</v>
      </c>
      <c r="AA37" s="23">
        <v>560</v>
      </c>
      <c r="AB37" s="17">
        <v>96</v>
      </c>
      <c r="AC37" s="16">
        <f t="shared" si="40"/>
        <v>8.2830025884383082E-2</v>
      </c>
      <c r="AD37" s="28">
        <v>0.59699999999999998</v>
      </c>
      <c r="AE37" s="17">
        <v>500</v>
      </c>
      <c r="AF37" s="17">
        <v>47.3</v>
      </c>
      <c r="AG37" s="16">
        <f t="shared" si="41"/>
        <v>4.0811044003451251E-2</v>
      </c>
      <c r="AH37" s="28">
        <v>0.9</v>
      </c>
      <c r="AI37" s="23">
        <v>445</v>
      </c>
      <c r="AJ37" s="28">
        <v>49.2</v>
      </c>
      <c r="AK37" s="16">
        <f t="shared" si="42"/>
        <v>4.2450388265746333E-2</v>
      </c>
      <c r="AL37" s="28">
        <v>0.90200000000000002</v>
      </c>
      <c r="AM37" s="23">
        <v>390</v>
      </c>
      <c r="AN37" s="28">
        <v>43.4</v>
      </c>
      <c r="AO37" s="16">
        <f t="shared" si="43"/>
        <v>3.7446074201898188E-2</v>
      </c>
      <c r="AP37" s="28">
        <v>0.91400000000000003</v>
      </c>
      <c r="AQ37" s="23">
        <v>310</v>
      </c>
      <c r="AR37" s="28">
        <v>43.9</v>
      </c>
      <c r="AS37" s="16">
        <f t="shared" si="44"/>
        <v>3.7877480586712683E-2</v>
      </c>
      <c r="AT37" s="28">
        <v>0.92200000000000004</v>
      </c>
    </row>
    <row r="38" spans="1:46" ht="15.75" customHeight="1" x14ac:dyDescent="0.2">
      <c r="C38" s="23"/>
      <c r="D38" s="17"/>
      <c r="G38" s="17"/>
      <c r="H38" s="17"/>
      <c r="K38" s="23"/>
      <c r="O38" s="23"/>
      <c r="S38" s="23"/>
      <c r="AA38" s="23"/>
      <c r="AB38" s="17"/>
      <c r="AE38" s="17"/>
      <c r="AF38" s="17"/>
      <c r="AI38" s="23"/>
      <c r="AM38" s="23"/>
      <c r="AQ38" s="23"/>
    </row>
    <row r="39" spans="1:46" ht="15.75" customHeight="1" x14ac:dyDescent="0.2">
      <c r="B39" s="1" t="s">
        <v>11</v>
      </c>
      <c r="C39" s="23"/>
      <c r="D39" s="7">
        <f>SUMPRODUCT(C30:C37,D30:D37)/SUM(C30:C37)</f>
        <v>49.032315909958029</v>
      </c>
      <c r="E39" s="20">
        <f>SUMPRODUCT(C30:C37,E30:E37)/SUM(C30:C37)</f>
        <v>4.2305708291594496E-2</v>
      </c>
      <c r="F39" s="20">
        <f>SUMPRODUCT(C30:C37,F30:F37)/SUM(C30:C37)</f>
        <v>0.94772224341854261</v>
      </c>
      <c r="G39" s="17"/>
      <c r="H39" s="7">
        <f>SUMPRODUCT(G30:G37,H30:H37)/SUM(G30:G37)</f>
        <v>40.195021459227469</v>
      </c>
      <c r="I39" s="20">
        <f>SUMPRODUCT(G30:G37,I30:I37)/SUM(G30:G37)</f>
        <v>3.4680777790532753E-2</v>
      </c>
      <c r="J39" s="20">
        <f>SUMPRODUCT(G30:G37,J30:J37)/SUM(G30:G37)</f>
        <v>0.96771888412017182</v>
      </c>
      <c r="K39" s="23"/>
      <c r="L39" s="7">
        <f>SUMPRODUCT(K30:K37,L30:L37)/SUM(K30:K37)</f>
        <v>37.645904855321234</v>
      </c>
      <c r="M39" s="20">
        <f>SUMPRODUCT(K30:K37,M30:M37)/SUM(K30:K37)</f>
        <v>3.2481367433409174E-2</v>
      </c>
      <c r="N39" s="20">
        <f>SUMPRODUCT(K30:K37,N30:N37)/SUM(K30:K37)</f>
        <v>0.97188769004413911</v>
      </c>
      <c r="O39" s="23"/>
      <c r="P39" s="7">
        <f>SUMPRODUCT(O30:O37,P30:P37)/SUM(O30:O37)</f>
        <v>37.121624713958809</v>
      </c>
      <c r="Q39" s="20">
        <f>SUMPRODUCT(O30:O37,Q30:Q37)/SUM(O30:O37)</f>
        <v>3.202901183257878E-2</v>
      </c>
      <c r="R39" s="20">
        <f>SUMPRODUCT(O30:O37,R30:R37)/SUM(O30:O37)</f>
        <v>0.97306979405034333</v>
      </c>
      <c r="S39" s="23"/>
      <c r="T39" s="7">
        <f>SUMPRODUCT(S30:S37,T30:T37)/SUM(S30:S37)</f>
        <v>37.16291208791209</v>
      </c>
      <c r="U39" s="20">
        <f>SUMPRODUCT(S30:S37,U30:U37)/SUM(S30:S37)</f>
        <v>3.2064635106050121E-2</v>
      </c>
      <c r="V39" s="20">
        <f>SUMPRODUCT(S30:S37,V30:V37)/SUM(S30:S37)</f>
        <v>0.97284615384615369</v>
      </c>
      <c r="Z39" s="1" t="s">
        <v>11</v>
      </c>
      <c r="AA39" s="23"/>
      <c r="AB39" s="7">
        <f>SUMPRODUCT(AA30:AA37,AB30:AB37)/SUM(AA30:AA37)</f>
        <v>59.842045020984358</v>
      </c>
      <c r="AC39" s="20">
        <f>SUMPRODUCT(AA30:AA37,AC30:AC37)/SUM(AA30:AA37)</f>
        <v>5.1632480604818252E-2</v>
      </c>
      <c r="AD39" s="20">
        <f>SUMPRODUCT(AA30:AA37,AD30:AD37)/SUM(AA30:AA37)</f>
        <v>0.92914841663487202</v>
      </c>
      <c r="AE39" s="17"/>
      <c r="AF39" s="7">
        <f>SUMPRODUCT(AE30:AE37,AF30:AF37)/SUM(AE30:AE37)</f>
        <v>46.338712446351934</v>
      </c>
      <c r="AG39" s="20">
        <f>SUMPRODUCT(AE30:AE37,AG30:AG37)/SUM(AE30:AE37)</f>
        <v>3.9981632826878277E-2</v>
      </c>
      <c r="AH39" s="20">
        <f>SUMPRODUCT(AE30:AE37,AH30:AH37)/SUM(AE30:AE37)</f>
        <v>0.95926266094420598</v>
      </c>
      <c r="AI39" s="23"/>
      <c r="AJ39" s="7">
        <f>SUMPRODUCT(AI30:AI37,AJ30:AJ37)/SUM(AI30:AI37)</f>
        <v>41.36042177538009</v>
      </c>
      <c r="AK39" s="20">
        <f>SUMPRODUCT(AI30:AI37,AK30:AK37)/SUM(AI30:AI37)</f>
        <v>3.5686300065038902E-2</v>
      </c>
      <c r="AL39" s="20">
        <f>SUMPRODUCT(AI30:AI37,AL30:AL37)/SUM(AI30:AI37)</f>
        <v>0.9672157920549288</v>
      </c>
      <c r="AM39" s="23"/>
      <c r="AN39" s="7">
        <f>SUMPRODUCT(AM30:AM37,AN30:AN37)/SUM(AM30:AM37)</f>
        <v>41.195080091533178</v>
      </c>
      <c r="AO39" s="20">
        <f>SUMPRODUCT(AM30:AM37,AO30:AO37)/SUM(AM30:AM37)</f>
        <v>3.5543641148863832E-2</v>
      </c>
      <c r="AP39" s="20">
        <f>SUMPRODUCT(AM30:AM37,AP30:AP37)/SUM(AM30:AM37)</f>
        <v>0.96779176201372996</v>
      </c>
      <c r="AQ39" s="23"/>
      <c r="AR39" s="7">
        <f>SUMPRODUCT(AQ30:AQ37,AR30:AR37)/SUM(AQ30:AQ37)</f>
        <v>41.050549450549454</v>
      </c>
      <c r="AS39" s="20">
        <f>SUMPRODUCT(AQ30:AQ37,AS30:AS37)/SUM(AQ30:AQ37)</f>
        <v>3.5418938266220418E-2</v>
      </c>
      <c r="AT39" s="20">
        <f>SUMPRODUCT(AQ30:AQ37,AT30:AT37)/SUM(AQ30:AQ37)</f>
        <v>0.96797115384615384</v>
      </c>
    </row>
    <row r="40" spans="1:46" ht="15.75" customHeight="1" x14ac:dyDescent="0.2">
      <c r="AF40" s="28"/>
    </row>
    <row r="41" spans="1:46" ht="15.75" customHeight="1" x14ac:dyDescent="0.2">
      <c r="C41" s="1">
        <f>SUM(C30:C37)</f>
        <v>13105</v>
      </c>
      <c r="G41" s="1">
        <f>SUM(G30:G37)</f>
        <v>11650</v>
      </c>
      <c r="K41" s="1">
        <f>SUM(K30:K37)</f>
        <v>10195</v>
      </c>
      <c r="O41" s="1">
        <f>SUM(O30:O37)</f>
        <v>8740</v>
      </c>
      <c r="S41" s="1">
        <f>SUM(S30:S37)</f>
        <v>7280</v>
      </c>
      <c r="AA41" s="1">
        <f>SUM(AA30:AA37)</f>
        <v>13105</v>
      </c>
      <c r="AE41" s="1">
        <f>SUM(AE30:AE37)</f>
        <v>11650</v>
      </c>
      <c r="AI41" s="1">
        <f>SUM(AI30:AI37)</f>
        <v>10195</v>
      </c>
      <c r="AM41" s="1">
        <f>SUM(AM30:AM37)</f>
        <v>8740</v>
      </c>
      <c r="AQ41" s="1">
        <f>SUM(AQ30:AQ37)</f>
        <v>7280</v>
      </c>
    </row>
    <row r="42" spans="1:46" ht="15.75" customHeight="1" x14ac:dyDescent="0.2"/>
    <row r="43" spans="1:46" ht="15.75" customHeight="1" x14ac:dyDescent="0.2"/>
    <row r="44" spans="1:46" ht="15.75" customHeight="1" x14ac:dyDescent="0.2">
      <c r="A44" s="1" t="s">
        <v>24</v>
      </c>
      <c r="D44" s="134">
        <v>0.1</v>
      </c>
      <c r="E44" s="133"/>
      <c r="F44" s="133"/>
      <c r="G44" s="2"/>
      <c r="H44" s="134">
        <v>0.2</v>
      </c>
      <c r="I44" s="133"/>
      <c r="J44" s="133"/>
      <c r="K44" s="2"/>
      <c r="L44" s="134">
        <v>0.3</v>
      </c>
      <c r="M44" s="133"/>
      <c r="N44" s="133"/>
      <c r="O44" s="2"/>
      <c r="P44" s="134">
        <v>0.4</v>
      </c>
      <c r="Q44" s="133"/>
      <c r="R44" s="133"/>
      <c r="S44" s="2"/>
      <c r="T44" s="134">
        <v>0.5</v>
      </c>
      <c r="U44" s="133"/>
      <c r="V44" s="133"/>
      <c r="Y44" s="28" t="s">
        <v>24</v>
      </c>
      <c r="AB44" s="134">
        <v>0.1</v>
      </c>
      <c r="AC44" s="133"/>
      <c r="AD44" s="133"/>
      <c r="AE44" s="2"/>
      <c r="AF44" s="134">
        <v>0.2</v>
      </c>
      <c r="AG44" s="133"/>
      <c r="AH44" s="133"/>
      <c r="AI44" s="2"/>
      <c r="AJ44" s="134">
        <v>0.3</v>
      </c>
      <c r="AK44" s="133"/>
      <c r="AL44" s="133"/>
      <c r="AM44" s="2"/>
      <c r="AN44" s="134">
        <v>0.4</v>
      </c>
      <c r="AO44" s="133"/>
      <c r="AP44" s="133"/>
      <c r="AQ44" s="2"/>
      <c r="AR44" s="134">
        <v>0.5</v>
      </c>
      <c r="AS44" s="133"/>
      <c r="AT44" s="133"/>
    </row>
    <row r="45" spans="1:46" ht="15.75" customHeight="1" thickBot="1" x14ac:dyDescent="0.25">
      <c r="B45" s="13" t="s">
        <v>8</v>
      </c>
      <c r="C45" s="22" t="s">
        <v>22</v>
      </c>
      <c r="D45" s="14" t="s">
        <v>7</v>
      </c>
      <c r="E45" s="13" t="s">
        <v>9</v>
      </c>
      <c r="F45" s="13" t="s">
        <v>10</v>
      </c>
      <c r="G45" s="22" t="s">
        <v>22</v>
      </c>
      <c r="H45" s="14" t="s">
        <v>7</v>
      </c>
      <c r="I45" s="13" t="s">
        <v>9</v>
      </c>
      <c r="J45" s="13" t="s">
        <v>10</v>
      </c>
      <c r="K45" s="22" t="s">
        <v>22</v>
      </c>
      <c r="L45" s="13" t="s">
        <v>7</v>
      </c>
      <c r="M45" s="13" t="s">
        <v>9</v>
      </c>
      <c r="N45" s="13" t="s">
        <v>10</v>
      </c>
      <c r="O45" s="22" t="s">
        <v>22</v>
      </c>
      <c r="P45" s="13" t="s">
        <v>7</v>
      </c>
      <c r="Q45" s="13" t="s">
        <v>9</v>
      </c>
      <c r="R45" s="13" t="s">
        <v>10</v>
      </c>
      <c r="S45" s="22" t="s">
        <v>22</v>
      </c>
      <c r="T45" s="13" t="s">
        <v>7</v>
      </c>
      <c r="U45" s="13" t="s">
        <v>9</v>
      </c>
      <c r="V45" s="13" t="s">
        <v>10</v>
      </c>
      <c r="Z45" s="13" t="s">
        <v>8</v>
      </c>
      <c r="AA45" s="22" t="s">
        <v>22</v>
      </c>
      <c r="AB45" s="14" t="s">
        <v>7</v>
      </c>
      <c r="AC45" s="13" t="s">
        <v>9</v>
      </c>
      <c r="AD45" s="13" t="s">
        <v>10</v>
      </c>
      <c r="AE45" s="22" t="s">
        <v>22</v>
      </c>
      <c r="AF45" s="14" t="s">
        <v>7</v>
      </c>
      <c r="AG45" s="13" t="s">
        <v>9</v>
      </c>
      <c r="AH45" s="13" t="s">
        <v>10</v>
      </c>
      <c r="AI45" s="22" t="s">
        <v>22</v>
      </c>
      <c r="AJ45" s="13" t="s">
        <v>7</v>
      </c>
      <c r="AK45" s="13" t="s">
        <v>9</v>
      </c>
      <c r="AL45" s="13" t="s">
        <v>10</v>
      </c>
      <c r="AM45" s="22" t="s">
        <v>22</v>
      </c>
      <c r="AN45" s="13" t="s">
        <v>7</v>
      </c>
      <c r="AO45" s="13" t="s">
        <v>9</v>
      </c>
      <c r="AP45" s="13" t="s">
        <v>10</v>
      </c>
      <c r="AQ45" s="22" t="s">
        <v>22</v>
      </c>
      <c r="AR45" s="13" t="s">
        <v>7</v>
      </c>
      <c r="AS45" s="13" t="s">
        <v>9</v>
      </c>
      <c r="AT45" s="13" t="s">
        <v>10</v>
      </c>
    </row>
    <row r="46" spans="1:46" ht="15.75" customHeight="1" x14ac:dyDescent="0.2">
      <c r="B46" s="1">
        <v>0</v>
      </c>
      <c r="C46" s="23">
        <v>2725</v>
      </c>
      <c r="D46" s="17">
        <v>46.4</v>
      </c>
      <c r="E46" s="16">
        <f t="shared" ref="E46:E53" si="45">D46/$A$5</f>
        <v>4.0034512510785158E-2</v>
      </c>
      <c r="F46" s="28">
        <v>0.97</v>
      </c>
      <c r="G46" s="17">
        <v>2450</v>
      </c>
      <c r="H46" s="17">
        <v>48.9</v>
      </c>
      <c r="I46" s="16">
        <f t="shared" ref="I46:I53" si="46">H46/$A$5</f>
        <v>4.2191544434857634E-2</v>
      </c>
      <c r="J46" s="28">
        <v>0.96899999999999997</v>
      </c>
      <c r="K46" s="23">
        <v>2160</v>
      </c>
      <c r="L46" s="28">
        <v>48.2</v>
      </c>
      <c r="M46" s="16">
        <f t="shared" ref="M46:M53" si="47">L46/$A$5</f>
        <v>4.1587575496117343E-2</v>
      </c>
      <c r="N46" s="28">
        <v>0.96899999999999997</v>
      </c>
      <c r="O46" s="23">
        <v>1865</v>
      </c>
      <c r="P46" s="28">
        <v>43.1</v>
      </c>
      <c r="Q46" s="16">
        <f t="shared" ref="Q46:Q53" si="48">P46/$A$5</f>
        <v>3.7187230371009496E-2</v>
      </c>
      <c r="R46" s="28">
        <v>0.97399999999999998</v>
      </c>
      <c r="S46" s="23">
        <v>1550</v>
      </c>
      <c r="T46" s="28">
        <v>42</v>
      </c>
      <c r="U46" s="16">
        <f t="shared" ref="U46:U53" si="49">T46/$A$5</f>
        <v>3.6238136324417601E-2</v>
      </c>
      <c r="V46" s="28">
        <v>0.97599999999999998</v>
      </c>
      <c r="Z46" s="1">
        <v>0</v>
      </c>
      <c r="AA46" s="23">
        <v>2725</v>
      </c>
      <c r="AB46" s="17">
        <v>54</v>
      </c>
      <c r="AC46" s="16">
        <f t="shared" ref="AC46:AC53" si="50">AB46/$A$5</f>
        <v>4.6591889559965488E-2</v>
      </c>
      <c r="AD46" s="28">
        <v>0.96099999999999997</v>
      </c>
      <c r="AE46" s="17">
        <v>2450</v>
      </c>
      <c r="AF46" s="17">
        <v>54</v>
      </c>
      <c r="AG46" s="16">
        <f t="shared" ref="AG46:AG53" si="51">AF46/$A$5</f>
        <v>4.6591889559965488E-2</v>
      </c>
      <c r="AH46" s="28">
        <v>0.96299999999999997</v>
      </c>
      <c r="AI46" s="23">
        <v>2160</v>
      </c>
      <c r="AJ46" s="28">
        <v>53.7</v>
      </c>
      <c r="AK46" s="16">
        <f t="shared" ref="AK46:AK53" si="52">AJ46/$A$5</f>
        <v>4.6333045729076795E-2</v>
      </c>
      <c r="AL46" s="28">
        <v>0.96199999999999997</v>
      </c>
      <c r="AM46" s="23">
        <v>1865</v>
      </c>
      <c r="AN46" s="28">
        <v>48</v>
      </c>
      <c r="AO46" s="16">
        <f t="shared" ref="AO46:AO53" si="53">AN46/$A$5</f>
        <v>4.1415012942191541E-2</v>
      </c>
      <c r="AP46" s="28">
        <v>0.96899999999999997</v>
      </c>
      <c r="AQ46" s="23">
        <v>1550</v>
      </c>
      <c r="AR46" s="28">
        <v>46.2</v>
      </c>
      <c r="AS46" s="16">
        <f t="shared" ref="AS46:AS53" si="54">AR46/$A$5</f>
        <v>3.9861949956859363E-2</v>
      </c>
      <c r="AT46" s="28">
        <v>0.97099999999999997</v>
      </c>
    </row>
    <row r="47" spans="1:46" ht="15.75" customHeight="1" x14ac:dyDescent="0.2">
      <c r="B47" s="1">
        <v>1</v>
      </c>
      <c r="C47" s="23">
        <v>1875</v>
      </c>
      <c r="D47" s="17">
        <v>31.5</v>
      </c>
      <c r="E47" s="16">
        <f t="shared" si="45"/>
        <v>2.7178602243313203E-2</v>
      </c>
      <c r="F47" s="28">
        <v>0.98299999999999998</v>
      </c>
      <c r="G47" s="17">
        <v>1625</v>
      </c>
      <c r="H47" s="17">
        <v>30.3</v>
      </c>
      <c r="I47" s="16">
        <f t="shared" si="46"/>
        <v>2.6143226919758414E-2</v>
      </c>
      <c r="J47" s="28">
        <v>0.98499999999999999</v>
      </c>
      <c r="K47" s="23">
        <v>1430</v>
      </c>
      <c r="L47" s="28">
        <v>28.7</v>
      </c>
      <c r="M47" s="16">
        <f t="shared" si="47"/>
        <v>2.4762726488352028E-2</v>
      </c>
      <c r="N47" s="28">
        <v>0.98499999999999999</v>
      </c>
      <c r="O47" s="23">
        <v>1190</v>
      </c>
      <c r="P47" s="28">
        <v>31</v>
      </c>
      <c r="Q47" s="16">
        <f t="shared" si="48"/>
        <v>2.6747195858498704E-2</v>
      </c>
      <c r="R47" s="28">
        <v>0.98299999999999998</v>
      </c>
      <c r="S47" s="23">
        <v>1005</v>
      </c>
      <c r="T47" s="28">
        <v>30.8</v>
      </c>
      <c r="U47" s="16">
        <f t="shared" si="49"/>
        <v>2.6574633304572909E-2</v>
      </c>
      <c r="V47" s="28">
        <v>0.98399999999999999</v>
      </c>
      <c r="Z47" s="1">
        <v>1</v>
      </c>
      <c r="AA47" s="23">
        <v>1875</v>
      </c>
      <c r="AB47" s="17">
        <v>41.6</v>
      </c>
      <c r="AC47" s="16">
        <f t="shared" si="50"/>
        <v>3.5893011216566004E-2</v>
      </c>
      <c r="AD47" s="28">
        <v>0.97299999999999998</v>
      </c>
      <c r="AE47" s="17">
        <v>1625</v>
      </c>
      <c r="AF47" s="17">
        <v>37.1</v>
      </c>
      <c r="AG47" s="16">
        <f t="shared" si="51"/>
        <v>3.2010353753235549E-2</v>
      </c>
      <c r="AH47" s="28">
        <v>0.97899999999999998</v>
      </c>
      <c r="AI47" s="23">
        <v>1430</v>
      </c>
      <c r="AJ47" s="28">
        <v>33.200000000000003</v>
      </c>
      <c r="AK47" s="16">
        <f t="shared" si="52"/>
        <v>2.8645383951682486E-2</v>
      </c>
      <c r="AL47" s="28">
        <v>0.98199999999999998</v>
      </c>
      <c r="AM47" s="23">
        <v>1190</v>
      </c>
      <c r="AN47" s="28">
        <v>34.6</v>
      </c>
      <c r="AO47" s="16">
        <f t="shared" si="53"/>
        <v>2.9853321829163074E-2</v>
      </c>
      <c r="AP47" s="28">
        <v>0.98199999999999998</v>
      </c>
      <c r="AQ47" s="23">
        <v>1005</v>
      </c>
      <c r="AR47" s="28">
        <v>34.299999999999997</v>
      </c>
      <c r="AS47" s="16">
        <f t="shared" si="54"/>
        <v>2.959447799827437E-2</v>
      </c>
      <c r="AT47" s="28">
        <v>0.98199999999999998</v>
      </c>
    </row>
    <row r="48" spans="1:46" ht="15.75" customHeight="1" x14ac:dyDescent="0.2">
      <c r="B48" s="1">
        <v>2</v>
      </c>
      <c r="C48" s="23">
        <v>1255</v>
      </c>
      <c r="D48" s="17">
        <v>44.6</v>
      </c>
      <c r="E48" s="16">
        <f t="shared" si="45"/>
        <v>3.8481449525452981E-2</v>
      </c>
      <c r="F48" s="28">
        <v>0.85399999999999998</v>
      </c>
      <c r="G48" s="17">
        <v>1100</v>
      </c>
      <c r="H48" s="17">
        <v>37.9</v>
      </c>
      <c r="I48" s="16">
        <f t="shared" si="46"/>
        <v>3.2700603968938736E-2</v>
      </c>
      <c r="J48" s="28">
        <v>0.90300000000000002</v>
      </c>
      <c r="K48" s="23">
        <v>950</v>
      </c>
      <c r="L48" s="28">
        <v>38</v>
      </c>
      <c r="M48" s="16">
        <f t="shared" si="47"/>
        <v>3.2786885245901641E-2</v>
      </c>
      <c r="N48" s="28">
        <v>0.89700000000000002</v>
      </c>
      <c r="O48" s="23">
        <v>805</v>
      </c>
      <c r="P48" s="28">
        <v>35.4</v>
      </c>
      <c r="Q48" s="16">
        <f t="shared" si="48"/>
        <v>3.0543572044866261E-2</v>
      </c>
      <c r="R48" s="28">
        <v>0.91500000000000004</v>
      </c>
      <c r="S48" s="23">
        <v>670</v>
      </c>
      <c r="T48" s="28">
        <v>35.200000000000003</v>
      </c>
      <c r="U48" s="16">
        <f t="shared" si="49"/>
        <v>3.037100949094047E-2</v>
      </c>
      <c r="V48" s="28">
        <v>0.92100000000000004</v>
      </c>
      <c r="Z48" s="1">
        <v>2</v>
      </c>
      <c r="AA48" s="23">
        <v>1255</v>
      </c>
      <c r="AB48" s="17">
        <v>53.9</v>
      </c>
      <c r="AC48" s="16">
        <f t="shared" si="50"/>
        <v>4.650560828300259E-2</v>
      </c>
      <c r="AD48" s="28">
        <v>0.80100000000000005</v>
      </c>
      <c r="AE48" s="17">
        <v>1100</v>
      </c>
      <c r="AF48" s="17">
        <v>41.6</v>
      </c>
      <c r="AG48" s="16">
        <f t="shared" si="51"/>
        <v>3.5893011216566004E-2</v>
      </c>
      <c r="AH48" s="28">
        <v>0.89200000000000002</v>
      </c>
      <c r="AI48" s="23">
        <v>950</v>
      </c>
      <c r="AJ48" s="28">
        <v>41.6</v>
      </c>
      <c r="AK48" s="16">
        <f t="shared" si="52"/>
        <v>3.5893011216566004E-2</v>
      </c>
      <c r="AL48" s="28">
        <v>0.88700000000000001</v>
      </c>
      <c r="AM48" s="23">
        <v>805</v>
      </c>
      <c r="AN48" s="28">
        <v>39.4</v>
      </c>
      <c r="AO48" s="16">
        <f t="shared" si="53"/>
        <v>3.3994823123382222E-2</v>
      </c>
      <c r="AP48" s="28">
        <v>0.9</v>
      </c>
      <c r="AQ48" s="23">
        <v>670</v>
      </c>
      <c r="AR48" s="28">
        <v>36.6</v>
      </c>
      <c r="AS48" s="16">
        <f t="shared" si="54"/>
        <v>3.1578947368421054E-2</v>
      </c>
      <c r="AT48" s="28">
        <v>0.91900000000000004</v>
      </c>
    </row>
    <row r="49" spans="1:46" ht="15.75" customHeight="1" x14ac:dyDescent="0.2">
      <c r="B49" s="1">
        <v>3</v>
      </c>
      <c r="C49" s="23">
        <v>2935</v>
      </c>
      <c r="D49" s="17">
        <v>42.1</v>
      </c>
      <c r="E49" s="16">
        <f t="shared" si="45"/>
        <v>3.6324417601380499E-2</v>
      </c>
      <c r="F49" s="28">
        <v>0.97699999999999998</v>
      </c>
      <c r="G49" s="17">
        <v>2620</v>
      </c>
      <c r="H49" s="17">
        <v>33.799999999999997</v>
      </c>
      <c r="I49" s="16">
        <f t="shared" si="46"/>
        <v>2.9163071613459875E-2</v>
      </c>
      <c r="J49" s="28">
        <v>0.98199999999999998</v>
      </c>
      <c r="K49" s="23">
        <v>2285</v>
      </c>
      <c r="L49" s="28">
        <v>33.700000000000003</v>
      </c>
      <c r="M49" s="16">
        <f t="shared" si="47"/>
        <v>2.9076790336496981E-2</v>
      </c>
      <c r="N49" s="28">
        <v>0.98099999999999998</v>
      </c>
      <c r="O49" s="23">
        <v>1945</v>
      </c>
      <c r="P49" s="28">
        <v>33.6</v>
      </c>
      <c r="Q49" s="16">
        <f t="shared" si="48"/>
        <v>2.8990509059534084E-2</v>
      </c>
      <c r="R49" s="28">
        <v>0.98199999999999998</v>
      </c>
      <c r="S49" s="23">
        <v>1640</v>
      </c>
      <c r="T49" s="28">
        <v>33.299999999999997</v>
      </c>
      <c r="U49" s="16">
        <f t="shared" si="49"/>
        <v>2.873166522864538E-2</v>
      </c>
      <c r="V49" s="28">
        <v>0.98499999999999999</v>
      </c>
      <c r="Z49" s="1">
        <v>3</v>
      </c>
      <c r="AA49" s="23">
        <v>2935</v>
      </c>
      <c r="AB49" s="17">
        <v>51.5</v>
      </c>
      <c r="AC49" s="16">
        <f t="shared" si="50"/>
        <v>4.4434857635893013E-2</v>
      </c>
      <c r="AD49" s="28">
        <v>0.96799999999999997</v>
      </c>
      <c r="AE49" s="17">
        <v>2620</v>
      </c>
      <c r="AF49" s="17">
        <v>38.1</v>
      </c>
      <c r="AG49" s="16">
        <f t="shared" si="51"/>
        <v>3.2873166522864539E-2</v>
      </c>
      <c r="AH49" s="28">
        <v>0.97899999999999998</v>
      </c>
      <c r="AI49" s="23">
        <v>2285</v>
      </c>
      <c r="AJ49" s="28">
        <v>37.799999999999997</v>
      </c>
      <c r="AK49" s="16">
        <f t="shared" si="52"/>
        <v>3.2614322691975839E-2</v>
      </c>
      <c r="AL49" s="28">
        <v>0.97799999999999998</v>
      </c>
      <c r="AM49" s="23">
        <v>1945</v>
      </c>
      <c r="AN49" s="28">
        <v>37.4</v>
      </c>
      <c r="AO49" s="16">
        <f t="shared" si="53"/>
        <v>3.2269197584124241E-2</v>
      </c>
      <c r="AP49" s="28">
        <v>0.97899999999999998</v>
      </c>
      <c r="AQ49" s="23">
        <v>1640</v>
      </c>
      <c r="AR49" s="28">
        <v>36.200000000000003</v>
      </c>
      <c r="AS49" s="16">
        <f t="shared" si="54"/>
        <v>3.123382226056946E-2</v>
      </c>
      <c r="AT49" s="28">
        <v>0.98199999999999998</v>
      </c>
    </row>
    <row r="50" spans="1:46" ht="15.75" customHeight="1" x14ac:dyDescent="0.2">
      <c r="B50" s="1">
        <v>4</v>
      </c>
      <c r="C50" s="23">
        <v>1070</v>
      </c>
      <c r="D50" s="17">
        <v>42.2</v>
      </c>
      <c r="E50" s="16">
        <f t="shared" si="45"/>
        <v>3.6410698878343403E-2</v>
      </c>
      <c r="F50" s="28">
        <v>0.97599999999999998</v>
      </c>
      <c r="G50" s="17">
        <v>985</v>
      </c>
      <c r="H50" s="17">
        <v>39.700000000000003</v>
      </c>
      <c r="I50" s="16">
        <f t="shared" si="46"/>
        <v>3.4253666954270928E-2</v>
      </c>
      <c r="J50" s="28">
        <v>0.97699999999999998</v>
      </c>
      <c r="K50" s="23">
        <v>870</v>
      </c>
      <c r="L50" s="28">
        <v>29</v>
      </c>
      <c r="M50" s="16">
        <f t="shared" si="47"/>
        <v>2.5021570319240724E-2</v>
      </c>
      <c r="N50" s="28">
        <v>0.98899999999999999</v>
      </c>
      <c r="O50" s="23">
        <v>780</v>
      </c>
      <c r="P50" s="28">
        <v>28.4</v>
      </c>
      <c r="Q50" s="16">
        <f t="shared" si="48"/>
        <v>2.4503882657463328E-2</v>
      </c>
      <c r="R50" s="28">
        <v>0.99</v>
      </c>
      <c r="S50" s="23">
        <v>655</v>
      </c>
      <c r="T50" s="28">
        <v>27</v>
      </c>
      <c r="U50" s="16">
        <f t="shared" si="49"/>
        <v>2.3295944779982744E-2</v>
      </c>
      <c r="V50" s="28">
        <v>0.99099999999999999</v>
      </c>
      <c r="Z50" s="1">
        <v>4</v>
      </c>
      <c r="AA50" s="23">
        <v>1070</v>
      </c>
      <c r="AB50" s="17">
        <v>51.6</v>
      </c>
      <c r="AC50" s="16">
        <f t="shared" si="50"/>
        <v>4.4521138912855911E-2</v>
      </c>
      <c r="AD50" s="28">
        <v>0.96899999999999997</v>
      </c>
      <c r="AE50" s="17">
        <v>985</v>
      </c>
      <c r="AF50" s="17">
        <v>45.2</v>
      </c>
      <c r="AG50" s="16">
        <f t="shared" si="51"/>
        <v>3.8999137187230373E-2</v>
      </c>
      <c r="AH50" s="28">
        <v>0.97299999999999998</v>
      </c>
      <c r="AI50" s="23">
        <v>870</v>
      </c>
      <c r="AJ50" s="28">
        <v>34.1</v>
      </c>
      <c r="AK50" s="16">
        <f t="shared" si="52"/>
        <v>2.9421915444348579E-2</v>
      </c>
      <c r="AL50" s="28">
        <v>0.98599999999999999</v>
      </c>
      <c r="AM50" s="23">
        <v>780</v>
      </c>
      <c r="AN50" s="28">
        <v>30.3</v>
      </c>
      <c r="AO50" s="16">
        <f t="shared" si="53"/>
        <v>2.6143226919758414E-2</v>
      </c>
      <c r="AP50" s="28">
        <v>0.98899999999999999</v>
      </c>
      <c r="AQ50" s="23">
        <v>655</v>
      </c>
      <c r="AR50" s="28">
        <v>29.1</v>
      </c>
      <c r="AS50" s="16">
        <f t="shared" si="54"/>
        <v>2.5107851596203625E-2</v>
      </c>
      <c r="AT50" s="28">
        <v>0.99</v>
      </c>
    </row>
    <row r="51" spans="1:46" ht="15.75" customHeight="1" x14ac:dyDescent="0.2">
      <c r="B51" s="1">
        <v>5</v>
      </c>
      <c r="C51" s="23">
        <v>1560</v>
      </c>
      <c r="D51" s="17">
        <v>49</v>
      </c>
      <c r="E51" s="16">
        <f t="shared" si="45"/>
        <v>4.2277825711820538E-2</v>
      </c>
      <c r="F51" s="28">
        <v>0.96399999999999997</v>
      </c>
      <c r="G51" s="17">
        <v>1385</v>
      </c>
      <c r="H51" s="17">
        <v>38.4</v>
      </c>
      <c r="I51" s="16">
        <f t="shared" si="46"/>
        <v>3.3132010353753232E-2</v>
      </c>
      <c r="J51" s="28">
        <v>0.97699999999999998</v>
      </c>
      <c r="K51" s="23">
        <v>1205</v>
      </c>
      <c r="L51" s="28">
        <v>37.700000000000003</v>
      </c>
      <c r="M51" s="16">
        <f t="shared" si="47"/>
        <v>3.2528041415012941E-2</v>
      </c>
      <c r="N51" s="28">
        <v>0.97799999999999998</v>
      </c>
      <c r="O51" s="23">
        <v>1045</v>
      </c>
      <c r="P51" s="28">
        <v>35.299999999999997</v>
      </c>
      <c r="Q51" s="16">
        <f t="shared" si="48"/>
        <v>3.0457290767903364E-2</v>
      </c>
      <c r="R51" s="28">
        <v>0.98099999999999998</v>
      </c>
      <c r="S51" s="23">
        <v>870</v>
      </c>
      <c r="T51" s="28">
        <v>37.9</v>
      </c>
      <c r="U51" s="16">
        <f t="shared" si="49"/>
        <v>3.2700603968938736E-2</v>
      </c>
      <c r="V51" s="28">
        <v>0.97699999999999998</v>
      </c>
      <c r="Z51" s="1">
        <v>5</v>
      </c>
      <c r="AA51" s="23">
        <v>1560</v>
      </c>
      <c r="AB51" s="17">
        <v>57</v>
      </c>
      <c r="AC51" s="16">
        <f t="shared" si="50"/>
        <v>4.9180327868852458E-2</v>
      </c>
      <c r="AD51" s="28">
        <v>0.95399999999999996</v>
      </c>
      <c r="AE51" s="17">
        <v>1385</v>
      </c>
      <c r="AF51" s="17">
        <v>43.5</v>
      </c>
      <c r="AG51" s="16">
        <f t="shared" si="51"/>
        <v>3.7532355478861086E-2</v>
      </c>
      <c r="AH51" s="28">
        <v>0.97199999999999998</v>
      </c>
      <c r="AI51" s="23">
        <v>1205</v>
      </c>
      <c r="AJ51" s="28">
        <v>42.2</v>
      </c>
      <c r="AK51" s="16">
        <f t="shared" si="52"/>
        <v>3.6410698878343403E-2</v>
      </c>
      <c r="AL51" s="28">
        <v>0.97399999999999998</v>
      </c>
      <c r="AM51" s="23">
        <v>1045</v>
      </c>
      <c r="AN51" s="28">
        <v>38</v>
      </c>
      <c r="AO51" s="16">
        <f t="shared" si="53"/>
        <v>3.2786885245901641E-2</v>
      </c>
      <c r="AP51" s="28">
        <v>0.97899999999999998</v>
      </c>
      <c r="AQ51" s="23">
        <v>870</v>
      </c>
      <c r="AR51" s="28">
        <v>41.6</v>
      </c>
      <c r="AS51" s="16">
        <f t="shared" si="54"/>
        <v>3.5893011216566004E-2</v>
      </c>
      <c r="AT51" s="28">
        <v>0.97399999999999998</v>
      </c>
    </row>
    <row r="52" spans="1:46" ht="15.75" customHeight="1" x14ac:dyDescent="0.2">
      <c r="B52" s="1">
        <v>6</v>
      </c>
      <c r="C52" s="23">
        <v>890</v>
      </c>
      <c r="D52" s="17">
        <v>59.4</v>
      </c>
      <c r="E52" s="16">
        <f t="shared" si="45"/>
        <v>5.1251078515962036E-2</v>
      </c>
      <c r="F52" s="28">
        <v>0.84299999999999997</v>
      </c>
      <c r="G52" s="17">
        <v>770</v>
      </c>
      <c r="H52" s="17">
        <v>46</v>
      </c>
      <c r="I52" s="16">
        <f t="shared" si="46"/>
        <v>3.9689387402933561E-2</v>
      </c>
      <c r="J52" s="28">
        <v>0.92300000000000004</v>
      </c>
      <c r="K52" s="23">
        <v>660</v>
      </c>
      <c r="L52" s="28">
        <v>43.4</v>
      </c>
      <c r="M52" s="16">
        <f t="shared" si="47"/>
        <v>3.7446074201898188E-2</v>
      </c>
      <c r="N52" s="28">
        <v>0.93200000000000005</v>
      </c>
      <c r="O52" s="23">
        <v>565</v>
      </c>
      <c r="P52" s="28">
        <v>38.1</v>
      </c>
      <c r="Q52" s="16">
        <f t="shared" si="48"/>
        <v>3.2873166522864539E-2</v>
      </c>
      <c r="R52" s="28">
        <v>0.93700000000000006</v>
      </c>
      <c r="S52" s="23">
        <v>470</v>
      </c>
      <c r="T52" s="28">
        <v>38.700000000000003</v>
      </c>
      <c r="U52" s="16">
        <f t="shared" si="49"/>
        <v>3.3390854184641938E-2</v>
      </c>
      <c r="V52" s="28">
        <v>0.94299999999999995</v>
      </c>
      <c r="Z52" s="1">
        <v>6</v>
      </c>
      <c r="AA52" s="23">
        <v>890</v>
      </c>
      <c r="AB52" s="17">
        <v>77</v>
      </c>
      <c r="AC52" s="16">
        <f t="shared" si="50"/>
        <v>6.6436583261432272E-2</v>
      </c>
      <c r="AD52" s="28">
        <v>0.72399999999999998</v>
      </c>
      <c r="AE52" s="17">
        <v>770</v>
      </c>
      <c r="AF52" s="17">
        <v>48.1</v>
      </c>
      <c r="AG52" s="16">
        <f t="shared" si="51"/>
        <v>4.1501294219154446E-2</v>
      </c>
      <c r="AH52" s="28">
        <v>0.91200000000000003</v>
      </c>
      <c r="AI52" s="23">
        <v>660</v>
      </c>
      <c r="AJ52" s="28">
        <v>47.8</v>
      </c>
      <c r="AK52" s="16">
        <f t="shared" si="52"/>
        <v>4.1242450388265746E-2</v>
      </c>
      <c r="AL52" s="28">
        <v>0.91400000000000003</v>
      </c>
      <c r="AM52" s="23">
        <v>565</v>
      </c>
      <c r="AN52" s="28">
        <v>41.8</v>
      </c>
      <c r="AO52" s="16">
        <f t="shared" si="53"/>
        <v>3.6065573770491799E-2</v>
      </c>
      <c r="AP52" s="28">
        <v>0.92400000000000004</v>
      </c>
      <c r="AQ52" s="23">
        <v>470</v>
      </c>
      <c r="AR52" s="28">
        <v>42.9</v>
      </c>
      <c r="AS52" s="16">
        <f t="shared" si="54"/>
        <v>3.7014667817083693E-2</v>
      </c>
      <c r="AT52" s="28">
        <v>0.93100000000000005</v>
      </c>
    </row>
    <row r="53" spans="1:46" ht="15.75" customHeight="1" x14ac:dyDescent="0.2">
      <c r="B53" s="1">
        <v>7</v>
      </c>
      <c r="C53" s="23">
        <v>795</v>
      </c>
      <c r="D53" s="17">
        <v>47.8</v>
      </c>
      <c r="E53" s="16">
        <f t="shared" si="45"/>
        <v>4.1242450388265746E-2</v>
      </c>
      <c r="F53" s="28">
        <v>0.95099999999999996</v>
      </c>
      <c r="G53" s="17">
        <v>715</v>
      </c>
      <c r="H53" s="17">
        <v>45.5</v>
      </c>
      <c r="I53" s="16">
        <f t="shared" si="46"/>
        <v>3.9257981018119066E-2</v>
      </c>
      <c r="J53" s="28">
        <v>0.95</v>
      </c>
      <c r="K53" s="23">
        <v>635</v>
      </c>
      <c r="L53" s="28">
        <v>47.3</v>
      </c>
      <c r="M53" s="16">
        <f t="shared" si="47"/>
        <v>4.0811044003451251E-2</v>
      </c>
      <c r="N53" s="28">
        <v>0.95</v>
      </c>
      <c r="O53" s="23">
        <v>545</v>
      </c>
      <c r="P53" s="28">
        <v>46.7</v>
      </c>
      <c r="Q53" s="16">
        <f t="shared" si="48"/>
        <v>4.0293356341673858E-2</v>
      </c>
      <c r="R53" s="28">
        <v>0.95</v>
      </c>
      <c r="S53" s="23">
        <v>420</v>
      </c>
      <c r="T53" s="28">
        <v>44.1</v>
      </c>
      <c r="U53" s="16">
        <f t="shared" si="49"/>
        <v>3.8050043140638486E-2</v>
      </c>
      <c r="V53" s="28">
        <v>0.95</v>
      </c>
      <c r="Z53" s="1">
        <v>7</v>
      </c>
      <c r="AA53" s="23">
        <v>795</v>
      </c>
      <c r="AB53" s="17">
        <v>73.5</v>
      </c>
      <c r="AC53" s="16">
        <f t="shared" si="50"/>
        <v>6.3416738567730807E-2</v>
      </c>
      <c r="AD53" s="28">
        <v>0.90300000000000002</v>
      </c>
      <c r="AE53" s="17">
        <v>715</v>
      </c>
      <c r="AF53" s="17">
        <v>50.6</v>
      </c>
      <c r="AG53" s="16">
        <f t="shared" si="51"/>
        <v>4.3658326143226921E-2</v>
      </c>
      <c r="AH53" s="28">
        <v>0.93899999999999995</v>
      </c>
      <c r="AI53" s="23">
        <v>635</v>
      </c>
      <c r="AJ53" s="28">
        <v>56.2</v>
      </c>
      <c r="AK53" s="16">
        <f t="shared" si="52"/>
        <v>4.849007765314927E-2</v>
      </c>
      <c r="AL53" s="28">
        <v>0.93</v>
      </c>
      <c r="AM53" s="23">
        <v>545</v>
      </c>
      <c r="AN53" s="28">
        <v>54.2</v>
      </c>
      <c r="AO53" s="16">
        <f t="shared" si="53"/>
        <v>4.676445211389129E-2</v>
      </c>
      <c r="AP53" s="28">
        <v>0.93600000000000005</v>
      </c>
      <c r="AQ53" s="23">
        <v>420</v>
      </c>
      <c r="AR53" s="28">
        <v>48.8</v>
      </c>
      <c r="AS53" s="16">
        <f t="shared" si="54"/>
        <v>4.2105263157894736E-2</v>
      </c>
      <c r="AT53" s="28">
        <v>0.94099999999999995</v>
      </c>
    </row>
    <row r="54" spans="1:46" ht="15.75" customHeight="1" x14ac:dyDescent="0.2">
      <c r="C54" s="23"/>
      <c r="D54" s="17"/>
      <c r="G54" s="17"/>
      <c r="H54" s="17"/>
      <c r="K54" s="23"/>
      <c r="O54" s="23"/>
      <c r="S54" s="23"/>
      <c r="AA54" s="23"/>
      <c r="AB54" s="17"/>
      <c r="AE54" s="17"/>
      <c r="AF54" s="17"/>
      <c r="AI54" s="23"/>
      <c r="AM54" s="23"/>
      <c r="AQ54" s="23"/>
    </row>
    <row r="55" spans="1:46" ht="15.75" customHeight="1" x14ac:dyDescent="0.2">
      <c r="B55" s="1" t="s">
        <v>11</v>
      </c>
      <c r="C55" s="23"/>
      <c r="D55" s="7">
        <f>SUMPRODUCT(C46:C53,D46:D53)/SUM(C46:C53)</f>
        <v>44.067149942769937</v>
      </c>
      <c r="E55" s="20">
        <f>SUMPRODUCT(C46:C53,E46:E53)/SUM(C46:C53)</f>
        <v>3.8021699691777336E-2</v>
      </c>
      <c r="F55" s="20">
        <f>SUMPRODUCT(C46:C53,F46:F53)/SUM(C46:C53)</f>
        <v>0.95231705455932847</v>
      </c>
      <c r="G55" s="17"/>
      <c r="H55" s="7">
        <f>SUMPRODUCT(G46:G53,H46:H53)/SUM(G46:G53)</f>
        <v>39.444592274678115</v>
      </c>
      <c r="I55" s="20">
        <f>SUMPRODUCT(G46:G53,I46:I53)/SUM(G46:G53)</f>
        <v>3.4033297907401304E-2</v>
      </c>
      <c r="J55" s="20">
        <f>SUMPRODUCT(G46:G53,J46:J53)/SUM(G46:G53)</f>
        <v>0.96534463519313296</v>
      </c>
      <c r="K55" s="23"/>
      <c r="L55" s="7">
        <f>SUMPRODUCT(K46:K53,L46:L53)/SUM(K46:K53)</f>
        <v>38.018195193722413</v>
      </c>
      <c r="M55" s="20">
        <f>SUMPRODUCT(K46:K53,M46:M53)/SUM(K46:K53)</f>
        <v>3.2802584291391212E-2</v>
      </c>
      <c r="N55" s="20">
        <f>SUMPRODUCT(K46:K53,N46:N53)/SUM(K46:K53)</f>
        <v>0.96641638057871526</v>
      </c>
      <c r="O55" s="23"/>
      <c r="P55" s="7">
        <f>SUMPRODUCT(O46:O53,P46:P53)/SUM(O46:O53)</f>
        <v>36.28592677345538</v>
      </c>
      <c r="Q55" s="20">
        <f>SUMPRODUCT(O46:O53,Q46:Q53)/SUM(O46:O53)</f>
        <v>3.1307960977959771E-2</v>
      </c>
      <c r="R55" s="20">
        <f>SUMPRODUCT(O46:O53,R46:R53)/SUM(O46:O53)</f>
        <v>0.96994794050343225</v>
      </c>
      <c r="S55" s="23"/>
      <c r="T55" s="7">
        <f>SUMPRODUCT(S46:S53,T46:T53)/SUM(S46:S53)</f>
        <v>35.936675824175822</v>
      </c>
      <c r="U55" s="20">
        <f>SUMPRODUCT(S46:S53,U46:U53)/SUM(S46:S53)</f>
        <v>3.1006622799116326E-2</v>
      </c>
      <c r="V55" s="20">
        <f>SUMPRODUCT(S46:S53,V46:V53)/SUM(S46:S53)</f>
        <v>0.97190865384615388</v>
      </c>
      <c r="Z55" s="1" t="s">
        <v>11</v>
      </c>
      <c r="AA55" s="23"/>
      <c r="AB55" s="7">
        <f>SUMPRODUCT(AA46:AA53,AB46:AB53)/SUM(AA46:AA53)</f>
        <v>54.562495230827928</v>
      </c>
      <c r="AC55" s="20">
        <f>SUMPRODUCT(AA46:AA53,AC46:AC53)/SUM(AA46:AA53)</f>
        <v>4.7077217627979236E-2</v>
      </c>
      <c r="AD55" s="20">
        <f>SUMPRODUCT(AA46:AA53,AD46:AD53)/SUM(AA46:AA53)</f>
        <v>0.92916825639069067</v>
      </c>
      <c r="AE55" s="17"/>
      <c r="AF55" s="7">
        <f>SUMPRODUCT(AE46:AE53,AF46:AF53)/SUM(AE46:AE53)</f>
        <v>44.305150214592274</v>
      </c>
      <c r="AG55" s="20">
        <f>SUMPRODUCT(AE46:AE53,AG46:AG53)/SUM(AE46:AE53)</f>
        <v>3.8227049365480818E-2</v>
      </c>
      <c r="AH55" s="20">
        <f>SUMPRODUCT(AE46:AE53,AH46:AH53)/SUM(AE46:AE53)</f>
        <v>0.95919785407725322</v>
      </c>
      <c r="AI55" s="23"/>
      <c r="AJ55" s="7">
        <f>SUMPRODUCT(AI46:AI53,AJ46:AJ53)/SUM(AI46:AI53)</f>
        <v>42.875331044629718</v>
      </c>
      <c r="AK55" s="20">
        <f>SUMPRODUCT(AI46:AI53,AK46:AK53)/SUM(AI46:AI53)</f>
        <v>3.6993383127376808E-2</v>
      </c>
      <c r="AL55" s="20">
        <f>SUMPRODUCT(AI46:AI53,AL46:AL53)/SUM(AI46:AI53)</f>
        <v>0.95976851397743979</v>
      </c>
      <c r="AM55" s="23"/>
      <c r="AN55" s="7">
        <f>SUMPRODUCT(AM46:AM53,AN46:AN53)/SUM(AM46:AM53)</f>
        <v>40.2350114416476</v>
      </c>
      <c r="AO55" s="20">
        <f>SUMPRODUCT(AM46:AM53,AO46:AO53)/SUM(AM46:AM53)</f>
        <v>3.4715281658022082E-2</v>
      </c>
      <c r="AP55" s="20">
        <f>SUMPRODUCT(AM46:AM53,AP46:AP53)/SUM(AM46:AM53)</f>
        <v>0.9646538901601831</v>
      </c>
      <c r="AQ55" s="23"/>
      <c r="AR55" s="7">
        <f>SUMPRODUCT(AQ46:AQ53,AR46:AR53)/SUM(AQ46:AQ53)</f>
        <v>39.269642857142856</v>
      </c>
      <c r="AS55" s="20">
        <f>SUMPRODUCT(AQ46:AQ53,AS46:AS53)/SUM(AQ46:AQ53)</f>
        <v>3.3882349315912733E-2</v>
      </c>
      <c r="AT55" s="20">
        <f>SUMPRODUCT(AQ46:AQ53,AT46:AT53)/SUM(AQ46:AQ53)</f>
        <v>0.96796565934065937</v>
      </c>
    </row>
    <row r="56" spans="1:46" ht="15.75" customHeight="1" x14ac:dyDescent="0.2"/>
    <row r="57" spans="1:46" ht="15.75" customHeight="1" x14ac:dyDescent="0.2">
      <c r="C57" s="1">
        <f>SUM(C46:C53)</f>
        <v>13105</v>
      </c>
      <c r="G57" s="1">
        <f>SUM(G46:G53)</f>
        <v>11650</v>
      </c>
      <c r="K57" s="1">
        <f>SUM(K46:K53)</f>
        <v>10195</v>
      </c>
      <c r="O57" s="1">
        <f>SUM(O46:O53)</f>
        <v>8740</v>
      </c>
      <c r="S57" s="1">
        <f>SUM(S46:S53)</f>
        <v>7280</v>
      </c>
      <c r="AA57" s="1">
        <f>SUM(AA46:AA53)</f>
        <v>13105</v>
      </c>
      <c r="AE57" s="1">
        <f>SUM(AE46:AE53)</f>
        <v>11650</v>
      </c>
      <c r="AI57" s="1">
        <f>SUM(AI46:AI53)</f>
        <v>10195</v>
      </c>
      <c r="AM57" s="1">
        <f>SUM(AM46:AM53)</f>
        <v>8740</v>
      </c>
      <c r="AQ57" s="1">
        <f>SUM(AQ46:AQ53)</f>
        <v>7280</v>
      </c>
    </row>
    <row r="58" spans="1:46" ht="15.75" customHeight="1" x14ac:dyDescent="0.2"/>
    <row r="59" spans="1:46" ht="15.75" customHeight="1" x14ac:dyDescent="0.2"/>
    <row r="60" spans="1:46" ht="15.75" customHeight="1" x14ac:dyDescent="0.2">
      <c r="A60" s="1" t="s">
        <v>25</v>
      </c>
      <c r="D60" s="134">
        <v>0.1</v>
      </c>
      <c r="E60" s="133"/>
      <c r="F60" s="133"/>
      <c r="G60" s="2"/>
      <c r="H60" s="134">
        <v>0.2</v>
      </c>
      <c r="I60" s="133"/>
      <c r="J60" s="133"/>
      <c r="K60" s="2"/>
      <c r="L60" s="134">
        <v>0.3</v>
      </c>
      <c r="M60" s="133"/>
      <c r="N60" s="133"/>
      <c r="O60" s="2"/>
      <c r="P60" s="134">
        <v>0.4</v>
      </c>
      <c r="Q60" s="133"/>
      <c r="R60" s="133"/>
      <c r="S60" s="2"/>
      <c r="T60" s="134">
        <v>0.5</v>
      </c>
      <c r="U60" s="133"/>
      <c r="V60" s="133"/>
      <c r="Y60" s="28" t="s">
        <v>25</v>
      </c>
      <c r="AB60" s="134">
        <v>0.1</v>
      </c>
      <c r="AC60" s="133"/>
      <c r="AD60" s="133"/>
      <c r="AE60" s="2"/>
      <c r="AF60" s="134">
        <v>0.2</v>
      </c>
      <c r="AG60" s="133"/>
      <c r="AH60" s="133"/>
      <c r="AI60" s="2"/>
      <c r="AJ60" s="134">
        <v>0.3</v>
      </c>
      <c r="AK60" s="133"/>
      <c r="AL60" s="133"/>
      <c r="AM60" s="2"/>
      <c r="AN60" s="134">
        <v>0.4</v>
      </c>
      <c r="AO60" s="133"/>
      <c r="AP60" s="133"/>
      <c r="AQ60" s="2"/>
      <c r="AR60" s="134">
        <v>0.5</v>
      </c>
      <c r="AS60" s="133"/>
      <c r="AT60" s="133"/>
    </row>
    <row r="61" spans="1:46" ht="15.75" customHeight="1" thickBot="1" x14ac:dyDescent="0.25">
      <c r="B61" s="13" t="s">
        <v>8</v>
      </c>
      <c r="C61" s="22" t="s">
        <v>22</v>
      </c>
      <c r="D61" s="14" t="s">
        <v>7</v>
      </c>
      <c r="E61" s="13" t="s">
        <v>9</v>
      </c>
      <c r="F61" s="13" t="s">
        <v>10</v>
      </c>
      <c r="G61" s="22" t="s">
        <v>22</v>
      </c>
      <c r="H61" s="14" t="s">
        <v>7</v>
      </c>
      <c r="I61" s="13" t="s">
        <v>9</v>
      </c>
      <c r="J61" s="13" t="s">
        <v>10</v>
      </c>
      <c r="K61" s="22" t="s">
        <v>22</v>
      </c>
      <c r="L61" s="13" t="s">
        <v>7</v>
      </c>
      <c r="M61" s="13" t="s">
        <v>9</v>
      </c>
      <c r="N61" s="13" t="s">
        <v>10</v>
      </c>
      <c r="O61" s="22" t="s">
        <v>22</v>
      </c>
      <c r="P61" s="13" t="s">
        <v>7</v>
      </c>
      <c r="Q61" s="13" t="s">
        <v>9</v>
      </c>
      <c r="R61" s="13" t="s">
        <v>10</v>
      </c>
      <c r="S61" s="22" t="s">
        <v>22</v>
      </c>
      <c r="T61" s="13" t="s">
        <v>7</v>
      </c>
      <c r="U61" s="13" t="s">
        <v>9</v>
      </c>
      <c r="V61" s="13" t="s">
        <v>10</v>
      </c>
      <c r="Z61" s="13" t="s">
        <v>8</v>
      </c>
      <c r="AA61" s="22" t="s">
        <v>22</v>
      </c>
      <c r="AB61" s="14" t="s">
        <v>7</v>
      </c>
      <c r="AC61" s="13" t="s">
        <v>9</v>
      </c>
      <c r="AD61" s="13" t="s">
        <v>10</v>
      </c>
      <c r="AE61" s="22" t="s">
        <v>22</v>
      </c>
      <c r="AF61" s="14" t="s">
        <v>7</v>
      </c>
      <c r="AG61" s="13" t="s">
        <v>9</v>
      </c>
      <c r="AH61" s="13" t="s">
        <v>10</v>
      </c>
      <c r="AI61" s="22" t="s">
        <v>22</v>
      </c>
      <c r="AJ61" s="13" t="s">
        <v>7</v>
      </c>
      <c r="AK61" s="13" t="s">
        <v>9</v>
      </c>
      <c r="AL61" s="13" t="s">
        <v>10</v>
      </c>
      <c r="AM61" s="22" t="s">
        <v>22</v>
      </c>
      <c r="AN61" s="13" t="s">
        <v>7</v>
      </c>
      <c r="AO61" s="13" t="s">
        <v>9</v>
      </c>
      <c r="AP61" s="13" t="s">
        <v>10</v>
      </c>
      <c r="AQ61" s="22" t="s">
        <v>22</v>
      </c>
      <c r="AR61" s="13" t="s">
        <v>7</v>
      </c>
      <c r="AS61" s="13" t="s">
        <v>9</v>
      </c>
      <c r="AT61" s="13" t="s">
        <v>10</v>
      </c>
    </row>
    <row r="62" spans="1:46" ht="15.75" customHeight="1" x14ac:dyDescent="0.2">
      <c r="B62" s="1">
        <v>0</v>
      </c>
      <c r="C62" s="23">
        <v>1750</v>
      </c>
      <c r="D62" s="17">
        <v>52.2</v>
      </c>
      <c r="E62" s="16">
        <f t="shared" ref="E62:E69" si="55">D62/$A$5</f>
        <v>4.503882657463331E-2</v>
      </c>
      <c r="F62" s="28">
        <v>0.96199999999999997</v>
      </c>
      <c r="G62" s="17">
        <v>1545</v>
      </c>
      <c r="H62" s="17">
        <v>45.1</v>
      </c>
      <c r="I62" s="16">
        <f t="shared" ref="I62:I69" si="56">H62/$A$5</f>
        <v>3.8912855910267476E-2</v>
      </c>
      <c r="J62" s="28">
        <v>0.97</v>
      </c>
      <c r="K62" s="23">
        <v>1325</v>
      </c>
      <c r="L62" s="28">
        <v>42</v>
      </c>
      <c r="M62" s="16">
        <f t="shared" ref="M62:M69" si="57">L62/$A$5</f>
        <v>3.6238136324417601E-2</v>
      </c>
      <c r="N62" s="28">
        <v>0.97199999999999998</v>
      </c>
      <c r="O62" s="23">
        <v>1145</v>
      </c>
      <c r="P62" s="17">
        <v>44.6</v>
      </c>
      <c r="Q62" s="16">
        <f t="shared" ref="Q62:Q69" si="58">P62/$A$5</f>
        <v>3.8481449525452981E-2</v>
      </c>
      <c r="R62" s="28">
        <v>0.96899999999999997</v>
      </c>
      <c r="S62" s="115">
        <v>980</v>
      </c>
      <c r="T62" s="28">
        <v>42.6</v>
      </c>
      <c r="U62" s="16">
        <f t="shared" ref="U62:U69" si="59">T62/$A$5</f>
        <v>3.6755823986194994E-2</v>
      </c>
      <c r="V62" s="28">
        <v>0.97099999999999997</v>
      </c>
      <c r="Z62" s="1">
        <v>0</v>
      </c>
      <c r="AA62" s="23">
        <v>1750</v>
      </c>
      <c r="AB62" s="17">
        <v>58.7</v>
      </c>
      <c r="AC62" s="16">
        <f t="shared" ref="AC62:AC69" si="60">AB62/$A$5</f>
        <v>5.0647109577221745E-2</v>
      </c>
      <c r="AD62" s="28">
        <v>0.95699999999999996</v>
      </c>
      <c r="AE62" s="17">
        <v>1545</v>
      </c>
      <c r="AF62" s="17">
        <v>54</v>
      </c>
      <c r="AG62" s="16">
        <f t="shared" ref="AG62:AG69" si="61">AF62/$A$5</f>
        <v>4.6591889559965488E-2</v>
      </c>
      <c r="AH62" s="28">
        <v>0.96299999999999997</v>
      </c>
      <c r="AI62" s="23">
        <v>1325</v>
      </c>
      <c r="AJ62" s="28">
        <v>46.2</v>
      </c>
      <c r="AK62" s="16">
        <f t="shared" ref="AK62:AK69" si="62">AJ62/$A$5</f>
        <v>3.9861949956859363E-2</v>
      </c>
      <c r="AL62" s="28">
        <v>0.96799999999999997</v>
      </c>
      <c r="AM62" s="23">
        <v>1145</v>
      </c>
      <c r="AN62" s="28">
        <v>50.5</v>
      </c>
      <c r="AO62" s="16">
        <f t="shared" ref="AO62:AO69" si="63">AN62/$A$5</f>
        <v>4.3572044866264023E-2</v>
      </c>
      <c r="AP62" s="28">
        <v>0.96299999999999997</v>
      </c>
      <c r="AQ62" s="115">
        <v>980</v>
      </c>
      <c r="AR62" s="28">
        <v>47.5</v>
      </c>
      <c r="AS62" s="16">
        <f t="shared" ref="AS62:AS69" si="64">AR62/$A$5</f>
        <v>4.0983606557377046E-2</v>
      </c>
      <c r="AT62" s="28">
        <v>0.96599999999999997</v>
      </c>
    </row>
    <row r="63" spans="1:46" ht="15.75" customHeight="1" x14ac:dyDescent="0.2">
      <c r="B63" s="1">
        <v>1</v>
      </c>
      <c r="C63" s="23">
        <v>1470</v>
      </c>
      <c r="D63" s="17">
        <v>36.9</v>
      </c>
      <c r="E63" s="16">
        <f t="shared" si="55"/>
        <v>3.1837791199309746E-2</v>
      </c>
      <c r="F63" s="28">
        <v>0.91800000000000004</v>
      </c>
      <c r="G63" s="17">
        <v>1300</v>
      </c>
      <c r="H63" s="17">
        <v>36.299999999999997</v>
      </c>
      <c r="I63" s="16">
        <f t="shared" si="56"/>
        <v>3.1320103537532354E-2</v>
      </c>
      <c r="J63" s="28">
        <v>0.92700000000000005</v>
      </c>
      <c r="K63" s="23">
        <v>1145</v>
      </c>
      <c r="L63" s="28">
        <v>33.700000000000003</v>
      </c>
      <c r="M63" s="16">
        <f t="shared" si="57"/>
        <v>2.9076790336496981E-2</v>
      </c>
      <c r="N63" s="28">
        <v>0.93200000000000005</v>
      </c>
      <c r="O63" s="23">
        <v>1020</v>
      </c>
      <c r="P63" s="17">
        <v>33.5</v>
      </c>
      <c r="Q63" s="16">
        <f t="shared" si="58"/>
        <v>2.8904227782571183E-2</v>
      </c>
      <c r="R63" s="28">
        <v>0.92900000000000005</v>
      </c>
      <c r="S63" s="116">
        <v>840</v>
      </c>
      <c r="T63" s="28">
        <v>32.299999999999997</v>
      </c>
      <c r="U63" s="16">
        <f t="shared" si="59"/>
        <v>2.786885245901639E-2</v>
      </c>
      <c r="V63" s="28">
        <v>0.93400000000000005</v>
      </c>
      <c r="Z63" s="1">
        <v>1</v>
      </c>
      <c r="AA63" s="23">
        <v>1470</v>
      </c>
      <c r="AB63" s="17">
        <v>42.5</v>
      </c>
      <c r="AC63" s="16">
        <f t="shared" si="60"/>
        <v>3.6669542709232096E-2</v>
      </c>
      <c r="AD63" s="28">
        <v>0.89400000000000002</v>
      </c>
      <c r="AE63" s="17">
        <v>1300</v>
      </c>
      <c r="AF63" s="17">
        <v>41.9</v>
      </c>
      <c r="AG63" s="16">
        <f t="shared" si="61"/>
        <v>3.6151855047454703E-2</v>
      </c>
      <c r="AH63" s="28">
        <v>0.90700000000000003</v>
      </c>
      <c r="AI63" s="23">
        <v>1145</v>
      </c>
      <c r="AJ63" s="28">
        <v>39.4</v>
      </c>
      <c r="AK63" s="16">
        <f t="shared" si="62"/>
        <v>3.3994823123382222E-2</v>
      </c>
      <c r="AL63" s="28">
        <v>0.90500000000000003</v>
      </c>
      <c r="AM63" s="23">
        <v>1020</v>
      </c>
      <c r="AN63" s="28">
        <v>37</v>
      </c>
      <c r="AO63" s="16">
        <f t="shared" si="63"/>
        <v>3.1924072476272651E-2</v>
      </c>
      <c r="AP63" s="28">
        <v>0.92100000000000004</v>
      </c>
      <c r="AQ63" s="116">
        <v>840</v>
      </c>
      <c r="AR63" s="28">
        <v>37.1</v>
      </c>
      <c r="AS63" s="16">
        <f t="shared" si="64"/>
        <v>3.2010353753235549E-2</v>
      </c>
      <c r="AT63" s="28">
        <v>0.92100000000000004</v>
      </c>
    </row>
    <row r="64" spans="1:46" ht="15.75" customHeight="1" x14ac:dyDescent="0.2">
      <c r="B64" s="1">
        <v>2</v>
      </c>
      <c r="C64" s="23">
        <v>1395</v>
      </c>
      <c r="D64" s="17">
        <v>33.6</v>
      </c>
      <c r="E64" s="16">
        <f t="shared" si="55"/>
        <v>2.8990509059534084E-2</v>
      </c>
      <c r="F64" s="28">
        <v>0.93</v>
      </c>
      <c r="G64" s="17">
        <v>1220</v>
      </c>
      <c r="H64" s="17">
        <v>33.5</v>
      </c>
      <c r="I64" s="16">
        <f t="shared" si="56"/>
        <v>2.8904227782571183E-2</v>
      </c>
      <c r="J64" s="28">
        <v>0.93600000000000005</v>
      </c>
      <c r="K64" s="23">
        <v>1070</v>
      </c>
      <c r="L64" s="28">
        <v>33</v>
      </c>
      <c r="M64" s="16">
        <f t="shared" si="57"/>
        <v>2.8472821397756688E-2</v>
      </c>
      <c r="N64" s="28">
        <v>0.93799999999999994</v>
      </c>
      <c r="O64" s="23">
        <v>915</v>
      </c>
      <c r="P64" s="17">
        <v>32.5</v>
      </c>
      <c r="Q64" s="16">
        <f t="shared" si="58"/>
        <v>2.8041415012942193E-2</v>
      </c>
      <c r="R64" s="28">
        <v>0.93899999999999995</v>
      </c>
      <c r="S64" s="116">
        <v>685</v>
      </c>
      <c r="T64" s="28">
        <v>34.200000000000003</v>
      </c>
      <c r="U64" s="16">
        <f t="shared" si="59"/>
        <v>2.9508196721311476E-2</v>
      </c>
      <c r="V64" s="28">
        <v>0.93500000000000005</v>
      </c>
      <c r="Z64" s="1">
        <v>2</v>
      </c>
      <c r="AA64" s="23">
        <v>1395</v>
      </c>
      <c r="AB64" s="17">
        <v>50.7</v>
      </c>
      <c r="AC64" s="16">
        <f t="shared" si="60"/>
        <v>4.3744607420189818E-2</v>
      </c>
      <c r="AD64" s="28">
        <v>0.86899999999999999</v>
      </c>
      <c r="AE64" s="17">
        <v>1220</v>
      </c>
      <c r="AF64" s="17">
        <v>40.5</v>
      </c>
      <c r="AG64" s="16">
        <f t="shared" si="61"/>
        <v>3.4943917169974116E-2</v>
      </c>
      <c r="AH64" s="28">
        <v>0.90600000000000003</v>
      </c>
      <c r="AI64" s="23">
        <v>1070</v>
      </c>
      <c r="AJ64" s="28">
        <v>40.1</v>
      </c>
      <c r="AK64" s="16">
        <f t="shared" si="62"/>
        <v>3.4598792062122519E-2</v>
      </c>
      <c r="AL64" s="28">
        <v>0.90400000000000003</v>
      </c>
      <c r="AM64" s="23">
        <v>915</v>
      </c>
      <c r="AN64" s="28">
        <v>37.700000000000003</v>
      </c>
      <c r="AO64" s="16">
        <f t="shared" si="63"/>
        <v>3.2528041415012941E-2</v>
      </c>
      <c r="AP64" s="28">
        <v>0.91500000000000004</v>
      </c>
      <c r="AQ64" s="116">
        <v>685</v>
      </c>
      <c r="AR64" s="28">
        <v>34.299999999999997</v>
      </c>
      <c r="AS64" s="16">
        <f t="shared" si="64"/>
        <v>2.959447799827437E-2</v>
      </c>
      <c r="AT64" s="28">
        <v>0.93700000000000006</v>
      </c>
    </row>
    <row r="65" spans="2:46" ht="15.75" customHeight="1" x14ac:dyDescent="0.2">
      <c r="B65" s="1">
        <v>3</v>
      </c>
      <c r="C65" s="23">
        <v>2060</v>
      </c>
      <c r="D65" s="17">
        <v>35.299999999999997</v>
      </c>
      <c r="E65" s="16">
        <f t="shared" si="55"/>
        <v>3.0457290767903364E-2</v>
      </c>
      <c r="F65" s="28">
        <v>0.98299999999999998</v>
      </c>
      <c r="G65" s="17">
        <v>1845</v>
      </c>
      <c r="H65" s="17">
        <v>33.299999999999997</v>
      </c>
      <c r="I65" s="16">
        <f t="shared" si="56"/>
        <v>2.873166522864538E-2</v>
      </c>
      <c r="J65" s="28">
        <v>0.98499999999999999</v>
      </c>
      <c r="K65" s="23">
        <v>1625</v>
      </c>
      <c r="L65" s="28">
        <v>32.6</v>
      </c>
      <c r="M65" s="16">
        <f t="shared" si="57"/>
        <v>2.812769628990509E-2</v>
      </c>
      <c r="N65" s="28">
        <v>0.98599999999999999</v>
      </c>
      <c r="O65" s="23">
        <v>1370</v>
      </c>
      <c r="P65" s="17">
        <v>32</v>
      </c>
      <c r="Q65" s="16">
        <f t="shared" si="58"/>
        <v>2.7610008628127698E-2</v>
      </c>
      <c r="R65" s="28">
        <v>0.98599999999999999</v>
      </c>
      <c r="S65" s="116">
        <v>1155</v>
      </c>
      <c r="T65" s="28">
        <v>32.799999999999997</v>
      </c>
      <c r="U65" s="16">
        <f t="shared" si="59"/>
        <v>2.8300258843830885E-2</v>
      </c>
      <c r="V65" s="28">
        <v>0.98599999999999999</v>
      </c>
      <c r="Z65" s="1">
        <v>3</v>
      </c>
      <c r="AA65" s="23">
        <v>2060</v>
      </c>
      <c r="AB65" s="17">
        <v>44.3</v>
      </c>
      <c r="AC65" s="16">
        <f t="shared" si="60"/>
        <v>3.8222605694564274E-2</v>
      </c>
      <c r="AD65" s="28">
        <v>0.97599999999999998</v>
      </c>
      <c r="AE65" s="17">
        <v>1845</v>
      </c>
      <c r="AF65" s="17">
        <v>39.299999999999997</v>
      </c>
      <c r="AG65" s="16">
        <f t="shared" si="61"/>
        <v>3.3908541846419324E-2</v>
      </c>
      <c r="AH65" s="28">
        <v>0.98099999999999998</v>
      </c>
      <c r="AI65" s="23">
        <v>1625</v>
      </c>
      <c r="AJ65" s="28">
        <v>38.200000000000003</v>
      </c>
      <c r="AK65" s="16">
        <f t="shared" si="62"/>
        <v>3.2959447799827443E-2</v>
      </c>
      <c r="AL65" s="28">
        <v>0.98199999999999998</v>
      </c>
      <c r="AM65" s="23">
        <v>1370</v>
      </c>
      <c r="AN65" s="28">
        <v>36.799999999999997</v>
      </c>
      <c r="AO65" s="16">
        <f t="shared" si="63"/>
        <v>3.1751509922346849E-2</v>
      </c>
      <c r="AP65" s="28">
        <v>0.98299999999999998</v>
      </c>
      <c r="AQ65" s="116">
        <v>1155</v>
      </c>
      <c r="AR65" s="28">
        <v>38.6</v>
      </c>
      <c r="AS65" s="16">
        <f t="shared" si="64"/>
        <v>3.3304572907679034E-2</v>
      </c>
      <c r="AT65" s="28">
        <v>0.98099999999999998</v>
      </c>
    </row>
    <row r="66" spans="2:46" ht="15.75" customHeight="1" x14ac:dyDescent="0.2">
      <c r="B66" s="1">
        <v>4</v>
      </c>
      <c r="C66" s="23">
        <v>1455</v>
      </c>
      <c r="D66" s="17">
        <v>47.5</v>
      </c>
      <c r="E66" s="16">
        <f t="shared" si="55"/>
        <v>4.0983606557377046E-2</v>
      </c>
      <c r="F66" s="28">
        <v>0.96799999999999997</v>
      </c>
      <c r="G66" s="17">
        <v>1275</v>
      </c>
      <c r="H66" s="17">
        <v>42</v>
      </c>
      <c r="I66" s="16">
        <f t="shared" si="56"/>
        <v>3.6238136324417601E-2</v>
      </c>
      <c r="J66" s="28">
        <v>0.97099999999999997</v>
      </c>
      <c r="K66" s="23">
        <v>1085</v>
      </c>
      <c r="L66" s="28">
        <v>42.2</v>
      </c>
      <c r="M66" s="16">
        <f t="shared" si="57"/>
        <v>3.6410698878343403E-2</v>
      </c>
      <c r="N66" s="28">
        <v>0.97399999999999998</v>
      </c>
      <c r="O66" s="23">
        <v>915</v>
      </c>
      <c r="P66" s="17">
        <v>41.3</v>
      </c>
      <c r="Q66" s="16">
        <f t="shared" si="58"/>
        <v>3.5634167385677304E-2</v>
      </c>
      <c r="R66" s="28">
        <v>0.97399999999999998</v>
      </c>
      <c r="S66" s="116">
        <v>805</v>
      </c>
      <c r="T66" s="28">
        <v>44.6</v>
      </c>
      <c r="U66" s="16">
        <f t="shared" si="59"/>
        <v>3.8481449525452981E-2</v>
      </c>
      <c r="V66" s="28">
        <v>0.96899999999999997</v>
      </c>
      <c r="Z66" s="1">
        <v>4</v>
      </c>
      <c r="AA66" s="23">
        <v>1455</v>
      </c>
      <c r="AB66" s="17">
        <v>55.8</v>
      </c>
      <c r="AC66" s="16">
        <f t="shared" si="60"/>
        <v>4.8144952545297666E-2</v>
      </c>
      <c r="AD66" s="28">
        <v>0.95899999999999996</v>
      </c>
      <c r="AE66" s="17">
        <v>1275</v>
      </c>
      <c r="AF66" s="17">
        <v>46.7</v>
      </c>
      <c r="AG66" s="16">
        <f t="shared" si="61"/>
        <v>4.0293356341673858E-2</v>
      </c>
      <c r="AH66" s="28">
        <v>0.96499999999999997</v>
      </c>
      <c r="AI66" s="23">
        <v>1085</v>
      </c>
      <c r="AJ66" s="28">
        <v>46</v>
      </c>
      <c r="AK66" s="16">
        <f t="shared" si="62"/>
        <v>3.9689387402933561E-2</v>
      </c>
      <c r="AL66" s="28">
        <v>0.96799999999999997</v>
      </c>
      <c r="AM66" s="23">
        <v>915</v>
      </c>
      <c r="AN66" s="28">
        <v>45.5</v>
      </c>
      <c r="AO66" s="16">
        <f t="shared" si="63"/>
        <v>3.9257981018119066E-2</v>
      </c>
      <c r="AP66" s="28">
        <v>0.96899999999999997</v>
      </c>
      <c r="AQ66" s="116">
        <v>805</v>
      </c>
      <c r="AR66" s="28">
        <v>51</v>
      </c>
      <c r="AS66" s="16">
        <f t="shared" si="64"/>
        <v>4.4003451251078518E-2</v>
      </c>
      <c r="AT66" s="28">
        <v>0.96199999999999997</v>
      </c>
    </row>
    <row r="67" spans="2:46" ht="15.75" customHeight="1" x14ac:dyDescent="0.2">
      <c r="B67" s="1">
        <v>5</v>
      </c>
      <c r="C67" s="23">
        <v>1190</v>
      </c>
      <c r="D67" s="17">
        <v>53</v>
      </c>
      <c r="E67" s="16">
        <f t="shared" si="55"/>
        <v>4.5729076790336498E-2</v>
      </c>
      <c r="F67" s="28">
        <v>0.96199999999999997</v>
      </c>
      <c r="G67" s="17">
        <v>1100</v>
      </c>
      <c r="H67" s="17">
        <v>38</v>
      </c>
      <c r="I67" s="16">
        <f t="shared" si="56"/>
        <v>3.2786885245901641E-2</v>
      </c>
      <c r="J67" s="28">
        <v>0.98</v>
      </c>
      <c r="K67" s="23">
        <v>985</v>
      </c>
      <c r="L67" s="28">
        <v>32</v>
      </c>
      <c r="M67" s="16">
        <f t="shared" si="57"/>
        <v>2.7610008628127698E-2</v>
      </c>
      <c r="N67" s="28">
        <v>0.98299999999999998</v>
      </c>
      <c r="O67" s="23">
        <v>825</v>
      </c>
      <c r="P67" s="17">
        <v>28.3</v>
      </c>
      <c r="Q67" s="16">
        <f t="shared" si="58"/>
        <v>2.441760138050043E-2</v>
      </c>
      <c r="R67" s="28">
        <v>0.98699999999999999</v>
      </c>
      <c r="S67" s="116">
        <v>670</v>
      </c>
      <c r="T67" s="28">
        <v>28.8</v>
      </c>
      <c r="U67" s="16">
        <f t="shared" si="59"/>
        <v>2.4849007765314929E-2</v>
      </c>
      <c r="V67" s="28">
        <v>0.98599999999999999</v>
      </c>
      <c r="Z67" s="1">
        <v>5</v>
      </c>
      <c r="AA67" s="23">
        <v>1190</v>
      </c>
      <c r="AB67" s="17">
        <v>59.8</v>
      </c>
      <c r="AC67" s="16">
        <f t="shared" si="60"/>
        <v>5.1596203623813633E-2</v>
      </c>
      <c r="AD67" s="28">
        <v>0.95699999999999996</v>
      </c>
      <c r="AE67" s="17">
        <v>1100</v>
      </c>
      <c r="AF67" s="17">
        <v>53.5</v>
      </c>
      <c r="AG67" s="16">
        <f t="shared" si="61"/>
        <v>4.6160483175150993E-2</v>
      </c>
      <c r="AH67" s="28">
        <v>0.96399999999999997</v>
      </c>
      <c r="AI67" s="23">
        <v>985</v>
      </c>
      <c r="AJ67" s="28">
        <v>39.1</v>
      </c>
      <c r="AK67" s="16">
        <f t="shared" si="62"/>
        <v>3.3735979292493529E-2</v>
      </c>
      <c r="AL67" s="28">
        <v>0.97699999999999998</v>
      </c>
      <c r="AM67" s="23">
        <v>825</v>
      </c>
      <c r="AN67" s="28">
        <v>34.799999999999997</v>
      </c>
      <c r="AO67" s="16">
        <f t="shared" si="63"/>
        <v>3.0025884383088869E-2</v>
      </c>
      <c r="AP67" s="28">
        <v>0.98399999999999999</v>
      </c>
      <c r="AQ67" s="116">
        <v>670</v>
      </c>
      <c r="AR67" s="28">
        <v>33.700000000000003</v>
      </c>
      <c r="AS67" s="16">
        <f t="shared" si="64"/>
        <v>2.9076790336496981E-2</v>
      </c>
      <c r="AT67" s="28">
        <v>0.98399999999999999</v>
      </c>
    </row>
    <row r="68" spans="2:46" ht="15.75" customHeight="1" x14ac:dyDescent="0.2">
      <c r="B68" s="1">
        <v>6</v>
      </c>
      <c r="C68" s="23">
        <v>2955</v>
      </c>
      <c r="D68" s="17">
        <v>49.9</v>
      </c>
      <c r="E68" s="16">
        <f t="shared" si="55"/>
        <v>4.3054357204486624E-2</v>
      </c>
      <c r="F68" s="28">
        <v>0.95899999999999996</v>
      </c>
      <c r="G68" s="17">
        <v>2625</v>
      </c>
      <c r="H68" s="17">
        <v>39.1</v>
      </c>
      <c r="I68" s="16">
        <f t="shared" si="56"/>
        <v>3.3735979292493529E-2</v>
      </c>
      <c r="J68" s="28">
        <v>0.97199999999999998</v>
      </c>
      <c r="K68" s="23">
        <v>2305</v>
      </c>
      <c r="L68" s="28">
        <v>38.1</v>
      </c>
      <c r="M68" s="16">
        <f t="shared" si="57"/>
        <v>3.2873166522864539E-2</v>
      </c>
      <c r="N68" s="28">
        <v>0.97299999999999998</v>
      </c>
      <c r="O68" s="23">
        <v>1970</v>
      </c>
      <c r="P68" s="17">
        <v>36.200000000000003</v>
      </c>
      <c r="Q68" s="16">
        <f t="shared" si="58"/>
        <v>3.123382226056946E-2</v>
      </c>
      <c r="R68" s="28">
        <v>0.97499999999999998</v>
      </c>
      <c r="S68" s="116">
        <v>1640</v>
      </c>
      <c r="T68" s="28">
        <v>35.200000000000003</v>
      </c>
      <c r="U68" s="16">
        <f t="shared" si="59"/>
        <v>3.037100949094047E-2</v>
      </c>
      <c r="V68" s="28">
        <v>0.97599999999999998</v>
      </c>
      <c r="Z68" s="1">
        <v>6</v>
      </c>
      <c r="AA68" s="23">
        <v>2955</v>
      </c>
      <c r="AB68" s="17">
        <v>59.2</v>
      </c>
      <c r="AC68" s="16">
        <f t="shared" si="60"/>
        <v>5.107851596203624E-2</v>
      </c>
      <c r="AD68" s="28">
        <v>0.94499999999999995</v>
      </c>
      <c r="AE68" s="17">
        <v>2625</v>
      </c>
      <c r="AF68" s="17">
        <v>45.6</v>
      </c>
      <c r="AG68" s="16">
        <f t="shared" si="61"/>
        <v>3.9344262295081971E-2</v>
      </c>
      <c r="AH68" s="28">
        <v>0.96599999999999997</v>
      </c>
      <c r="AI68" s="23">
        <v>2305</v>
      </c>
      <c r="AJ68" s="28">
        <v>41.9</v>
      </c>
      <c r="AK68" s="16">
        <f t="shared" si="62"/>
        <v>3.6151855047454703E-2</v>
      </c>
      <c r="AL68" s="28">
        <v>0.97</v>
      </c>
      <c r="AM68" s="23">
        <v>1970</v>
      </c>
      <c r="AN68" s="28">
        <v>39.700000000000003</v>
      </c>
      <c r="AO68" s="16">
        <f t="shared" si="63"/>
        <v>3.4253666954270928E-2</v>
      </c>
      <c r="AP68" s="28">
        <v>0.97199999999999998</v>
      </c>
      <c r="AQ68" s="116">
        <v>1640</v>
      </c>
      <c r="AR68" s="28">
        <v>38.9</v>
      </c>
      <c r="AS68" s="16">
        <f t="shared" si="64"/>
        <v>3.3563416738567727E-2</v>
      </c>
      <c r="AT68" s="28">
        <v>0.97199999999999998</v>
      </c>
    </row>
    <row r="69" spans="2:46" ht="15.75" customHeight="1" x14ac:dyDescent="0.2">
      <c r="B69" s="1">
        <v>7</v>
      </c>
      <c r="C69" s="23">
        <v>830</v>
      </c>
      <c r="D69" s="17">
        <v>271.8</v>
      </c>
      <c r="E69" s="16">
        <f t="shared" si="55"/>
        <v>0.23451251078515964</v>
      </c>
      <c r="F69" s="28">
        <v>-0.16200000000000001</v>
      </c>
      <c r="G69" s="17">
        <v>740</v>
      </c>
      <c r="H69" s="17">
        <v>50.1</v>
      </c>
      <c r="I69" s="16">
        <f t="shared" si="56"/>
        <v>4.3226919758412426E-2</v>
      </c>
      <c r="J69" s="28">
        <v>0.95799999999999996</v>
      </c>
      <c r="K69" s="23">
        <v>655</v>
      </c>
      <c r="L69" s="28">
        <v>41.3</v>
      </c>
      <c r="M69" s="16">
        <f t="shared" si="57"/>
        <v>3.5634167385677304E-2</v>
      </c>
      <c r="N69" s="28">
        <v>0.97099999999999997</v>
      </c>
      <c r="O69" s="23">
        <v>580</v>
      </c>
      <c r="P69" s="17">
        <v>34.700000000000003</v>
      </c>
      <c r="Q69" s="16">
        <f t="shared" si="58"/>
        <v>2.9939603106125975E-2</v>
      </c>
      <c r="R69" s="28">
        <v>0.97499999999999998</v>
      </c>
      <c r="S69" s="116">
        <v>505</v>
      </c>
      <c r="T69" s="28">
        <v>35.4</v>
      </c>
      <c r="U69" s="16">
        <f t="shared" si="59"/>
        <v>3.0543572044866261E-2</v>
      </c>
      <c r="V69" s="28">
        <v>0.97199999999999998</v>
      </c>
      <c r="Z69" s="1">
        <v>7</v>
      </c>
      <c r="AA69" s="23">
        <v>830</v>
      </c>
      <c r="AB69" s="17">
        <v>301.10000000000002</v>
      </c>
      <c r="AC69" s="16">
        <f t="shared" si="60"/>
        <v>0.25979292493528905</v>
      </c>
      <c r="AD69" s="28">
        <v>-0.32300000000000001</v>
      </c>
      <c r="AE69" s="17">
        <v>740</v>
      </c>
      <c r="AF69" s="17">
        <v>67.3</v>
      </c>
      <c r="AG69" s="16">
        <f t="shared" si="61"/>
        <v>5.8067299396031058E-2</v>
      </c>
      <c r="AH69" s="28">
        <v>0.93500000000000005</v>
      </c>
      <c r="AI69" s="23">
        <v>655</v>
      </c>
      <c r="AJ69" s="28">
        <v>49.8</v>
      </c>
      <c r="AK69" s="16">
        <f t="shared" si="62"/>
        <v>4.2968075927523726E-2</v>
      </c>
      <c r="AL69" s="28">
        <v>0.96099999999999997</v>
      </c>
      <c r="AM69" s="23">
        <v>580</v>
      </c>
      <c r="AN69" s="28">
        <v>42.5</v>
      </c>
      <c r="AO69" s="16">
        <f t="shared" si="63"/>
        <v>3.6669542709232096E-2</v>
      </c>
      <c r="AP69" s="28">
        <v>0.96899999999999997</v>
      </c>
      <c r="AQ69" s="116">
        <v>505</v>
      </c>
      <c r="AR69" s="28">
        <v>42.6</v>
      </c>
      <c r="AS69" s="16">
        <f t="shared" si="64"/>
        <v>3.6755823986194994E-2</v>
      </c>
      <c r="AT69" s="28">
        <v>0.96699999999999997</v>
      </c>
    </row>
    <row r="70" spans="2:46" ht="15.75" customHeight="1" x14ac:dyDescent="0.2">
      <c r="C70" s="23"/>
      <c r="D70" s="17"/>
      <c r="G70" s="17"/>
      <c r="H70" s="17"/>
      <c r="K70" s="23"/>
      <c r="O70" s="23"/>
      <c r="S70" s="116"/>
      <c r="AA70" s="23"/>
      <c r="AB70" s="17"/>
      <c r="AE70" s="17"/>
      <c r="AF70" s="17"/>
      <c r="AI70" s="23"/>
      <c r="AM70" s="23"/>
      <c r="AQ70" s="23"/>
    </row>
    <row r="71" spans="2:46" ht="15.75" customHeight="1" x14ac:dyDescent="0.2">
      <c r="B71" s="1" t="s">
        <v>11</v>
      </c>
      <c r="C71" s="23"/>
      <c r="D71" s="7">
        <f>SUMPRODUCT(C62:C69,D62:D69)/SUM(C62:C69)</f>
        <v>58.787790919496373</v>
      </c>
      <c r="E71" s="20">
        <f>SUMPRODUCT(C62:C69,E62:E69)/SUM(C62:C69)</f>
        <v>5.0722856703620686E-2</v>
      </c>
      <c r="F71" s="20">
        <f>SUMPRODUCT(C62:C69,F62:F69)/SUM(C62:C69)</f>
        <v>0.88576077832888223</v>
      </c>
      <c r="G71" s="17"/>
      <c r="H71" s="7">
        <f>SUMPRODUCT(G62:G69,H62:H69)/SUM(G62:G69)</f>
        <v>38.990515021459224</v>
      </c>
      <c r="I71" s="20">
        <f>SUMPRODUCT(G62:G69,I62:I69)/SUM(G62:G69)</f>
        <v>3.3641514254926001E-2</v>
      </c>
      <c r="J71" s="20">
        <f>SUMPRODUCT(G62:G69,J62:J69)/SUM(G62:G69)</f>
        <v>0.96475879828326183</v>
      </c>
      <c r="K71" s="23"/>
      <c r="L71" s="7">
        <f>SUMPRODUCT(K62:K69,L62:L69)/SUM(K62:K69)</f>
        <v>36.75335948994605</v>
      </c>
      <c r="M71" s="20">
        <f>SUMPRODUCT(K62:K69,M62:M69)/SUM(K62:K69)</f>
        <v>3.1711267894690295E-2</v>
      </c>
      <c r="N71" s="20">
        <f>SUMPRODUCT(K62:K69,N62:N69)/SUM(K62:K69)</f>
        <v>0.9676081412457086</v>
      </c>
      <c r="O71" s="23"/>
      <c r="P71" s="7">
        <f>SUMPRODUCT(O62:O69,P62:P69)/SUM(O62:O69)</f>
        <v>35.6283180778032</v>
      </c>
      <c r="Q71" s="20">
        <f>SUMPRODUCT(O62:O69,Q62:Q69)/SUM(O62:O69)</f>
        <v>3.0740567797932019E-2</v>
      </c>
      <c r="R71" s="20">
        <f>SUMPRODUCT(O62:O69,R62:R69)/SUM(O62:O69)</f>
        <v>0.96782894736842118</v>
      </c>
      <c r="S71" s="23"/>
      <c r="T71" s="7">
        <f>SUMPRODUCT(S62:S69,T62:T69)/SUM(S62:S69)</f>
        <v>35.85096153846154</v>
      </c>
      <c r="U71" s="20">
        <f>SUMPRODUCT(S62:S69,U62:U69)/SUM(S62:S69)</f>
        <v>3.0932667418862411E-2</v>
      </c>
      <c r="V71" s="20">
        <f>SUMPRODUCT(S62:S69,V62:V69)/SUM(S62:S69)</f>
        <v>0.9680782967032967</v>
      </c>
      <c r="Z71" s="1" t="s">
        <v>11</v>
      </c>
      <c r="AA71" s="23"/>
      <c r="AB71" s="7">
        <f>SUMPRODUCT(AA62:AA69,AB62:AB69)/SUM(AA62:AA69)</f>
        <v>69.010644792064099</v>
      </c>
      <c r="AC71" s="20">
        <f>SUMPRODUCT(AA62:AA69,AC62:AC69)/SUM(AA62:AA69)</f>
        <v>5.9543265566923298E-2</v>
      </c>
      <c r="AD71" s="20">
        <f>SUMPRODUCT(AA62:AA69,AD62:AD69)/SUM(AA62:AA69)</f>
        <v>0.8600003815337659</v>
      </c>
      <c r="AE71" s="17"/>
      <c r="AF71" s="7">
        <f>SUMPRODUCT(AE62:AE69,AF62:AF69)/SUM(AE62:AE69)</f>
        <v>47.013991416309011</v>
      </c>
      <c r="AG71" s="20">
        <f>SUMPRODUCT(AE62:AE69,AG62:AG69)/SUM(AE62:AE69)</f>
        <v>4.0564272145219168E-2</v>
      </c>
      <c r="AH71" s="20">
        <f>SUMPRODUCT(AE62:AE69,AH62:AH69)/SUM(AE62:AE69)</f>
        <v>0.95284334763948486</v>
      </c>
      <c r="AI71" s="23"/>
      <c r="AJ71" s="7">
        <f>SUMPRODUCT(AI62:AI69,AJ62:AJ69)/SUM(AI62:AI69)</f>
        <v>42.072780774889651</v>
      </c>
      <c r="AK71" s="20">
        <f>SUMPRODUCT(AI62:AI69,AK62:AK69)/SUM(AI62:AI69)</f>
        <v>3.630093250637588E-2</v>
      </c>
      <c r="AL71" s="20">
        <f>SUMPRODUCT(AI62:AI69,AL62:AL69)/SUM(AI62:AI69)</f>
        <v>0.95731093673369294</v>
      </c>
      <c r="AM71" s="23"/>
      <c r="AN71" s="7">
        <f>SUMPRODUCT(AM62:AM69,AN62:AN69)/SUM(AM62:AM69)</f>
        <v>40.466304347826089</v>
      </c>
      <c r="AO71" s="20">
        <f>SUMPRODUCT(AM62:AM69,AO62:AO69)/SUM(AM62:AM69)</f>
        <v>3.4914844130997484E-2</v>
      </c>
      <c r="AP71" s="20">
        <f>SUMPRODUCT(AM62:AM69,AP62:AP69)/SUM(AM62:AM69)</f>
        <v>0.96124542334096108</v>
      </c>
      <c r="AQ71" s="23"/>
      <c r="AR71" s="7">
        <f>SUMPRODUCT(AQ62:AQ69,AR62:AR69)/SUM(AQ62:AQ69)</f>
        <v>40.485645604395607</v>
      </c>
      <c r="AS71" s="20">
        <f>SUMPRODUCT(AQ62:AQ69,AS62:AS69)/SUM(AQ62:AQ69)</f>
        <v>3.4931532014146331E-2</v>
      </c>
      <c r="AT71" s="20">
        <f>SUMPRODUCT(AQ62:AQ69,AT62:AT69)/SUM(AQ62:AQ69)</f>
        <v>0.96309409340659335</v>
      </c>
    </row>
    <row r="72" spans="2:46" ht="15.75" customHeight="1" x14ac:dyDescent="0.2"/>
    <row r="73" spans="2:46" ht="15.75" customHeight="1" x14ac:dyDescent="0.2">
      <c r="C73" s="1">
        <f>SUM(C62:C69)</f>
        <v>13105</v>
      </c>
      <c r="G73" s="1">
        <f>SUM(G62:G69)</f>
        <v>11650</v>
      </c>
      <c r="K73" s="1">
        <f>SUM(K62:K69)</f>
        <v>10195</v>
      </c>
      <c r="O73" s="1">
        <f>SUM(O62:O69)</f>
        <v>8740</v>
      </c>
      <c r="S73" s="1">
        <f>SUM(S62:S69)</f>
        <v>7280</v>
      </c>
    </row>
    <row r="74" spans="2:46" ht="15.75" customHeight="1" x14ac:dyDescent="0.2">
      <c r="C74" s="1"/>
      <c r="G74" s="1"/>
      <c r="K74" s="1"/>
      <c r="O74" s="1"/>
      <c r="S74" s="1"/>
    </row>
    <row r="75" spans="2:46" ht="15.75" customHeight="1" x14ac:dyDescent="0.2">
      <c r="C75" s="1"/>
      <c r="G75" s="1"/>
      <c r="K75" s="1"/>
      <c r="O75" s="1"/>
      <c r="S75" s="1"/>
    </row>
    <row r="76" spans="2:46" ht="15.75" customHeight="1" x14ac:dyDescent="0.2"/>
    <row r="77" spans="2:46" ht="15.75" customHeight="1" x14ac:dyDescent="0.2"/>
    <row r="78" spans="2:46" ht="15.75" customHeight="1" x14ac:dyDescent="0.2"/>
    <row r="79" spans="2:46" ht="15.75" customHeight="1" x14ac:dyDescent="0.2"/>
    <row r="80" spans="2:4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</sheetData>
  <mergeCells count="40">
    <mergeCell ref="T7:V7"/>
    <mergeCell ref="AN28:AP28"/>
    <mergeCell ref="AR28:AT28"/>
    <mergeCell ref="D28:F28"/>
    <mergeCell ref="H28:J28"/>
    <mergeCell ref="T28:V28"/>
    <mergeCell ref="L28:N28"/>
    <mergeCell ref="P28:R28"/>
    <mergeCell ref="AJ7:AL7"/>
    <mergeCell ref="AN7:AP7"/>
    <mergeCell ref="AR7:AT7"/>
    <mergeCell ref="AB60:AD60"/>
    <mergeCell ref="AF60:AH60"/>
    <mergeCell ref="AJ60:AL60"/>
    <mergeCell ref="AN60:AP60"/>
    <mergeCell ref="AR60:AT60"/>
    <mergeCell ref="AB44:AD44"/>
    <mergeCell ref="AF44:AH44"/>
    <mergeCell ref="AJ44:AL44"/>
    <mergeCell ref="AN44:AP44"/>
    <mergeCell ref="AR44:AT44"/>
    <mergeCell ref="AB28:AD28"/>
    <mergeCell ref="AF28:AH28"/>
    <mergeCell ref="AJ28:AL28"/>
    <mergeCell ref="AB7:AD7"/>
    <mergeCell ref="AF7:AH7"/>
    <mergeCell ref="D60:F60"/>
    <mergeCell ref="H60:J60"/>
    <mergeCell ref="L60:N60"/>
    <mergeCell ref="P60:R60"/>
    <mergeCell ref="T60:V60"/>
    <mergeCell ref="D44:F44"/>
    <mergeCell ref="H44:J44"/>
    <mergeCell ref="L44:N44"/>
    <mergeCell ref="P44:R44"/>
    <mergeCell ref="T44:V44"/>
    <mergeCell ref="D7:F7"/>
    <mergeCell ref="H7:J7"/>
    <mergeCell ref="L7:N7"/>
    <mergeCell ref="P7:R7"/>
  </mergeCells>
  <pageMargins left="0.7" right="0.7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AT876"/>
  <sheetViews>
    <sheetView zoomScale="60" zoomScaleNormal="60" workbookViewId="0">
      <selection activeCell="J5" sqref="J5"/>
    </sheetView>
  </sheetViews>
  <sheetFormatPr baseColWidth="10" defaultColWidth="14.5" defaultRowHeight="15" customHeight="1" x14ac:dyDescent="0.2"/>
  <cols>
    <col min="1" max="1" width="10.6640625" customWidth="1"/>
    <col min="2" max="2" width="12.5" customWidth="1"/>
    <col min="3" max="3" width="12.6640625" bestFit="1" customWidth="1"/>
    <col min="4" max="4" width="10.6640625" customWidth="1"/>
    <col min="5" max="5" width="12.83203125" bestFit="1" customWidth="1"/>
    <col min="6" max="6" width="11.5" bestFit="1" customWidth="1"/>
    <col min="7" max="7" width="12.6640625" bestFit="1" customWidth="1"/>
    <col min="8" max="8" width="10.6640625" customWidth="1"/>
    <col min="9" max="9" width="12.83203125" bestFit="1" customWidth="1"/>
    <col min="10" max="10" width="11.5" bestFit="1" customWidth="1"/>
    <col min="11" max="11" width="12.6640625" bestFit="1" customWidth="1"/>
    <col min="12" max="12" width="10.6640625" customWidth="1"/>
    <col min="13" max="13" width="12.83203125" bestFit="1" customWidth="1"/>
    <col min="14" max="14" width="11.5" bestFit="1" customWidth="1"/>
    <col min="15" max="15" width="12.6640625" bestFit="1" customWidth="1"/>
    <col min="16" max="16" width="10.6640625" customWidth="1"/>
    <col min="17" max="17" width="12.83203125" bestFit="1" customWidth="1"/>
    <col min="18" max="19" width="12.6640625" bestFit="1" customWidth="1"/>
    <col min="20" max="20" width="10.6640625" customWidth="1"/>
    <col min="21" max="21" width="12.83203125" bestFit="1" customWidth="1"/>
    <col min="22" max="22" width="11.5" bestFit="1" customWidth="1"/>
    <col min="23" max="23" width="10.6640625" customWidth="1"/>
    <col min="24" max="24" width="10.6640625" style="91" customWidth="1"/>
    <col min="25" max="25" width="10.6640625" style="27" customWidth="1"/>
    <col min="26" max="26" width="10.6640625" customWidth="1"/>
  </cols>
  <sheetData>
    <row r="2" spans="1:46" ht="15" customHeight="1" x14ac:dyDescent="0.2">
      <c r="B2" t="s">
        <v>30</v>
      </c>
      <c r="Y2"/>
      <c r="Z2" t="s">
        <v>29</v>
      </c>
    </row>
    <row r="3" spans="1:46" x14ac:dyDescent="0.2">
      <c r="B3" s="1"/>
      <c r="C3" s="1"/>
      <c r="D3" s="1"/>
      <c r="E3" s="1"/>
    </row>
    <row r="4" spans="1:46" x14ac:dyDescent="0.2">
      <c r="A4" s="1" t="s">
        <v>18</v>
      </c>
    </row>
    <row r="5" spans="1:46" x14ac:dyDescent="0.2">
      <c r="A5" s="1">
        <v>576</v>
      </c>
    </row>
    <row r="7" spans="1:46" ht="16" thickBot="1" x14ac:dyDescent="0.25">
      <c r="A7" s="1"/>
      <c r="D7" s="134">
        <v>0.1</v>
      </c>
      <c r="E7" s="133"/>
      <c r="F7" s="133"/>
      <c r="G7" s="2"/>
      <c r="H7" s="134">
        <v>0.2</v>
      </c>
      <c r="I7" s="133"/>
      <c r="J7" s="133"/>
      <c r="K7" s="2"/>
      <c r="L7" s="134">
        <v>0.3</v>
      </c>
      <c r="M7" s="133"/>
      <c r="N7" s="133"/>
      <c r="O7" s="2"/>
      <c r="P7" s="134">
        <v>0.4</v>
      </c>
      <c r="Q7" s="133"/>
      <c r="R7" s="133"/>
      <c r="S7" s="2"/>
      <c r="T7" s="134">
        <v>0.5</v>
      </c>
      <c r="U7" s="133"/>
      <c r="V7" s="133"/>
      <c r="W7" s="12"/>
      <c r="X7" s="92"/>
      <c r="Y7" s="28"/>
      <c r="AB7" s="134">
        <v>0.1</v>
      </c>
      <c r="AC7" s="133"/>
      <c r="AD7" s="133"/>
      <c r="AE7" s="2"/>
      <c r="AF7" s="134">
        <v>0.2</v>
      </c>
      <c r="AG7" s="133"/>
      <c r="AH7" s="133"/>
      <c r="AI7" s="2"/>
      <c r="AJ7" s="134">
        <v>0.3</v>
      </c>
      <c r="AK7" s="133"/>
      <c r="AL7" s="133"/>
      <c r="AM7" s="2"/>
      <c r="AN7" s="134">
        <v>0.4</v>
      </c>
      <c r="AO7" s="133"/>
      <c r="AP7" s="133"/>
      <c r="AQ7" s="2"/>
      <c r="AR7" s="134">
        <v>0.5</v>
      </c>
      <c r="AS7" s="133"/>
      <c r="AT7" s="133"/>
    </row>
    <row r="8" spans="1:46" ht="16" thickBot="1" x14ac:dyDescent="0.25">
      <c r="B8" s="58" t="s">
        <v>8</v>
      </c>
      <c r="C8" s="43" t="s">
        <v>22</v>
      </c>
      <c r="D8" s="44" t="s">
        <v>7</v>
      </c>
      <c r="E8" s="36" t="s">
        <v>9</v>
      </c>
      <c r="F8" s="45" t="s">
        <v>10</v>
      </c>
      <c r="G8" s="43" t="s">
        <v>22</v>
      </c>
      <c r="H8" s="44" t="s">
        <v>7</v>
      </c>
      <c r="I8" s="36" t="s">
        <v>9</v>
      </c>
      <c r="J8" s="45" t="s">
        <v>10</v>
      </c>
      <c r="K8" s="43" t="s">
        <v>22</v>
      </c>
      <c r="L8" s="36" t="s">
        <v>7</v>
      </c>
      <c r="M8" s="36" t="s">
        <v>9</v>
      </c>
      <c r="N8" s="45" t="s">
        <v>10</v>
      </c>
      <c r="O8" s="43" t="s">
        <v>22</v>
      </c>
      <c r="P8" s="36" t="s">
        <v>7</v>
      </c>
      <c r="Q8" s="36" t="s">
        <v>9</v>
      </c>
      <c r="R8" s="45" t="s">
        <v>10</v>
      </c>
      <c r="S8" s="43" t="s">
        <v>22</v>
      </c>
      <c r="T8" s="36" t="s">
        <v>7</v>
      </c>
      <c r="U8" s="36" t="s">
        <v>9</v>
      </c>
      <c r="V8" s="45" t="s">
        <v>10</v>
      </c>
      <c r="Z8" s="58" t="s">
        <v>8</v>
      </c>
      <c r="AA8" s="43" t="s">
        <v>22</v>
      </c>
      <c r="AB8" s="44" t="s">
        <v>7</v>
      </c>
      <c r="AC8" s="36" t="s">
        <v>9</v>
      </c>
      <c r="AD8" s="45" t="s">
        <v>10</v>
      </c>
      <c r="AE8" s="43" t="s">
        <v>22</v>
      </c>
      <c r="AF8" s="44" t="s">
        <v>7</v>
      </c>
      <c r="AG8" s="36" t="s">
        <v>9</v>
      </c>
      <c r="AH8" s="45" t="s">
        <v>10</v>
      </c>
      <c r="AI8" s="43" t="s">
        <v>22</v>
      </c>
      <c r="AJ8" s="36" t="s">
        <v>7</v>
      </c>
      <c r="AK8" s="36" t="s">
        <v>9</v>
      </c>
      <c r="AL8" s="45" t="s">
        <v>10</v>
      </c>
      <c r="AM8" s="43" t="s">
        <v>22</v>
      </c>
      <c r="AN8" s="36" t="s">
        <v>7</v>
      </c>
      <c r="AO8" s="36" t="s">
        <v>9</v>
      </c>
      <c r="AP8" s="45" t="s">
        <v>10</v>
      </c>
      <c r="AQ8" s="43" t="s">
        <v>22</v>
      </c>
      <c r="AR8" s="36" t="s">
        <v>7</v>
      </c>
      <c r="AS8" s="36" t="s">
        <v>9</v>
      </c>
      <c r="AT8" s="45" t="s">
        <v>10</v>
      </c>
    </row>
    <row r="9" spans="1:46" x14ac:dyDescent="0.2">
      <c r="B9" s="52">
        <v>0</v>
      </c>
      <c r="C9" s="46">
        <f t="shared" ref="C9:V9" si="0">AVERAGE(C30,C46,C62)</f>
        <v>2071.6666666666665</v>
      </c>
      <c r="D9" s="41">
        <f t="shared" si="0"/>
        <v>24.466666666666669</v>
      </c>
      <c r="E9" s="42">
        <f t="shared" si="0"/>
        <v>4.2476851851851849E-2</v>
      </c>
      <c r="F9" s="47">
        <f t="shared" si="0"/>
        <v>0.96366666666666667</v>
      </c>
      <c r="G9" s="46">
        <f t="shared" si="0"/>
        <v>1835</v>
      </c>
      <c r="H9" s="41">
        <f t="shared" si="0"/>
        <v>22.599999999999998</v>
      </c>
      <c r="I9" s="42">
        <f t="shared" si="0"/>
        <v>3.923611111111111E-2</v>
      </c>
      <c r="J9" s="47">
        <f t="shared" si="0"/>
        <v>0.96899999999999997</v>
      </c>
      <c r="K9" s="46">
        <f t="shared" si="0"/>
        <v>1621.6666666666667</v>
      </c>
      <c r="L9" s="41">
        <f t="shared" si="0"/>
        <v>20.7</v>
      </c>
      <c r="M9" s="42">
        <f t="shared" si="0"/>
        <v>3.5937499999999997E-2</v>
      </c>
      <c r="N9" s="47">
        <f t="shared" si="0"/>
        <v>0.97099999999999997</v>
      </c>
      <c r="O9" s="46">
        <f t="shared" si="0"/>
        <v>1383.3333333333333</v>
      </c>
      <c r="P9" s="41">
        <f t="shared" si="0"/>
        <v>20.933333333333334</v>
      </c>
      <c r="Q9" s="42">
        <f t="shared" si="0"/>
        <v>3.6342592592592593E-2</v>
      </c>
      <c r="R9" s="47">
        <f t="shared" si="0"/>
        <v>0.97033333333333338</v>
      </c>
      <c r="S9" s="46">
        <f t="shared" si="0"/>
        <v>1166.6666666666667</v>
      </c>
      <c r="T9" s="41">
        <f t="shared" si="0"/>
        <v>21.866666666666664</v>
      </c>
      <c r="U9" s="42">
        <f t="shared" si="0"/>
        <v>3.7962962962962969E-2</v>
      </c>
      <c r="V9" s="47">
        <f t="shared" si="0"/>
        <v>0.96766666666666656</v>
      </c>
      <c r="Z9" s="52">
        <v>0</v>
      </c>
      <c r="AA9" s="46">
        <f t="shared" ref="AA9:AS9" si="1">AVERAGE(AA30,AA46,AA62)</f>
        <v>2071.6666666666665</v>
      </c>
      <c r="AB9" s="41">
        <f t="shared" si="1"/>
        <v>28.233333333333331</v>
      </c>
      <c r="AC9" s="42">
        <f>AVERAGE(AC30,AC46,AC62)</f>
        <v>4.9016203703703708E-2</v>
      </c>
      <c r="AD9" s="117">
        <f>AVERAGE(AD30,AD46,AD62)</f>
        <v>0.95566666666666666</v>
      </c>
      <c r="AE9" s="46">
        <f t="shared" si="1"/>
        <v>1835</v>
      </c>
      <c r="AF9" s="41">
        <f t="shared" si="1"/>
        <v>25.466666666666669</v>
      </c>
      <c r="AG9" s="42">
        <f t="shared" si="1"/>
        <v>4.4212962962962961E-2</v>
      </c>
      <c r="AH9" s="117">
        <f>AVERAGE(AH30,AH46,AH62)</f>
        <v>0.96333333333333326</v>
      </c>
      <c r="AI9" s="46">
        <f t="shared" si="1"/>
        <v>1621.6666666666667</v>
      </c>
      <c r="AJ9" s="41">
        <f t="shared" si="1"/>
        <v>23.400000000000002</v>
      </c>
      <c r="AK9" s="42">
        <f t="shared" si="1"/>
        <v>4.0625000000000001E-2</v>
      </c>
      <c r="AL9" s="117">
        <f>AVERAGE(AL30,AL46,AL62)</f>
        <v>0.96666666666666667</v>
      </c>
      <c r="AM9" s="46">
        <f t="shared" si="1"/>
        <v>1383.3333333333333</v>
      </c>
      <c r="AN9" s="41">
        <f t="shared" si="1"/>
        <v>23.266666666666666</v>
      </c>
      <c r="AO9" s="42">
        <f t="shared" si="1"/>
        <v>4.0393518518518516E-2</v>
      </c>
      <c r="AP9" s="117">
        <f>AVERAGE(AP30,AP46,AP62)</f>
        <v>0.96633333333333338</v>
      </c>
      <c r="AQ9" s="46">
        <f t="shared" si="1"/>
        <v>1166.6666666666667</v>
      </c>
      <c r="AR9" s="41">
        <f t="shared" si="1"/>
        <v>24.3</v>
      </c>
      <c r="AS9" s="42">
        <f t="shared" si="1"/>
        <v>4.2187499999999996E-2</v>
      </c>
      <c r="AT9" s="117">
        <f>AVERAGE(AT30,AT46,AT62)</f>
        <v>0.96299999999999997</v>
      </c>
    </row>
    <row r="10" spans="1:46" x14ac:dyDescent="0.2">
      <c r="B10" s="52">
        <v>1</v>
      </c>
      <c r="C10" s="46">
        <f t="shared" ref="C10:V10" si="2">AVERAGE(C31,C47,C63)</f>
        <v>2480</v>
      </c>
      <c r="D10" s="41">
        <f t="shared" si="2"/>
        <v>21.7</v>
      </c>
      <c r="E10" s="42">
        <f t="shared" si="2"/>
        <v>3.7673611111111109E-2</v>
      </c>
      <c r="F10" s="47">
        <f t="shared" si="2"/>
        <v>0.96233333333333337</v>
      </c>
      <c r="G10" s="46">
        <f t="shared" si="2"/>
        <v>2196.6666666666665</v>
      </c>
      <c r="H10" s="41">
        <f t="shared" si="2"/>
        <v>20.333333333333332</v>
      </c>
      <c r="I10" s="42">
        <f t="shared" si="2"/>
        <v>3.5300925925925923E-2</v>
      </c>
      <c r="J10" s="47">
        <f t="shared" si="2"/>
        <v>0.96399999999999997</v>
      </c>
      <c r="K10" s="46">
        <f t="shared" si="2"/>
        <v>1918.3333333333333</v>
      </c>
      <c r="L10" s="41">
        <f t="shared" si="2"/>
        <v>20.5</v>
      </c>
      <c r="M10" s="42">
        <f t="shared" si="2"/>
        <v>3.5590277777777783E-2</v>
      </c>
      <c r="N10" s="47">
        <f t="shared" si="2"/>
        <v>0.96499999999999997</v>
      </c>
      <c r="O10" s="46">
        <f t="shared" si="2"/>
        <v>1636.6666666666667</v>
      </c>
      <c r="P10" s="41">
        <f t="shared" si="2"/>
        <v>20.7</v>
      </c>
      <c r="Q10" s="42">
        <f t="shared" si="2"/>
        <v>3.5937500000000004E-2</v>
      </c>
      <c r="R10" s="47">
        <f t="shared" si="2"/>
        <v>0.96433333333333326</v>
      </c>
      <c r="S10" s="46">
        <f t="shared" si="2"/>
        <v>1378.3333333333333</v>
      </c>
      <c r="T10" s="41">
        <f t="shared" si="2"/>
        <v>20.066666666666666</v>
      </c>
      <c r="U10" s="42">
        <f t="shared" si="2"/>
        <v>3.4837962962962966E-2</v>
      </c>
      <c r="V10" s="47">
        <f t="shared" si="2"/>
        <v>0.96466666666666667</v>
      </c>
      <c r="Z10" s="52">
        <v>1</v>
      </c>
      <c r="AA10" s="46">
        <f t="shared" ref="AA10:AS10" si="3">AVERAGE(AA31,AA47,AA63)</f>
        <v>2480</v>
      </c>
      <c r="AB10" s="41">
        <f>AVERAGE(AB31,AB47,AB63)</f>
        <v>26.2</v>
      </c>
      <c r="AC10" s="42">
        <f t="shared" si="3"/>
        <v>4.5486111111111116E-2</v>
      </c>
      <c r="AD10" s="64">
        <f t="shared" si="3"/>
        <v>0.95066666666666677</v>
      </c>
      <c r="AE10" s="46">
        <f t="shared" si="3"/>
        <v>2196.6666666666665</v>
      </c>
      <c r="AF10" s="41">
        <f t="shared" si="3"/>
        <v>22.833333333333332</v>
      </c>
      <c r="AG10" s="42">
        <f t="shared" si="3"/>
        <v>3.9641203703703699E-2</v>
      </c>
      <c r="AH10" s="64">
        <f t="shared" ref="AH10" si="4">AVERAGE(AH31,AH47,AH63)</f>
        <v>0.95799999999999985</v>
      </c>
      <c r="AI10" s="46">
        <f t="shared" si="3"/>
        <v>1918.3333333333333</v>
      </c>
      <c r="AJ10" s="41">
        <f t="shared" si="3"/>
        <v>21.933333333333334</v>
      </c>
      <c r="AK10" s="42">
        <f t="shared" si="3"/>
        <v>3.8078703703703705E-2</v>
      </c>
      <c r="AL10" s="64">
        <f t="shared" ref="AL10" si="5">AVERAGE(AL31,AL47,AL63)</f>
        <v>0.96166666666666656</v>
      </c>
      <c r="AM10" s="46">
        <f t="shared" si="3"/>
        <v>1636.6666666666667</v>
      </c>
      <c r="AN10" s="41">
        <f t="shared" si="3"/>
        <v>22.266666666666666</v>
      </c>
      <c r="AO10" s="42">
        <f t="shared" si="3"/>
        <v>3.8657407407407411E-2</v>
      </c>
      <c r="AP10" s="64">
        <f t="shared" ref="AP10" si="6">AVERAGE(AP31,AP47,AP63)</f>
        <v>0.96066666666666656</v>
      </c>
      <c r="AQ10" s="46">
        <f t="shared" si="3"/>
        <v>1378.3333333333333</v>
      </c>
      <c r="AR10" s="41">
        <f t="shared" si="3"/>
        <v>21.466666666666669</v>
      </c>
      <c r="AS10" s="42">
        <f t="shared" si="3"/>
        <v>3.726851851851852E-2</v>
      </c>
      <c r="AT10" s="64">
        <f t="shared" ref="AT10" si="7">AVERAGE(AT31,AT47,AT63)</f>
        <v>0.96233333333333337</v>
      </c>
    </row>
    <row r="11" spans="1:46" x14ac:dyDescent="0.2">
      <c r="B11" s="52">
        <v>2</v>
      </c>
      <c r="C11" s="46">
        <f t="shared" ref="C11:V11" si="8">AVERAGE(C32,C48,C64)</f>
        <v>1555</v>
      </c>
      <c r="D11" s="41">
        <f t="shared" si="8"/>
        <v>20.8</v>
      </c>
      <c r="E11" s="42">
        <f t="shared" si="8"/>
        <v>3.6111111111111115E-2</v>
      </c>
      <c r="F11" s="47">
        <f t="shared" si="8"/>
        <v>0.78833333333333344</v>
      </c>
      <c r="G11" s="46">
        <f t="shared" si="8"/>
        <v>1408.3333333333333</v>
      </c>
      <c r="H11" s="41">
        <f t="shared" si="8"/>
        <v>17.599999999999998</v>
      </c>
      <c r="I11" s="42">
        <f t="shared" si="8"/>
        <v>3.0555555555555555E-2</v>
      </c>
      <c r="J11" s="47">
        <f t="shared" si="8"/>
        <v>0.88166666666666671</v>
      </c>
      <c r="K11" s="46">
        <f t="shared" si="8"/>
        <v>1216.6666666666667</v>
      </c>
      <c r="L11" s="41">
        <f t="shared" si="8"/>
        <v>16.633333333333336</v>
      </c>
      <c r="M11" s="42">
        <f t="shared" si="8"/>
        <v>2.8877314814814814E-2</v>
      </c>
      <c r="N11" s="47">
        <f t="shared" si="8"/>
        <v>0.88800000000000001</v>
      </c>
      <c r="O11" s="46">
        <f t="shared" si="8"/>
        <v>1046.6666666666667</v>
      </c>
      <c r="P11" s="41">
        <f t="shared" si="8"/>
        <v>15.533333333333333</v>
      </c>
      <c r="Q11" s="42">
        <f t="shared" si="8"/>
        <v>2.6967592592592588E-2</v>
      </c>
      <c r="R11" s="47">
        <f t="shared" si="8"/>
        <v>0.90266666666666673</v>
      </c>
      <c r="S11" s="46">
        <f t="shared" si="8"/>
        <v>861.66666666666663</v>
      </c>
      <c r="T11" s="41">
        <f t="shared" si="8"/>
        <v>15.299999999999999</v>
      </c>
      <c r="U11" s="42">
        <f t="shared" si="8"/>
        <v>2.6562499999999999E-2</v>
      </c>
      <c r="V11" s="47">
        <f t="shared" si="8"/>
        <v>0.91033333333333333</v>
      </c>
      <c r="Z11" s="52">
        <v>2</v>
      </c>
      <c r="AA11" s="46">
        <f t="shared" ref="AA11:AS11" si="9">AVERAGE(AA32,AA48,AA64)</f>
        <v>1555</v>
      </c>
      <c r="AB11" s="41">
        <f t="shared" si="9"/>
        <v>24.733333333333331</v>
      </c>
      <c r="AC11" s="42">
        <f t="shared" si="9"/>
        <v>4.293981481481482E-2</v>
      </c>
      <c r="AD11" s="64">
        <f t="shared" si="9"/>
        <v>0.72866666666666668</v>
      </c>
      <c r="AE11" s="46">
        <f t="shared" si="9"/>
        <v>1408.3333333333333</v>
      </c>
      <c r="AF11" s="41">
        <f t="shared" si="9"/>
        <v>20.100000000000001</v>
      </c>
      <c r="AG11" s="42">
        <f t="shared" si="9"/>
        <v>3.4895833333333334E-2</v>
      </c>
      <c r="AH11" s="64">
        <f t="shared" ref="AH11" si="10">AVERAGE(AH32,AH48,AH64)</f>
        <v>0.86099999999999988</v>
      </c>
      <c r="AI11" s="46">
        <f t="shared" si="9"/>
        <v>1216.6666666666667</v>
      </c>
      <c r="AJ11" s="41">
        <f t="shared" si="9"/>
        <v>18.433333333333334</v>
      </c>
      <c r="AK11" s="42">
        <f t="shared" si="9"/>
        <v>3.200231481481481E-2</v>
      </c>
      <c r="AL11" s="64">
        <f t="shared" ref="AL11" si="11">AVERAGE(AL32,AL48,AL64)</f>
        <v>0.86866666666666659</v>
      </c>
      <c r="AM11" s="46">
        <f t="shared" si="9"/>
        <v>1046.6666666666667</v>
      </c>
      <c r="AN11" s="41">
        <f t="shared" si="9"/>
        <v>16.966666666666665</v>
      </c>
      <c r="AO11" s="42">
        <f t="shared" si="9"/>
        <v>2.9456018518518517E-2</v>
      </c>
      <c r="AP11" s="64">
        <f t="shared" ref="AP11" si="12">AVERAGE(AP32,AP48,AP64)</f>
        <v>0.89500000000000002</v>
      </c>
      <c r="AQ11" s="46">
        <f t="shared" si="9"/>
        <v>861.66666666666663</v>
      </c>
      <c r="AR11" s="41">
        <f t="shared" si="9"/>
        <v>16.633333333333336</v>
      </c>
      <c r="AS11" s="42">
        <f t="shared" si="9"/>
        <v>2.8877314814814814E-2</v>
      </c>
      <c r="AT11" s="64">
        <f t="shared" ref="AT11" si="13">AVERAGE(AT32,AT48,AT64)</f>
        <v>0.90233333333333332</v>
      </c>
    </row>
    <row r="12" spans="1:46" x14ac:dyDescent="0.2">
      <c r="B12" s="52">
        <v>3</v>
      </c>
      <c r="C12" s="46">
        <f t="shared" ref="C12:V12" si="14">AVERAGE(C33,C49,C65)</f>
        <v>1725</v>
      </c>
      <c r="D12" s="41">
        <f t="shared" si="14"/>
        <v>27.900000000000002</v>
      </c>
      <c r="E12" s="42">
        <f t="shared" si="14"/>
        <v>4.8437500000000001E-2</v>
      </c>
      <c r="F12" s="47">
        <f t="shared" si="14"/>
        <v>0.95699999999999996</v>
      </c>
      <c r="G12" s="46">
        <f t="shared" si="14"/>
        <v>1543.3333333333333</v>
      </c>
      <c r="H12" s="41">
        <f t="shared" si="14"/>
        <v>27</v>
      </c>
      <c r="I12" s="42">
        <f t="shared" si="14"/>
        <v>4.6875E-2</v>
      </c>
      <c r="J12" s="47">
        <f t="shared" si="14"/>
        <v>0.95833333333333337</v>
      </c>
      <c r="K12" s="46">
        <f t="shared" si="14"/>
        <v>1350</v>
      </c>
      <c r="L12" s="41">
        <f t="shared" si="14"/>
        <v>22.366666666666664</v>
      </c>
      <c r="M12" s="42">
        <f t="shared" si="14"/>
        <v>3.8831018518518522E-2</v>
      </c>
      <c r="N12" s="47">
        <f t="shared" si="14"/>
        <v>0.96833333333333327</v>
      </c>
      <c r="O12" s="46">
        <f t="shared" si="14"/>
        <v>1173.3333333333333</v>
      </c>
      <c r="P12" s="41">
        <f t="shared" si="14"/>
        <v>22.433333333333337</v>
      </c>
      <c r="Q12" s="42">
        <f t="shared" si="14"/>
        <v>3.8946759259259257E-2</v>
      </c>
      <c r="R12" s="47">
        <f t="shared" si="14"/>
        <v>0.96699999999999997</v>
      </c>
      <c r="S12" s="46">
        <f t="shared" si="14"/>
        <v>985</v>
      </c>
      <c r="T12" s="41">
        <f t="shared" si="14"/>
        <v>23</v>
      </c>
      <c r="U12" s="42">
        <f t="shared" si="14"/>
        <v>3.9930555555555552E-2</v>
      </c>
      <c r="V12" s="47">
        <f t="shared" si="14"/>
        <v>0.96499999999999997</v>
      </c>
      <c r="Z12" s="52">
        <v>3</v>
      </c>
      <c r="AA12" s="46">
        <f t="shared" ref="AA12:AS12" si="15">AVERAGE(AA33,AA49,AA65)</f>
        <v>1725</v>
      </c>
      <c r="AB12" s="41">
        <f t="shared" si="15"/>
        <v>33.06666666666667</v>
      </c>
      <c r="AC12" s="42">
        <f t="shared" si="15"/>
        <v>5.7407407407407407E-2</v>
      </c>
      <c r="AD12" s="64">
        <f t="shared" si="15"/>
        <v>0.94366666666666665</v>
      </c>
      <c r="AE12" s="46">
        <f t="shared" si="15"/>
        <v>1543.3333333333333</v>
      </c>
      <c r="AF12" s="41">
        <f t="shared" si="15"/>
        <v>30.766666666666669</v>
      </c>
      <c r="AG12" s="42">
        <f t="shared" si="15"/>
        <v>5.3414351851851859E-2</v>
      </c>
      <c r="AH12" s="64">
        <f t="shared" ref="AH12" si="16">AVERAGE(AH33,AH49,AH65)</f>
        <v>0.94933333333333325</v>
      </c>
      <c r="AI12" s="46">
        <f t="shared" si="15"/>
        <v>1350</v>
      </c>
      <c r="AJ12" s="41">
        <f t="shared" si="15"/>
        <v>25.8</v>
      </c>
      <c r="AK12" s="42">
        <f t="shared" si="15"/>
        <v>4.4791666666666667E-2</v>
      </c>
      <c r="AL12" s="64">
        <f t="shared" ref="AL12" si="17">AVERAGE(AL33,AL49,AL65)</f>
        <v>0.96333333333333337</v>
      </c>
      <c r="AM12" s="46">
        <f t="shared" si="15"/>
        <v>1173.3333333333333</v>
      </c>
      <c r="AN12" s="41">
        <f t="shared" si="15"/>
        <v>25.066666666666666</v>
      </c>
      <c r="AO12" s="42">
        <f t="shared" si="15"/>
        <v>4.3518518518518519E-2</v>
      </c>
      <c r="AP12" s="64">
        <f t="shared" ref="AP12" si="18">AVERAGE(AP33,AP49,AP65)</f>
        <v>0.96366666666666667</v>
      </c>
      <c r="AQ12" s="46">
        <f t="shared" si="15"/>
        <v>985</v>
      </c>
      <c r="AR12" s="41">
        <f t="shared" si="15"/>
        <v>25.8</v>
      </c>
      <c r="AS12" s="42">
        <f t="shared" si="15"/>
        <v>4.4791666666666667E-2</v>
      </c>
      <c r="AT12" s="64">
        <f t="shared" ref="AT12" si="19">AVERAGE(AT33,AT49,AT65)</f>
        <v>0.96033333333333326</v>
      </c>
    </row>
    <row r="13" spans="1:46" x14ac:dyDescent="0.2">
      <c r="B13" s="52">
        <v>4</v>
      </c>
      <c r="C13" s="46">
        <f t="shared" ref="C13:V13" si="20">AVERAGE(C34,C50,C66)</f>
        <v>1338.3333333333333</v>
      </c>
      <c r="D13" s="41">
        <f t="shared" si="20"/>
        <v>48.966666666666669</v>
      </c>
      <c r="E13" s="42">
        <f t="shared" si="20"/>
        <v>8.5011574074074073E-2</v>
      </c>
      <c r="F13" s="47">
        <f t="shared" si="20"/>
        <v>0.85566666666666669</v>
      </c>
      <c r="G13" s="46">
        <f t="shared" si="20"/>
        <v>1165</v>
      </c>
      <c r="H13" s="41">
        <f t="shared" si="20"/>
        <v>24.400000000000002</v>
      </c>
      <c r="I13" s="42">
        <f t="shared" si="20"/>
        <v>4.2361111111111106E-2</v>
      </c>
      <c r="J13" s="47">
        <f t="shared" si="20"/>
        <v>0.96600000000000008</v>
      </c>
      <c r="K13" s="46">
        <f t="shared" si="20"/>
        <v>1008.3333333333334</v>
      </c>
      <c r="L13" s="41">
        <f t="shared" si="20"/>
        <v>23.266666666666666</v>
      </c>
      <c r="M13" s="42">
        <f t="shared" si="20"/>
        <v>4.0393518518518523E-2</v>
      </c>
      <c r="N13" s="47">
        <f t="shared" si="20"/>
        <v>0.96566666666666656</v>
      </c>
      <c r="O13" s="46">
        <f t="shared" si="20"/>
        <v>850</v>
      </c>
      <c r="P13" s="41">
        <f t="shared" si="20"/>
        <v>22.8</v>
      </c>
      <c r="Q13" s="42">
        <f t="shared" si="20"/>
        <v>3.9583333333333331E-2</v>
      </c>
      <c r="R13" s="47">
        <f t="shared" si="20"/>
        <v>0.96799999999999997</v>
      </c>
      <c r="S13" s="46">
        <f t="shared" si="20"/>
        <v>705</v>
      </c>
      <c r="T13" s="41">
        <f t="shared" si="20"/>
        <v>22.7</v>
      </c>
      <c r="U13" s="42">
        <f t="shared" si="20"/>
        <v>3.9409722222222221E-2</v>
      </c>
      <c r="V13" s="47">
        <f t="shared" si="20"/>
        <v>0.96833333333333338</v>
      </c>
      <c r="Z13" s="52">
        <v>4</v>
      </c>
      <c r="AA13" s="46">
        <f t="shared" ref="AA13:AS13" si="21">AVERAGE(AA34,AA50,AA66)</f>
        <v>1338.3333333333333</v>
      </c>
      <c r="AB13" s="41">
        <f t="shared" si="21"/>
        <v>53.433333333333337</v>
      </c>
      <c r="AC13" s="42">
        <f t="shared" si="21"/>
        <v>9.2766203703703698E-2</v>
      </c>
      <c r="AD13" s="64">
        <f t="shared" si="21"/>
        <v>0.84866666666666679</v>
      </c>
      <c r="AE13" s="46">
        <f t="shared" si="21"/>
        <v>1165</v>
      </c>
      <c r="AF13" s="41">
        <f t="shared" si="21"/>
        <v>29.666666666666668</v>
      </c>
      <c r="AG13" s="42">
        <f t="shared" si="21"/>
        <v>5.1504629629629629E-2</v>
      </c>
      <c r="AH13" s="64">
        <f t="shared" ref="AH13" si="22">AVERAGE(AH34,AH50,AH66)</f>
        <v>0.95400000000000007</v>
      </c>
      <c r="AI13" s="46">
        <f t="shared" si="21"/>
        <v>1008.3333333333334</v>
      </c>
      <c r="AJ13" s="41">
        <f t="shared" si="21"/>
        <v>26.233333333333334</v>
      </c>
      <c r="AK13" s="42">
        <f t="shared" si="21"/>
        <v>4.5543981481481484E-2</v>
      </c>
      <c r="AL13" s="64">
        <f t="shared" ref="AL13" si="23">AVERAGE(AL34,AL50,AL66)</f>
        <v>0.95966666666666667</v>
      </c>
      <c r="AM13" s="46">
        <f t="shared" si="21"/>
        <v>850</v>
      </c>
      <c r="AN13" s="41">
        <f t="shared" si="21"/>
        <v>25.466666666666669</v>
      </c>
      <c r="AO13" s="42">
        <f t="shared" si="21"/>
        <v>4.4212962962962975E-2</v>
      </c>
      <c r="AP13" s="64">
        <f t="shared" ref="AP13" si="24">AVERAGE(AP34,AP50,AP66)</f>
        <v>0.96233333333333337</v>
      </c>
      <c r="AQ13" s="46">
        <f t="shared" si="21"/>
        <v>705</v>
      </c>
      <c r="AR13" s="41">
        <f t="shared" si="21"/>
        <v>25.066666666666666</v>
      </c>
      <c r="AS13" s="42">
        <f t="shared" si="21"/>
        <v>4.3518518518518512E-2</v>
      </c>
      <c r="AT13" s="64">
        <f t="shared" ref="AT13" si="25">AVERAGE(AT34,AT50,AT66)</f>
        <v>0.96299999999999997</v>
      </c>
    </row>
    <row r="14" spans="1:46" x14ac:dyDescent="0.2">
      <c r="B14" s="52">
        <v>5</v>
      </c>
      <c r="C14" s="46">
        <f t="shared" ref="C14:V14" si="26">AVERAGE(C35,C51,C67)</f>
        <v>1238.3333333333333</v>
      </c>
      <c r="D14" s="41">
        <f t="shared" si="26"/>
        <v>30</v>
      </c>
      <c r="E14" s="42">
        <f t="shared" si="26"/>
        <v>5.2083333333333336E-2</v>
      </c>
      <c r="F14" s="47">
        <f t="shared" si="26"/>
        <v>0.90133333333333321</v>
      </c>
      <c r="G14" s="46">
        <f t="shared" si="26"/>
        <v>1105</v>
      </c>
      <c r="H14" s="41">
        <f t="shared" si="26"/>
        <v>26</v>
      </c>
      <c r="I14" s="42">
        <f t="shared" si="26"/>
        <v>4.5138888888888888E-2</v>
      </c>
      <c r="J14" s="47">
        <f t="shared" si="26"/>
        <v>0.91933333333333334</v>
      </c>
      <c r="K14" s="46">
        <f t="shared" si="26"/>
        <v>948.33333333333337</v>
      </c>
      <c r="L14" s="41">
        <f t="shared" si="26"/>
        <v>24.033333333333331</v>
      </c>
      <c r="M14" s="42">
        <f t="shared" si="26"/>
        <v>4.1724537037037039E-2</v>
      </c>
      <c r="N14" s="47">
        <f t="shared" si="26"/>
        <v>0.92866666666666664</v>
      </c>
      <c r="O14" s="46">
        <f t="shared" si="26"/>
        <v>818.33333333333337</v>
      </c>
      <c r="P14" s="41">
        <f t="shared" si="26"/>
        <v>22.533333333333331</v>
      </c>
      <c r="Q14" s="42">
        <f t="shared" si="26"/>
        <v>3.9120370370370375E-2</v>
      </c>
      <c r="R14" s="47">
        <f t="shared" si="26"/>
        <v>0.94733333333333336</v>
      </c>
      <c r="S14" s="46">
        <f t="shared" si="26"/>
        <v>683.33333333333337</v>
      </c>
      <c r="T14" s="41">
        <f t="shared" si="26"/>
        <v>22.366666666666664</v>
      </c>
      <c r="U14" s="42">
        <f t="shared" si="26"/>
        <v>3.8831018518518522E-2</v>
      </c>
      <c r="V14" s="47">
        <f t="shared" si="26"/>
        <v>0.95066666666666677</v>
      </c>
      <c r="Z14" s="52">
        <v>5</v>
      </c>
      <c r="AA14" s="46">
        <f t="shared" ref="AA14:AS14" si="27">AVERAGE(AA35,AA51,AA67)</f>
        <v>1238.3333333333333</v>
      </c>
      <c r="AB14" s="41">
        <f t="shared" si="27"/>
        <v>33.299999999999997</v>
      </c>
      <c r="AC14" s="42">
        <f t="shared" si="27"/>
        <v>5.7812499999999996E-2</v>
      </c>
      <c r="AD14" s="64">
        <f t="shared" si="27"/>
        <v>0.89133333333333331</v>
      </c>
      <c r="AE14" s="46">
        <f t="shared" si="27"/>
        <v>1105</v>
      </c>
      <c r="AF14" s="41">
        <f t="shared" si="27"/>
        <v>27.933333333333334</v>
      </c>
      <c r="AG14" s="42">
        <f t="shared" si="27"/>
        <v>4.8495370370370362E-2</v>
      </c>
      <c r="AH14" s="64">
        <f t="shared" ref="AH14" si="28">AVERAGE(AH35,AH51,AH67)</f>
        <v>0.92133333333333323</v>
      </c>
      <c r="AI14" s="46">
        <f t="shared" si="27"/>
        <v>948.33333333333337</v>
      </c>
      <c r="AJ14" s="41">
        <f t="shared" si="27"/>
        <v>24.933333333333334</v>
      </c>
      <c r="AK14" s="42">
        <f t="shared" si="27"/>
        <v>4.3287037037037041E-2</v>
      </c>
      <c r="AL14" s="64">
        <f t="shared" ref="AL14" si="29">AVERAGE(AL35,AL51,AL67)</f>
        <v>0.93933333333333335</v>
      </c>
      <c r="AM14" s="46">
        <f t="shared" si="27"/>
        <v>818.33333333333337</v>
      </c>
      <c r="AN14" s="41">
        <f t="shared" si="27"/>
        <v>25.266666666666666</v>
      </c>
      <c r="AO14" s="42">
        <f t="shared" si="27"/>
        <v>4.386574074074074E-2</v>
      </c>
      <c r="AP14" s="64">
        <f t="shared" ref="AP14" si="30">AVERAGE(AP35,AP51,AP67)</f>
        <v>0.94133333333333324</v>
      </c>
      <c r="AQ14" s="46">
        <f t="shared" si="27"/>
        <v>683.33333333333337</v>
      </c>
      <c r="AR14" s="41">
        <f t="shared" si="27"/>
        <v>24.566666666666666</v>
      </c>
      <c r="AS14" s="42">
        <f t="shared" si="27"/>
        <v>4.2650462962962959E-2</v>
      </c>
      <c r="AT14" s="64">
        <f t="shared" ref="AT14" si="31">AVERAGE(AT35,AT51,AT67)</f>
        <v>0.94566666666666654</v>
      </c>
    </row>
    <row r="15" spans="1:46" x14ac:dyDescent="0.2">
      <c r="B15" s="52">
        <v>6</v>
      </c>
      <c r="C15" s="46">
        <f t="shared" ref="C15:V15" si="32">AVERAGE(C36,C52,C68)</f>
        <v>1436.6666666666667</v>
      </c>
      <c r="D15" s="41">
        <f t="shared" si="32"/>
        <v>30.933333333333334</v>
      </c>
      <c r="E15" s="42">
        <f t="shared" si="32"/>
        <v>5.3703703703703698E-2</v>
      </c>
      <c r="F15" s="47">
        <f t="shared" si="32"/>
        <v>0.94199999999999984</v>
      </c>
      <c r="G15" s="46">
        <f t="shared" si="32"/>
        <v>1278.3333333333333</v>
      </c>
      <c r="H15" s="41">
        <f t="shared" si="32"/>
        <v>22.8</v>
      </c>
      <c r="I15" s="42">
        <f t="shared" si="32"/>
        <v>3.9583333333333331E-2</v>
      </c>
      <c r="J15" s="47">
        <f t="shared" si="32"/>
        <v>0.96466666666666667</v>
      </c>
      <c r="K15" s="46">
        <f t="shared" si="32"/>
        <v>1135</v>
      </c>
      <c r="L15" s="41">
        <f t="shared" si="32"/>
        <v>21.833333333333332</v>
      </c>
      <c r="M15" s="42">
        <f t="shared" si="32"/>
        <v>3.7905092592592594E-2</v>
      </c>
      <c r="N15" s="47">
        <f t="shared" si="32"/>
        <v>0.96866666666666656</v>
      </c>
      <c r="O15" s="46">
        <f t="shared" si="32"/>
        <v>976.66666666666663</v>
      </c>
      <c r="P15" s="41">
        <f t="shared" si="32"/>
        <v>20.466666666666665</v>
      </c>
      <c r="Q15" s="42">
        <f t="shared" si="32"/>
        <v>3.5532407407407408E-2</v>
      </c>
      <c r="R15" s="47">
        <f t="shared" si="32"/>
        <v>0.97000000000000008</v>
      </c>
      <c r="S15" s="46">
        <f t="shared" si="32"/>
        <v>798.33333333333337</v>
      </c>
      <c r="T15" s="41">
        <f t="shared" si="32"/>
        <v>20.3</v>
      </c>
      <c r="U15" s="42">
        <f t="shared" si="32"/>
        <v>3.5243055555555555E-2</v>
      </c>
      <c r="V15" s="47">
        <f t="shared" si="32"/>
        <v>0.97066666666666668</v>
      </c>
      <c r="Z15" s="52">
        <v>6</v>
      </c>
      <c r="AA15" s="46">
        <f t="shared" ref="AA15:AS15" si="33">AVERAGE(AA36,AA52,AA68)</f>
        <v>1436.6666666666667</v>
      </c>
      <c r="AB15" s="41">
        <f t="shared" si="33"/>
        <v>37.300000000000004</v>
      </c>
      <c r="AC15" s="42">
        <f t="shared" si="33"/>
        <v>6.475694444444445E-2</v>
      </c>
      <c r="AD15" s="64">
        <f t="shared" si="33"/>
        <v>0.91600000000000004</v>
      </c>
      <c r="AE15" s="46">
        <f t="shared" si="33"/>
        <v>1278.3333333333333</v>
      </c>
      <c r="AF15" s="41">
        <f t="shared" si="33"/>
        <v>27.633333333333336</v>
      </c>
      <c r="AG15" s="42">
        <f t="shared" si="33"/>
        <v>4.7974537037037031E-2</v>
      </c>
      <c r="AH15" s="64">
        <f t="shared" ref="AH15" si="34">AVERAGE(AH36,AH52,AH68)</f>
        <v>0.95166666666666666</v>
      </c>
      <c r="AI15" s="46">
        <f t="shared" si="33"/>
        <v>1135</v>
      </c>
      <c r="AJ15" s="41">
        <f t="shared" si="33"/>
        <v>25.266666666666666</v>
      </c>
      <c r="AK15" s="42">
        <f t="shared" si="33"/>
        <v>4.3865740740740733E-2</v>
      </c>
      <c r="AL15" s="64">
        <f t="shared" ref="AL15" si="35">AVERAGE(AL36,AL52,AL68)</f>
        <v>0.96099999999999997</v>
      </c>
      <c r="AM15" s="46">
        <f t="shared" si="33"/>
        <v>976.66666666666663</v>
      </c>
      <c r="AN15" s="41">
        <f t="shared" si="33"/>
        <v>22.933333333333334</v>
      </c>
      <c r="AO15" s="42">
        <f t="shared" si="33"/>
        <v>3.9814814814814824E-2</v>
      </c>
      <c r="AP15" s="64">
        <f t="shared" ref="AP15" si="36">AVERAGE(AP36,AP52,AP68)</f>
        <v>0.96566666666666656</v>
      </c>
      <c r="AQ15" s="46">
        <f t="shared" si="33"/>
        <v>798.33333333333337</v>
      </c>
      <c r="AR15" s="41">
        <f t="shared" si="33"/>
        <v>22.2</v>
      </c>
      <c r="AS15" s="42">
        <f t="shared" si="33"/>
        <v>3.8541666666666662E-2</v>
      </c>
      <c r="AT15" s="64">
        <f>AVERAGE(AT36,AT52,AT68)</f>
        <v>0.96766666666666667</v>
      </c>
    </row>
    <row r="16" spans="1:46" ht="16" thickBot="1" x14ac:dyDescent="0.25">
      <c r="B16" s="53">
        <v>7</v>
      </c>
      <c r="C16" s="48">
        <f t="shared" ref="C16:V16" si="37">AVERAGE(C37,C53,C69)</f>
        <v>1285</v>
      </c>
      <c r="D16" s="49">
        <f t="shared" si="37"/>
        <v>21.7</v>
      </c>
      <c r="E16" s="50">
        <f t="shared" si="37"/>
        <v>3.7673611111111109E-2</v>
      </c>
      <c r="F16" s="51">
        <f t="shared" si="37"/>
        <v>0.90866666666666662</v>
      </c>
      <c r="G16" s="48">
        <f t="shared" si="37"/>
        <v>1138.3333333333333</v>
      </c>
      <c r="H16" s="49">
        <f t="shared" si="37"/>
        <v>18.866666666666667</v>
      </c>
      <c r="I16" s="50">
        <f t="shared" si="37"/>
        <v>3.2754629629629634E-2</v>
      </c>
      <c r="J16" s="51">
        <f t="shared" si="37"/>
        <v>0.93400000000000005</v>
      </c>
      <c r="K16" s="48">
        <f t="shared" si="37"/>
        <v>1011.6666666666666</v>
      </c>
      <c r="L16" s="49">
        <f t="shared" si="37"/>
        <v>18.099999999999998</v>
      </c>
      <c r="M16" s="50">
        <f t="shared" si="37"/>
        <v>3.142361111111111E-2</v>
      </c>
      <c r="N16" s="51">
        <f t="shared" si="37"/>
        <v>0.93499999999999994</v>
      </c>
      <c r="O16" s="48">
        <f t="shared" si="37"/>
        <v>870</v>
      </c>
      <c r="P16" s="49">
        <f t="shared" si="37"/>
        <v>17.366666666666671</v>
      </c>
      <c r="Q16" s="50">
        <f t="shared" si="37"/>
        <v>3.0150462962962962E-2</v>
      </c>
      <c r="R16" s="51">
        <f t="shared" si="37"/>
        <v>0.93966666666666665</v>
      </c>
      <c r="S16" s="48">
        <f t="shared" si="37"/>
        <v>716.66666666666663</v>
      </c>
      <c r="T16" s="49">
        <f t="shared" si="37"/>
        <v>17</v>
      </c>
      <c r="U16" s="50">
        <f t="shared" si="37"/>
        <v>2.9513888888888892E-2</v>
      </c>
      <c r="V16" s="51">
        <f t="shared" si="37"/>
        <v>0.94133333333333324</v>
      </c>
      <c r="Z16" s="53">
        <v>7</v>
      </c>
      <c r="AA16" s="48">
        <f t="shared" ref="AA16:AS16" si="38">AVERAGE(AA37,AA53,AA69)</f>
        <v>1285</v>
      </c>
      <c r="AB16" s="49">
        <f t="shared" si="38"/>
        <v>29.433333333333334</v>
      </c>
      <c r="AC16" s="50">
        <f t="shared" si="38"/>
        <v>5.1099537037037034E-2</v>
      </c>
      <c r="AD16" s="118">
        <f t="shared" si="38"/>
        <v>0.87933333333333341</v>
      </c>
      <c r="AE16" s="48">
        <f t="shared" si="38"/>
        <v>1138.3333333333333</v>
      </c>
      <c r="AF16" s="49">
        <f t="shared" si="38"/>
        <v>23.466666666666669</v>
      </c>
      <c r="AG16" s="50">
        <f t="shared" si="38"/>
        <v>4.0740740740740737E-2</v>
      </c>
      <c r="AH16" s="118">
        <f t="shared" ref="AH16" si="39">AVERAGE(AH37,AH53,AH69)</f>
        <v>0.91366666666666652</v>
      </c>
      <c r="AI16" s="48">
        <f t="shared" si="38"/>
        <v>1011.6666666666666</v>
      </c>
      <c r="AJ16" s="49">
        <f t="shared" si="38"/>
        <v>22.233333333333331</v>
      </c>
      <c r="AK16" s="50">
        <f t="shared" si="38"/>
        <v>3.8599537037037036E-2</v>
      </c>
      <c r="AL16" s="118">
        <f t="shared" ref="AL16" si="40">AVERAGE(AL37,AL53,AL69)</f>
        <v>0.91133333333333333</v>
      </c>
      <c r="AM16" s="48">
        <f t="shared" si="38"/>
        <v>870</v>
      </c>
      <c r="AN16" s="49">
        <f t="shared" si="38"/>
        <v>19.466666666666665</v>
      </c>
      <c r="AO16" s="50">
        <f t="shared" si="38"/>
        <v>3.3796296296296297E-2</v>
      </c>
      <c r="AP16" s="118">
        <f t="shared" ref="AP16" si="41">AVERAGE(AP37,AP53,AP69)</f>
        <v>0.93299999999999994</v>
      </c>
      <c r="AQ16" s="48">
        <f t="shared" si="38"/>
        <v>716.66666666666663</v>
      </c>
      <c r="AR16" s="49">
        <f t="shared" si="38"/>
        <v>18.599999999999998</v>
      </c>
      <c r="AS16" s="50">
        <f t="shared" si="38"/>
        <v>3.229166666666667E-2</v>
      </c>
      <c r="AT16" s="118">
        <f t="shared" ref="AT16" si="42">AVERAGE(AT37,AT53,AT69)</f>
        <v>0.93966666666666665</v>
      </c>
    </row>
    <row r="17" spans="1:46" ht="16" thickBot="1" x14ac:dyDescent="0.25">
      <c r="C17" s="28"/>
      <c r="D17" s="28"/>
      <c r="E17" s="42"/>
      <c r="F17" s="28"/>
      <c r="G17" s="28"/>
      <c r="H17" s="28"/>
      <c r="I17" s="42"/>
      <c r="J17" s="28"/>
      <c r="K17" s="28"/>
      <c r="L17" s="28"/>
      <c r="M17" s="42"/>
      <c r="N17" s="28"/>
      <c r="O17" s="28"/>
      <c r="P17" s="28"/>
      <c r="Q17" s="42"/>
      <c r="R17" s="28"/>
      <c r="S17" s="37"/>
      <c r="T17" s="28"/>
      <c r="U17" s="42"/>
      <c r="V17" s="28"/>
      <c r="AA17" s="28"/>
      <c r="AB17" s="28"/>
      <c r="AC17" s="42"/>
      <c r="AD17" s="28"/>
      <c r="AE17" s="28"/>
      <c r="AF17" s="28"/>
      <c r="AG17" s="42"/>
      <c r="AH17" s="28"/>
      <c r="AI17" s="28"/>
      <c r="AJ17" s="28"/>
      <c r="AK17" s="42"/>
      <c r="AL17" s="28"/>
      <c r="AM17" s="28"/>
      <c r="AN17" s="28"/>
      <c r="AO17" s="42"/>
      <c r="AP17" s="28"/>
      <c r="AQ17" s="37"/>
      <c r="AR17" s="28"/>
      <c r="AS17" s="42"/>
      <c r="AT17" s="28"/>
    </row>
    <row r="18" spans="1:46" ht="16" thickBot="1" x14ac:dyDescent="0.25">
      <c r="B18" s="1" t="s">
        <v>11</v>
      </c>
      <c r="C18" s="28"/>
      <c r="D18" s="56">
        <f t="shared" ref="D18:F18" si="43">AVERAGE(D39,D55,D71)</f>
        <v>25.899149530337652</v>
      </c>
      <c r="E18" s="59">
        <f t="shared" si="43"/>
        <v>4.4963801267947301E-2</v>
      </c>
      <c r="F18" s="57">
        <f t="shared" si="43"/>
        <v>0.92310548362528555</v>
      </c>
      <c r="G18" s="28"/>
      <c r="H18" s="56">
        <f t="shared" ref="H18:J18" si="44">AVERAGE(H39,H55,H71)</f>
        <v>21.720037132247928</v>
      </c>
      <c r="I18" s="59">
        <f t="shared" si="44"/>
        <v>3.7708397799041539E-2</v>
      </c>
      <c r="J18" s="57">
        <f t="shared" si="44"/>
        <v>0.94858940302770645</v>
      </c>
      <c r="K18" s="28"/>
      <c r="L18" s="56">
        <f t="shared" ref="L18:N18" si="45">AVERAGE(L39,L55,L71)</f>
        <v>20.444253999347044</v>
      </c>
      <c r="M18" s="59">
        <f t="shared" si="45"/>
        <v>3.5493496526644179E-2</v>
      </c>
      <c r="N18" s="57">
        <f t="shared" si="45"/>
        <v>0.95237822396343452</v>
      </c>
      <c r="O18" s="28"/>
      <c r="P18" s="56">
        <f t="shared" ref="P18:R18" si="46">AVERAGE(P39,P55,P71)</f>
        <v>20.064858176280222</v>
      </c>
      <c r="Q18" s="59">
        <f t="shared" si="46"/>
        <v>3.483482322270872E-2</v>
      </c>
      <c r="R18" s="57">
        <f t="shared" si="46"/>
        <v>0.95604092899295645</v>
      </c>
      <c r="S18" s="28"/>
      <c r="T18" s="56">
        <f t="shared" ref="T18:V18" si="47">AVERAGE(T39,T55,T71)</f>
        <v>20.063787982636509</v>
      </c>
      <c r="U18" s="59">
        <f t="shared" si="47"/>
        <v>3.4832965247632831E-2</v>
      </c>
      <c r="V18" s="57">
        <f t="shared" si="47"/>
        <v>0.95699177518848533</v>
      </c>
      <c r="Z18" s="1" t="s">
        <v>11</v>
      </c>
      <c r="AA18" s="28"/>
      <c r="AB18" s="56">
        <f t="shared" ref="AB18:AG18" si="48">AVERAGE(AB39,AB55,AB71)</f>
        <v>30.503427265803499</v>
      </c>
      <c r="AC18" s="59">
        <f t="shared" si="48"/>
        <v>5.2957339003131078E-2</v>
      </c>
      <c r="AD18" s="57">
        <f>AVERAGE(AD39,AD55,AD71)</f>
        <v>0.90377557755775584</v>
      </c>
      <c r="AE18" s="28"/>
      <c r="AF18" s="56">
        <f t="shared" si="48"/>
        <v>24.955069980005714</v>
      </c>
      <c r="AG18" s="59">
        <f t="shared" si="48"/>
        <v>4.3324774270843247E-2</v>
      </c>
      <c r="AH18" s="57">
        <f>AVERAGE(AH39,AH55,AH71)</f>
        <v>0.93878520422736378</v>
      </c>
      <c r="AI18" s="28"/>
      <c r="AJ18" s="56">
        <f t="shared" ref="AJ18:AK18" si="49">AVERAGE(AJ39,AJ55,AJ71)</f>
        <v>22.845984329089131</v>
      </c>
      <c r="AK18" s="59">
        <f t="shared" si="49"/>
        <v>3.9663167238001958E-2</v>
      </c>
      <c r="AL18" s="57">
        <f>AVERAGE(AL39,AL55,AL71)</f>
        <v>0.94531080639895537</v>
      </c>
      <c r="AM18" s="28"/>
      <c r="AN18" s="56">
        <f t="shared" ref="AN18:AO18" si="50">AVERAGE(AN39,AN55,AN71)</f>
        <v>22.171920807157814</v>
      </c>
      <c r="AO18" s="59">
        <f t="shared" si="50"/>
        <v>3.8492918067982322E-2</v>
      </c>
      <c r="AP18" s="57">
        <f>AVERAGE(AP39,AP55,AP71)</f>
        <v>0.95098477060727193</v>
      </c>
      <c r="AQ18" s="28"/>
      <c r="AR18" s="56">
        <f t="shared" ref="AR18:AS18" si="51">AVERAGE(AR39,AR55,AR71)</f>
        <v>21.983984464244916</v>
      </c>
      <c r="AS18" s="59">
        <f t="shared" si="51"/>
        <v>3.8166639694869643E-2</v>
      </c>
      <c r="AT18" s="57">
        <f>AVERAGE(AT39,AT55,AT71)</f>
        <v>0.95274708704592193</v>
      </c>
    </row>
    <row r="20" spans="1:46" x14ac:dyDescent="0.2">
      <c r="C20" s="24"/>
      <c r="D20" s="31"/>
      <c r="G20" s="24"/>
      <c r="H20" s="31"/>
      <c r="K20" s="24"/>
      <c r="L20" s="31"/>
      <c r="O20" s="24"/>
      <c r="P20" s="31"/>
      <c r="S20" s="24"/>
      <c r="T20" s="31"/>
    </row>
    <row r="21" spans="1:46" x14ac:dyDescent="0.2">
      <c r="C21" s="24"/>
      <c r="D21" s="31"/>
      <c r="G21" s="24"/>
      <c r="H21" s="31"/>
      <c r="K21" s="24"/>
      <c r="L21" s="31"/>
      <c r="O21" s="24"/>
      <c r="P21" s="31"/>
      <c r="S21" s="24"/>
      <c r="T21" s="31"/>
    </row>
    <row r="22" spans="1:46" ht="15.5" customHeight="1" x14ac:dyDescent="0.2">
      <c r="C22" s="1"/>
      <c r="G22" s="1"/>
    </row>
    <row r="23" spans="1:46" s="32" customFormat="1" ht="15.5" customHeight="1" thickBot="1" x14ac:dyDescent="0.25">
      <c r="C23" s="34"/>
      <c r="G23" s="34"/>
      <c r="X23" s="93"/>
    </row>
    <row r="24" spans="1:46" s="33" customFormat="1" ht="15.5" customHeight="1" thickBot="1" x14ac:dyDescent="0.25">
      <c r="C24" s="36"/>
      <c r="G24" s="36"/>
      <c r="X24" s="94"/>
    </row>
    <row r="25" spans="1:46" ht="15.5" customHeight="1" x14ac:dyDescent="0.2">
      <c r="C25" s="1"/>
      <c r="G25" s="1"/>
    </row>
    <row r="26" spans="1:46" ht="15.75" customHeight="1" x14ac:dyDescent="0.2"/>
    <row r="27" spans="1:46" ht="15.75" customHeight="1" x14ac:dyDescent="0.2"/>
    <row r="28" spans="1:46" ht="15.75" customHeight="1" x14ac:dyDescent="0.2">
      <c r="A28" s="1" t="s">
        <v>23</v>
      </c>
      <c r="D28" s="134">
        <v>0.1</v>
      </c>
      <c r="E28" s="133"/>
      <c r="F28" s="133"/>
      <c r="G28" s="2"/>
      <c r="H28" s="134">
        <v>0.2</v>
      </c>
      <c r="I28" s="133"/>
      <c r="J28" s="133"/>
      <c r="K28" s="2"/>
      <c r="L28" s="134">
        <v>0.3</v>
      </c>
      <c r="M28" s="133"/>
      <c r="N28" s="133"/>
      <c r="O28" s="2"/>
      <c r="P28" s="134">
        <v>0.4</v>
      </c>
      <c r="Q28" s="133"/>
      <c r="R28" s="133"/>
      <c r="S28" s="2"/>
      <c r="T28" s="134">
        <v>0.5</v>
      </c>
      <c r="U28" s="133"/>
      <c r="V28" s="133"/>
      <c r="Y28" s="28" t="s">
        <v>23</v>
      </c>
      <c r="AB28" s="134">
        <v>0.1</v>
      </c>
      <c r="AC28" s="133"/>
      <c r="AD28" s="133"/>
      <c r="AE28" s="2"/>
      <c r="AF28" s="134">
        <v>0.2</v>
      </c>
      <c r="AG28" s="133"/>
      <c r="AH28" s="133"/>
      <c r="AI28" s="2"/>
      <c r="AJ28" s="134">
        <v>0.3</v>
      </c>
      <c r="AK28" s="133"/>
      <c r="AL28" s="133"/>
      <c r="AM28" s="2"/>
      <c r="AN28" s="134">
        <v>0.4</v>
      </c>
      <c r="AO28" s="133"/>
      <c r="AP28" s="133"/>
      <c r="AQ28" s="2"/>
      <c r="AR28" s="134">
        <v>0.5</v>
      </c>
      <c r="AS28" s="133"/>
      <c r="AT28" s="133"/>
    </row>
    <row r="29" spans="1:46" ht="15.75" customHeight="1" thickBot="1" x14ac:dyDescent="0.25">
      <c r="B29" s="13" t="s">
        <v>8</v>
      </c>
      <c r="C29" s="22" t="s">
        <v>22</v>
      </c>
      <c r="D29" s="14" t="s">
        <v>7</v>
      </c>
      <c r="E29" s="13" t="s">
        <v>9</v>
      </c>
      <c r="F29" s="13" t="s">
        <v>10</v>
      </c>
      <c r="G29" s="22" t="s">
        <v>22</v>
      </c>
      <c r="H29" s="14" t="s">
        <v>7</v>
      </c>
      <c r="I29" s="13" t="s">
        <v>9</v>
      </c>
      <c r="J29" s="13" t="s">
        <v>10</v>
      </c>
      <c r="K29" s="22" t="s">
        <v>22</v>
      </c>
      <c r="L29" s="13" t="s">
        <v>7</v>
      </c>
      <c r="M29" s="13" t="s">
        <v>9</v>
      </c>
      <c r="N29" s="13" t="s">
        <v>10</v>
      </c>
      <c r="O29" s="22" t="s">
        <v>22</v>
      </c>
      <c r="P29" s="13" t="s">
        <v>7</v>
      </c>
      <c r="Q29" s="13" t="s">
        <v>9</v>
      </c>
      <c r="R29" s="13" t="s">
        <v>10</v>
      </c>
      <c r="S29" s="22" t="s">
        <v>22</v>
      </c>
      <c r="T29" s="13" t="s">
        <v>7</v>
      </c>
      <c r="U29" s="13" t="s">
        <v>9</v>
      </c>
      <c r="V29" s="13" t="s">
        <v>10</v>
      </c>
      <c r="Z29" s="13" t="s">
        <v>8</v>
      </c>
      <c r="AA29" s="22" t="s">
        <v>22</v>
      </c>
      <c r="AB29" s="14" t="s">
        <v>7</v>
      </c>
      <c r="AC29" s="13" t="s">
        <v>9</v>
      </c>
      <c r="AD29" s="13" t="s">
        <v>10</v>
      </c>
      <c r="AE29" s="22" t="s">
        <v>22</v>
      </c>
      <c r="AF29" s="14" t="s">
        <v>7</v>
      </c>
      <c r="AG29" s="13" t="s">
        <v>9</v>
      </c>
      <c r="AH29" s="13" t="s">
        <v>10</v>
      </c>
      <c r="AI29" s="22" t="s">
        <v>22</v>
      </c>
      <c r="AJ29" s="13" t="s">
        <v>7</v>
      </c>
      <c r="AK29" s="13" t="s">
        <v>9</v>
      </c>
      <c r="AL29" s="13" t="s">
        <v>10</v>
      </c>
      <c r="AM29" s="22" t="s">
        <v>22</v>
      </c>
      <c r="AN29" s="13" t="s">
        <v>7</v>
      </c>
      <c r="AO29" s="13" t="s">
        <v>9</v>
      </c>
      <c r="AP29" s="13" t="s">
        <v>10</v>
      </c>
      <c r="AQ29" s="22" t="s">
        <v>22</v>
      </c>
      <c r="AR29" s="13" t="s">
        <v>7</v>
      </c>
      <c r="AS29" s="13" t="s">
        <v>9</v>
      </c>
      <c r="AT29" s="13" t="s">
        <v>10</v>
      </c>
    </row>
    <row r="30" spans="1:46" ht="15.75" customHeight="1" x14ac:dyDescent="0.2">
      <c r="B30" s="1">
        <v>0</v>
      </c>
      <c r="C30" s="23">
        <v>2690</v>
      </c>
      <c r="D30" s="17">
        <v>20.100000000000001</v>
      </c>
      <c r="E30" s="16">
        <f t="shared" ref="E30:E37" si="52">D30/$A$5</f>
        <v>3.4895833333333334E-2</v>
      </c>
      <c r="F30" s="28">
        <v>0.96599999999999997</v>
      </c>
      <c r="G30" s="17">
        <v>2430</v>
      </c>
      <c r="H30" s="17">
        <v>19.2</v>
      </c>
      <c r="I30" s="16">
        <f t="shared" ref="I30:I37" si="53">H30/$A$5</f>
        <v>3.3333333333333333E-2</v>
      </c>
      <c r="J30" s="28">
        <v>0.96899999999999997</v>
      </c>
      <c r="K30" s="23">
        <v>2115</v>
      </c>
      <c r="L30" s="28">
        <v>18.2</v>
      </c>
      <c r="M30" s="16">
        <f t="shared" ref="M30:M37" si="54">L30/$A$5</f>
        <v>3.1597222222222221E-2</v>
      </c>
      <c r="N30" s="28">
        <v>0.96899999999999997</v>
      </c>
      <c r="O30" s="23">
        <v>1780</v>
      </c>
      <c r="P30" s="28">
        <v>19.2</v>
      </c>
      <c r="Q30" s="16">
        <f t="shared" ref="Q30:Q37" si="55">P30/$A$5</f>
        <v>3.3333333333333333E-2</v>
      </c>
      <c r="R30" s="28">
        <v>0.96699999999999997</v>
      </c>
      <c r="S30" s="23">
        <v>1515</v>
      </c>
      <c r="T30" s="28">
        <v>20.2</v>
      </c>
      <c r="U30" s="16">
        <f t="shared" ref="U30:U37" si="56">T30/$A$5</f>
        <v>3.5069444444444445E-2</v>
      </c>
      <c r="V30" s="1">
        <v>0.96399999999999997</v>
      </c>
      <c r="Z30" s="1">
        <v>0</v>
      </c>
      <c r="AA30" s="23">
        <v>2690</v>
      </c>
      <c r="AB30" s="17">
        <v>23.2</v>
      </c>
      <c r="AC30" s="16">
        <f t="shared" ref="AC30:AC37" si="57">AB30/$A$5</f>
        <v>4.0277777777777773E-2</v>
      </c>
      <c r="AD30" s="28">
        <v>0.95899999999999996</v>
      </c>
      <c r="AE30" s="17">
        <v>2430</v>
      </c>
      <c r="AF30" s="17">
        <v>20.9</v>
      </c>
      <c r="AG30" s="16">
        <f t="shared" ref="AG30:AG37" si="58">AF30/$A$5</f>
        <v>3.6284722222222218E-2</v>
      </c>
      <c r="AH30" s="28">
        <v>0.96499999999999997</v>
      </c>
      <c r="AI30" s="23">
        <v>2115</v>
      </c>
      <c r="AJ30" s="28">
        <v>18.8</v>
      </c>
      <c r="AK30" s="16">
        <f t="shared" ref="AK30:AK37" si="59">AJ30/$A$5</f>
        <v>3.2638888888888891E-2</v>
      </c>
      <c r="AL30" s="28">
        <v>0.96799999999999997</v>
      </c>
      <c r="AM30" s="23">
        <v>1780</v>
      </c>
      <c r="AN30" s="28">
        <v>19.7</v>
      </c>
      <c r="AO30" s="16">
        <f t="shared" ref="AO30:AO37" si="60">AN30/$A$5</f>
        <v>3.4201388888888885E-2</v>
      </c>
      <c r="AP30" s="28">
        <v>0.96599999999999997</v>
      </c>
      <c r="AQ30" s="23">
        <v>1515</v>
      </c>
      <c r="AR30" s="28">
        <v>22.3</v>
      </c>
      <c r="AS30" s="16">
        <f t="shared" ref="AS30:AS37" si="61">AR30/$A$5</f>
        <v>3.8715277777777779E-2</v>
      </c>
      <c r="AT30" s="28">
        <v>0.95899999999999996</v>
      </c>
    </row>
    <row r="31" spans="1:46" ht="15.75" customHeight="1" x14ac:dyDescent="0.2">
      <c r="B31" s="1">
        <v>1</v>
      </c>
      <c r="C31" s="23">
        <v>2735</v>
      </c>
      <c r="D31" s="17">
        <v>20</v>
      </c>
      <c r="E31" s="16">
        <f t="shared" si="52"/>
        <v>3.4722222222222224E-2</v>
      </c>
      <c r="F31" s="28">
        <v>0.97699999999999998</v>
      </c>
      <c r="G31" s="17">
        <v>2410</v>
      </c>
      <c r="H31" s="17">
        <v>19.399999999999999</v>
      </c>
      <c r="I31" s="16">
        <f t="shared" si="53"/>
        <v>3.3680555555555554E-2</v>
      </c>
      <c r="J31" s="28">
        <v>0.97699999999999998</v>
      </c>
      <c r="K31" s="23">
        <v>2110</v>
      </c>
      <c r="L31" s="28">
        <v>20.6</v>
      </c>
      <c r="M31" s="16">
        <f t="shared" si="54"/>
        <v>3.5763888888888894E-2</v>
      </c>
      <c r="N31" s="28">
        <v>0.97499999999999998</v>
      </c>
      <c r="O31" s="23">
        <v>1835</v>
      </c>
      <c r="P31" s="28">
        <v>20.100000000000001</v>
      </c>
      <c r="Q31" s="16">
        <f t="shared" si="55"/>
        <v>3.4895833333333334E-2</v>
      </c>
      <c r="R31" s="28">
        <v>0.97699999999999998</v>
      </c>
      <c r="S31" s="23">
        <v>1505</v>
      </c>
      <c r="T31" s="28">
        <v>19.8</v>
      </c>
      <c r="U31" s="16">
        <f t="shared" si="56"/>
        <v>3.4375000000000003E-2</v>
      </c>
      <c r="V31" s="1">
        <v>0.97699999999999998</v>
      </c>
      <c r="Z31" s="1">
        <v>1</v>
      </c>
      <c r="AA31" s="23">
        <v>2735</v>
      </c>
      <c r="AB31" s="17">
        <v>24.9</v>
      </c>
      <c r="AC31" s="16">
        <f t="shared" si="57"/>
        <v>4.3229166666666666E-2</v>
      </c>
      <c r="AD31" s="28">
        <v>0.96799999999999997</v>
      </c>
      <c r="AE31" s="17">
        <v>2410</v>
      </c>
      <c r="AF31" s="17">
        <v>21.5</v>
      </c>
      <c r="AG31" s="16">
        <f t="shared" si="58"/>
        <v>3.7326388888888888E-2</v>
      </c>
      <c r="AH31" s="28">
        <v>0.97399999999999998</v>
      </c>
      <c r="AI31" s="23">
        <v>2110</v>
      </c>
      <c r="AJ31" s="28">
        <v>22</v>
      </c>
      <c r="AK31" s="16">
        <f t="shared" si="59"/>
        <v>3.8194444444444448E-2</v>
      </c>
      <c r="AL31" s="28">
        <v>0.97199999999999998</v>
      </c>
      <c r="AM31" s="23">
        <v>1835</v>
      </c>
      <c r="AN31" s="28">
        <v>22.1</v>
      </c>
      <c r="AO31" s="16">
        <f t="shared" si="60"/>
        <v>3.8368055555555558E-2</v>
      </c>
      <c r="AP31" s="28">
        <v>0.97399999999999998</v>
      </c>
      <c r="AQ31" s="23">
        <v>1505</v>
      </c>
      <c r="AR31" s="28">
        <v>20.8</v>
      </c>
      <c r="AS31" s="16">
        <f t="shared" si="61"/>
        <v>3.6111111111111115E-2</v>
      </c>
      <c r="AT31" s="28">
        <v>0.97599999999999998</v>
      </c>
    </row>
    <row r="32" spans="1:46" ht="15.75" customHeight="1" x14ac:dyDescent="0.2">
      <c r="B32" s="1">
        <v>2</v>
      </c>
      <c r="C32" s="23">
        <v>1320</v>
      </c>
      <c r="D32" s="17">
        <v>24.9</v>
      </c>
      <c r="E32" s="16">
        <f t="shared" si="52"/>
        <v>4.3229166666666666E-2</v>
      </c>
      <c r="F32" s="28">
        <v>0.96799999999999997</v>
      </c>
      <c r="G32" s="17">
        <v>1195</v>
      </c>
      <c r="H32" s="17">
        <v>24.4</v>
      </c>
      <c r="I32" s="16">
        <f t="shared" si="53"/>
        <v>4.2361111111111106E-2</v>
      </c>
      <c r="J32" s="28">
        <v>0.96799999999999997</v>
      </c>
      <c r="K32" s="23">
        <v>1035</v>
      </c>
      <c r="L32" s="28">
        <v>21.3</v>
      </c>
      <c r="M32" s="16">
        <f t="shared" si="54"/>
        <v>3.6979166666666667E-2</v>
      </c>
      <c r="N32" s="28">
        <v>0.97399999999999998</v>
      </c>
      <c r="O32" s="23">
        <v>850</v>
      </c>
      <c r="P32" s="28">
        <v>21.7</v>
      </c>
      <c r="Q32" s="16">
        <f t="shared" si="55"/>
        <v>3.7673611111111109E-2</v>
      </c>
      <c r="R32" s="28">
        <v>0.97299999999999998</v>
      </c>
      <c r="S32" s="23">
        <v>720</v>
      </c>
      <c r="T32" s="28">
        <v>20.6</v>
      </c>
      <c r="U32" s="16">
        <f t="shared" si="56"/>
        <v>3.5763888888888894E-2</v>
      </c>
      <c r="V32" s="1">
        <v>0.97499999999999998</v>
      </c>
      <c r="Z32" s="1">
        <v>2</v>
      </c>
      <c r="AA32" s="23">
        <v>1320</v>
      </c>
      <c r="AB32" s="17">
        <v>29</v>
      </c>
      <c r="AC32" s="16">
        <f t="shared" si="57"/>
        <v>5.0347222222222224E-2</v>
      </c>
      <c r="AD32" s="28">
        <v>0.95899999999999996</v>
      </c>
      <c r="AE32" s="17">
        <v>1195</v>
      </c>
      <c r="AF32" s="17">
        <v>28.6</v>
      </c>
      <c r="AG32" s="16">
        <f t="shared" si="58"/>
        <v>4.9652777777777782E-2</v>
      </c>
      <c r="AH32" s="28">
        <v>0.95899999999999996</v>
      </c>
      <c r="AI32" s="23">
        <v>1035</v>
      </c>
      <c r="AJ32" s="28">
        <v>24.3</v>
      </c>
      <c r="AK32" s="16">
        <f t="shared" si="59"/>
        <v>4.2187500000000003E-2</v>
      </c>
      <c r="AL32" s="28">
        <v>0.96799999999999997</v>
      </c>
      <c r="AM32" s="23">
        <v>850</v>
      </c>
      <c r="AN32" s="28">
        <v>23.2</v>
      </c>
      <c r="AO32" s="16">
        <f t="shared" si="60"/>
        <v>4.0277777777777773E-2</v>
      </c>
      <c r="AP32" s="28">
        <v>0.97</v>
      </c>
      <c r="AQ32" s="23">
        <v>720</v>
      </c>
      <c r="AR32" s="28">
        <v>22.6</v>
      </c>
      <c r="AS32" s="16">
        <f t="shared" si="61"/>
        <v>3.923611111111111E-2</v>
      </c>
      <c r="AT32" s="28">
        <v>0.97199999999999998</v>
      </c>
    </row>
    <row r="33" spans="1:46" ht="15.75" customHeight="1" x14ac:dyDescent="0.2">
      <c r="B33" s="1">
        <v>3</v>
      </c>
      <c r="C33" s="23">
        <v>925</v>
      </c>
      <c r="D33" s="17">
        <v>33.4</v>
      </c>
      <c r="E33" s="16">
        <f t="shared" si="52"/>
        <v>5.7986111111111106E-2</v>
      </c>
      <c r="F33" s="28">
        <v>0.93799999999999994</v>
      </c>
      <c r="G33" s="17">
        <v>845</v>
      </c>
      <c r="H33" s="17">
        <v>34.200000000000003</v>
      </c>
      <c r="I33" s="16">
        <f t="shared" si="53"/>
        <v>5.9375000000000004E-2</v>
      </c>
      <c r="J33" s="28">
        <v>0.93600000000000005</v>
      </c>
      <c r="K33" s="23">
        <v>725</v>
      </c>
      <c r="L33" s="28">
        <v>25.3</v>
      </c>
      <c r="M33" s="16">
        <f t="shared" si="54"/>
        <v>4.3923611111111115E-2</v>
      </c>
      <c r="N33" s="28">
        <v>0.95499999999999996</v>
      </c>
      <c r="O33" s="23">
        <v>615</v>
      </c>
      <c r="P33" s="28">
        <v>26.3</v>
      </c>
      <c r="Q33" s="16">
        <f t="shared" si="55"/>
        <v>4.5659722222222227E-2</v>
      </c>
      <c r="R33" s="28">
        <v>0.94799999999999995</v>
      </c>
      <c r="S33" s="23">
        <v>555</v>
      </c>
      <c r="T33" s="28">
        <v>27</v>
      </c>
      <c r="U33" s="16">
        <f t="shared" si="56"/>
        <v>4.6875E-2</v>
      </c>
      <c r="V33" s="1">
        <v>0.94599999999999995</v>
      </c>
      <c r="Z33" s="1">
        <v>3</v>
      </c>
      <c r="AA33" s="23">
        <v>925</v>
      </c>
      <c r="AB33" s="17">
        <v>41.7</v>
      </c>
      <c r="AC33" s="16">
        <f>AB33/$A$5</f>
        <v>7.239583333333334E-2</v>
      </c>
      <c r="AD33" s="28">
        <v>0.91</v>
      </c>
      <c r="AE33" s="17">
        <v>845</v>
      </c>
      <c r="AF33" s="17">
        <v>39.700000000000003</v>
      </c>
      <c r="AG33" s="16">
        <f t="shared" si="58"/>
        <v>6.8923611111111116E-2</v>
      </c>
      <c r="AH33" s="28">
        <v>0.91900000000000004</v>
      </c>
      <c r="AI33" s="23">
        <v>725</v>
      </c>
      <c r="AJ33" s="28">
        <v>30.4</v>
      </c>
      <c r="AK33" s="16">
        <f t="shared" si="59"/>
        <v>5.2777777777777778E-2</v>
      </c>
      <c r="AL33" s="28">
        <v>0.94599999999999995</v>
      </c>
      <c r="AM33" s="23">
        <v>615</v>
      </c>
      <c r="AN33" s="28">
        <v>30.2</v>
      </c>
      <c r="AO33" s="16">
        <f t="shared" si="60"/>
        <v>5.2430555555555557E-2</v>
      </c>
      <c r="AP33" s="28">
        <v>0.94199999999999995</v>
      </c>
      <c r="AQ33" s="23">
        <v>555</v>
      </c>
      <c r="AR33" s="28">
        <v>30.9</v>
      </c>
      <c r="AS33" s="16">
        <f t="shared" si="61"/>
        <v>5.364583333333333E-2</v>
      </c>
      <c r="AT33" s="28">
        <v>0.93899999999999995</v>
      </c>
    </row>
    <row r="34" spans="1:46" ht="15.75" customHeight="1" x14ac:dyDescent="0.2">
      <c r="B34" s="1">
        <v>4</v>
      </c>
      <c r="C34" s="23">
        <v>1385</v>
      </c>
      <c r="D34" s="17">
        <v>35.799999999999997</v>
      </c>
      <c r="E34" s="16">
        <f t="shared" si="52"/>
        <v>6.2152777777777772E-2</v>
      </c>
      <c r="F34" s="28">
        <v>0.93799999999999994</v>
      </c>
      <c r="G34" s="17">
        <v>1205</v>
      </c>
      <c r="H34" s="17">
        <v>23.5</v>
      </c>
      <c r="I34" s="16">
        <f t="shared" si="53"/>
        <v>4.0798611111111112E-2</v>
      </c>
      <c r="J34" s="28">
        <v>0.96799999999999997</v>
      </c>
      <c r="K34" s="23">
        <v>1045</v>
      </c>
      <c r="L34" s="28">
        <v>21</v>
      </c>
      <c r="M34" s="16">
        <f t="shared" si="54"/>
        <v>3.6458333333333336E-2</v>
      </c>
      <c r="N34" s="28">
        <v>0.97199999999999998</v>
      </c>
      <c r="O34" s="23">
        <v>885</v>
      </c>
      <c r="P34" s="28">
        <v>20.8</v>
      </c>
      <c r="Q34" s="16">
        <f t="shared" si="55"/>
        <v>3.6111111111111115E-2</v>
      </c>
      <c r="R34" s="28">
        <v>0.97199999999999998</v>
      </c>
      <c r="S34" s="23">
        <v>720</v>
      </c>
      <c r="T34" s="28">
        <v>19.600000000000001</v>
      </c>
      <c r="U34" s="16">
        <f t="shared" si="56"/>
        <v>3.4027777777777782E-2</v>
      </c>
      <c r="V34" s="1">
        <v>0.97499999999999998</v>
      </c>
      <c r="Z34" s="1">
        <v>4</v>
      </c>
      <c r="AA34" s="23">
        <v>1385</v>
      </c>
      <c r="AB34" s="17">
        <v>40.6</v>
      </c>
      <c r="AC34" s="16">
        <f t="shared" si="57"/>
        <v>7.048611111111111E-2</v>
      </c>
      <c r="AD34" s="28">
        <v>0.92400000000000004</v>
      </c>
      <c r="AE34" s="17">
        <v>1205</v>
      </c>
      <c r="AF34" s="17">
        <v>28.6</v>
      </c>
      <c r="AG34" s="16">
        <f t="shared" si="58"/>
        <v>4.9652777777777782E-2</v>
      </c>
      <c r="AH34" s="28">
        <v>0.95699999999999996</v>
      </c>
      <c r="AI34" s="23">
        <v>1045</v>
      </c>
      <c r="AJ34" s="28">
        <v>23.8</v>
      </c>
      <c r="AK34" s="16">
        <f t="shared" si="59"/>
        <v>4.1319444444444443E-2</v>
      </c>
      <c r="AL34" s="28">
        <v>0.96699999999999997</v>
      </c>
      <c r="AM34" s="23">
        <v>885</v>
      </c>
      <c r="AN34" s="28">
        <v>23.1</v>
      </c>
      <c r="AO34" s="16">
        <f t="shared" si="60"/>
        <v>4.010416666666667E-2</v>
      </c>
      <c r="AP34" s="28">
        <v>0.96699999999999997</v>
      </c>
      <c r="AQ34" s="23">
        <v>720</v>
      </c>
      <c r="AR34" s="28">
        <v>21.3</v>
      </c>
      <c r="AS34" s="16">
        <f t="shared" si="61"/>
        <v>3.6979166666666667E-2</v>
      </c>
      <c r="AT34" s="28">
        <v>0.97299999999999998</v>
      </c>
    </row>
    <row r="35" spans="1:46" ht="15.75" customHeight="1" x14ac:dyDescent="0.2">
      <c r="B35" s="1">
        <v>5</v>
      </c>
      <c r="C35" s="23">
        <v>1140</v>
      </c>
      <c r="D35" s="17">
        <v>32.799999999999997</v>
      </c>
      <c r="E35" s="16">
        <f t="shared" si="52"/>
        <v>5.6944444444444436E-2</v>
      </c>
      <c r="F35" s="28">
        <v>0.82299999999999995</v>
      </c>
      <c r="G35" s="17">
        <v>1025</v>
      </c>
      <c r="H35" s="17">
        <v>28.9</v>
      </c>
      <c r="I35" s="16">
        <f t="shared" si="53"/>
        <v>5.0173611111111106E-2</v>
      </c>
      <c r="J35" s="28">
        <v>0.84699999999999998</v>
      </c>
      <c r="K35" s="23">
        <v>900</v>
      </c>
      <c r="L35" s="28">
        <v>24.8</v>
      </c>
      <c r="M35" s="16">
        <f t="shared" si="54"/>
        <v>4.3055555555555555E-2</v>
      </c>
      <c r="N35" s="28">
        <v>0.86599999999999999</v>
      </c>
      <c r="O35" s="23">
        <v>795</v>
      </c>
      <c r="P35" s="28">
        <v>21</v>
      </c>
      <c r="Q35" s="16">
        <f t="shared" si="55"/>
        <v>3.6458333333333336E-2</v>
      </c>
      <c r="R35" s="28">
        <v>0.91800000000000004</v>
      </c>
      <c r="S35" s="23">
        <v>635</v>
      </c>
      <c r="T35" s="28">
        <v>20.3</v>
      </c>
      <c r="U35" s="16">
        <f t="shared" si="56"/>
        <v>3.5243055555555555E-2</v>
      </c>
      <c r="V35" s="1">
        <v>0.92600000000000005</v>
      </c>
      <c r="Z35" s="1">
        <v>5</v>
      </c>
      <c r="AA35" s="23">
        <v>1140</v>
      </c>
      <c r="AB35" s="17">
        <v>34.299999999999997</v>
      </c>
      <c r="AC35" s="16">
        <f t="shared" si="57"/>
        <v>5.9548611111111108E-2</v>
      </c>
      <c r="AD35" s="28">
        <v>0.81499999999999995</v>
      </c>
      <c r="AE35" s="17">
        <v>1025</v>
      </c>
      <c r="AF35" s="17">
        <v>29</v>
      </c>
      <c r="AG35" s="16">
        <f t="shared" si="58"/>
        <v>5.0347222222222224E-2</v>
      </c>
      <c r="AH35" s="28">
        <v>0.86299999999999999</v>
      </c>
      <c r="AI35" s="23">
        <v>900</v>
      </c>
      <c r="AJ35" s="28">
        <v>24.1</v>
      </c>
      <c r="AK35" s="16">
        <f t="shared" si="59"/>
        <v>4.1840277777777782E-2</v>
      </c>
      <c r="AL35" s="28">
        <v>0.90400000000000003</v>
      </c>
      <c r="AM35" s="23">
        <v>795</v>
      </c>
      <c r="AN35" s="28">
        <v>22.4</v>
      </c>
      <c r="AO35" s="16">
        <f t="shared" si="60"/>
        <v>3.888888888888889E-2</v>
      </c>
      <c r="AP35" s="28">
        <v>0.91600000000000004</v>
      </c>
      <c r="AQ35" s="23">
        <v>635</v>
      </c>
      <c r="AR35" s="28">
        <v>21.5</v>
      </c>
      <c r="AS35" s="16">
        <f t="shared" si="61"/>
        <v>3.7326388888888888E-2</v>
      </c>
      <c r="AT35" s="28">
        <v>0.92300000000000004</v>
      </c>
    </row>
    <row r="36" spans="1:46" ht="15.75" customHeight="1" x14ac:dyDescent="0.2">
      <c r="B36" s="1">
        <v>6</v>
      </c>
      <c r="C36" s="23">
        <v>1705</v>
      </c>
      <c r="D36" s="17">
        <v>25.7</v>
      </c>
      <c r="E36" s="16">
        <f t="shared" si="52"/>
        <v>4.4618055555555557E-2</v>
      </c>
      <c r="F36" s="28">
        <v>0.96199999999999997</v>
      </c>
      <c r="G36" s="17">
        <v>1490</v>
      </c>
      <c r="H36" s="17">
        <v>22.6</v>
      </c>
      <c r="I36" s="16">
        <f t="shared" si="53"/>
        <v>3.923611111111111E-2</v>
      </c>
      <c r="J36" s="28">
        <v>0.97</v>
      </c>
      <c r="K36" s="23">
        <v>1335</v>
      </c>
      <c r="L36" s="28">
        <v>23.9</v>
      </c>
      <c r="M36" s="16">
        <f t="shared" si="54"/>
        <v>4.1493055555555554E-2</v>
      </c>
      <c r="N36" s="28">
        <v>0.96699999999999997</v>
      </c>
      <c r="O36" s="23">
        <v>1175</v>
      </c>
      <c r="P36" s="28">
        <v>22.7</v>
      </c>
      <c r="Q36" s="16">
        <f t="shared" si="55"/>
        <v>3.9409722222222221E-2</v>
      </c>
      <c r="R36" s="28">
        <v>0.97</v>
      </c>
      <c r="S36" s="23">
        <v>925</v>
      </c>
      <c r="T36" s="28">
        <v>22.4</v>
      </c>
      <c r="U36" s="16">
        <f t="shared" si="56"/>
        <v>3.888888888888889E-2</v>
      </c>
      <c r="V36" s="1">
        <v>0.97</v>
      </c>
      <c r="Z36" s="1">
        <v>6</v>
      </c>
      <c r="AA36" s="23">
        <v>1705</v>
      </c>
      <c r="AB36" s="17">
        <v>30.6</v>
      </c>
      <c r="AC36" s="16">
        <f t="shared" si="57"/>
        <v>5.3125000000000006E-2</v>
      </c>
      <c r="AD36" s="28">
        <v>0.95199999999999996</v>
      </c>
      <c r="AE36" s="17">
        <v>1490</v>
      </c>
      <c r="AF36" s="17">
        <v>25.5</v>
      </c>
      <c r="AG36" s="16">
        <f t="shared" si="58"/>
        <v>4.4270833333333336E-2</v>
      </c>
      <c r="AH36" s="28">
        <v>0.96499999999999997</v>
      </c>
      <c r="AI36" s="23">
        <v>1335</v>
      </c>
      <c r="AJ36" s="28">
        <v>26</v>
      </c>
      <c r="AK36" s="16">
        <f t="shared" si="59"/>
        <v>4.5138888888888888E-2</v>
      </c>
      <c r="AL36" s="28">
        <v>0.96299999999999997</v>
      </c>
      <c r="AM36" s="23">
        <v>1175</v>
      </c>
      <c r="AN36" s="28">
        <v>25.1</v>
      </c>
      <c r="AO36" s="16">
        <f t="shared" si="60"/>
        <v>4.3576388888888894E-2</v>
      </c>
      <c r="AP36" s="28">
        <v>0.96599999999999997</v>
      </c>
      <c r="AQ36" s="23">
        <v>925</v>
      </c>
      <c r="AR36" s="28">
        <v>24.9</v>
      </c>
      <c r="AS36" s="16">
        <f t="shared" si="61"/>
        <v>4.3229166666666666E-2</v>
      </c>
      <c r="AT36" s="28">
        <v>0.96699999999999997</v>
      </c>
    </row>
    <row r="37" spans="1:46" ht="15.75" customHeight="1" x14ac:dyDescent="0.2">
      <c r="B37" s="1">
        <v>7</v>
      </c>
      <c r="C37" s="23">
        <v>1230</v>
      </c>
      <c r="D37" s="17">
        <v>20.399999999999999</v>
      </c>
      <c r="E37" s="16">
        <f t="shared" si="52"/>
        <v>3.5416666666666666E-2</v>
      </c>
      <c r="F37" s="28">
        <v>0.83899999999999997</v>
      </c>
      <c r="G37" s="17">
        <v>1070</v>
      </c>
      <c r="H37" s="17">
        <v>16.100000000000001</v>
      </c>
      <c r="I37" s="16">
        <f t="shared" si="53"/>
        <v>2.795138888888889E-2</v>
      </c>
      <c r="J37" s="28">
        <v>0.89700000000000002</v>
      </c>
      <c r="K37" s="23">
        <v>945</v>
      </c>
      <c r="L37" s="28">
        <v>17</v>
      </c>
      <c r="M37" s="16">
        <f t="shared" si="54"/>
        <v>2.9513888888888888E-2</v>
      </c>
      <c r="N37" s="28">
        <v>0.88500000000000001</v>
      </c>
      <c r="O37" s="23">
        <v>820</v>
      </c>
      <c r="P37" s="28">
        <v>16.3</v>
      </c>
      <c r="Q37" s="16">
        <f t="shared" si="55"/>
        <v>2.8298611111111111E-2</v>
      </c>
      <c r="R37" s="28">
        <v>0.89400000000000002</v>
      </c>
      <c r="S37" s="23">
        <v>720</v>
      </c>
      <c r="T37" s="28">
        <v>15.3</v>
      </c>
      <c r="U37" s="16">
        <f t="shared" si="56"/>
        <v>2.6562500000000003E-2</v>
      </c>
      <c r="V37" s="1">
        <v>0.90600000000000003</v>
      </c>
      <c r="Z37" s="1">
        <v>7</v>
      </c>
      <c r="AA37" s="23">
        <v>1230</v>
      </c>
      <c r="AB37" s="17">
        <v>25.1</v>
      </c>
      <c r="AC37" s="16">
        <f t="shared" si="57"/>
        <v>4.3576388888888894E-2</v>
      </c>
      <c r="AD37" s="28">
        <v>0.80300000000000005</v>
      </c>
      <c r="AE37" s="17">
        <v>1070</v>
      </c>
      <c r="AF37" s="17">
        <v>19.7</v>
      </c>
      <c r="AG37" s="16">
        <f t="shared" si="58"/>
        <v>3.4201388888888885E-2</v>
      </c>
      <c r="AH37" s="28">
        <v>0.85499999999999998</v>
      </c>
      <c r="AI37" s="23">
        <v>945</v>
      </c>
      <c r="AJ37" s="28">
        <v>19.8</v>
      </c>
      <c r="AK37" s="16">
        <f t="shared" si="59"/>
        <v>3.4375000000000003E-2</v>
      </c>
      <c r="AL37" s="28">
        <v>0.84899999999999998</v>
      </c>
      <c r="AM37" s="23">
        <v>820</v>
      </c>
      <c r="AN37" s="28">
        <v>17.7</v>
      </c>
      <c r="AO37" s="16">
        <f t="shared" si="60"/>
        <v>3.0729166666666665E-2</v>
      </c>
      <c r="AP37" s="28">
        <v>0.88400000000000001</v>
      </c>
      <c r="AQ37" s="23">
        <v>720</v>
      </c>
      <c r="AR37" s="28">
        <v>15.6</v>
      </c>
      <c r="AS37" s="16">
        <f t="shared" si="61"/>
        <v>2.7083333333333334E-2</v>
      </c>
      <c r="AT37" s="28">
        <v>0.90900000000000003</v>
      </c>
    </row>
    <row r="38" spans="1:46" ht="15.75" customHeight="1" x14ac:dyDescent="0.2">
      <c r="C38" s="23"/>
      <c r="D38" s="17"/>
      <c r="G38" s="17"/>
      <c r="H38" s="17"/>
      <c r="K38" s="23"/>
      <c r="O38" s="23"/>
      <c r="S38" s="23"/>
      <c r="AA38" s="23"/>
      <c r="AB38" s="17"/>
      <c r="AE38" s="17"/>
      <c r="AF38" s="17"/>
      <c r="AI38" s="23"/>
      <c r="AM38" s="23"/>
      <c r="AQ38" s="23"/>
    </row>
    <row r="39" spans="1:46" ht="15.75" customHeight="1" x14ac:dyDescent="0.2">
      <c r="B39" s="1" t="s">
        <v>11</v>
      </c>
      <c r="C39" s="23"/>
      <c r="D39" s="7">
        <f>SUMPRODUCT(C30:C37,D30:D37)/SUM(C30:C37)</f>
        <v>25.012757044935263</v>
      </c>
      <c r="E39" s="20">
        <f>SUMPRODUCT(C30:C37,E30:E37)/SUM(C30:C37)</f>
        <v>4.3424925425234823E-2</v>
      </c>
      <c r="F39" s="20">
        <f>SUMPRODUCT(C30:C37,F30:F37)/SUM(C30:C37)</f>
        <v>0.93873381568926118</v>
      </c>
      <c r="G39" s="17"/>
      <c r="H39" s="7">
        <f>SUMPRODUCT(G30:G37,H30:H37)/SUM(G30:G37)</f>
        <v>22.305741216795202</v>
      </c>
      <c r="I39" s="20">
        <f>SUMPRODUCT(G30:G37,I30:I37)/SUM(G30:G37)</f>
        <v>3.872524516804722E-2</v>
      </c>
      <c r="J39" s="20">
        <f>SUMPRODUCT(G30:G37,J30:J37)/SUM(G30:G37)</f>
        <v>0.95086760925449876</v>
      </c>
      <c r="K39" s="23"/>
      <c r="L39" s="7">
        <f>SUMPRODUCT(K30:K37,L30:L37)/SUM(K30:K37)</f>
        <v>21.016993143976492</v>
      </c>
      <c r="M39" s="20">
        <f>SUMPRODUCT(K30:K37,M30:M37)/SUM(K30:K37)</f>
        <v>3.6487835319403639E-2</v>
      </c>
      <c r="N39" s="20">
        <f>SUMPRODUCT(K30:K37,N30:N37)/SUM(K30:K37)</f>
        <v>0.95294417238001949</v>
      </c>
      <c r="O39" s="23"/>
      <c r="P39" s="7">
        <f>SUMPRODUCT(O30:O37,P30:P37)/SUM(O30:O37)</f>
        <v>20.653398058252428</v>
      </c>
      <c r="Q39" s="20">
        <f>SUMPRODUCT(O30:O37,Q30:Q37)/SUM(O30:O37)</f>
        <v>3.5856593851132684E-2</v>
      </c>
      <c r="R39" s="20">
        <f>SUMPRODUCT(O30:O37,R30:R37)/SUM(O30:O37)</f>
        <v>0.95796516276413479</v>
      </c>
      <c r="S39" s="23"/>
      <c r="T39" s="7">
        <f>SUMPRODUCT(S30:S37,T30:T37)/SUM(S30:S37)</f>
        <v>20.419122686771761</v>
      </c>
      <c r="U39" s="20">
        <f>SUMPRODUCT(S30:S37,U30:U37)/SUM(S30:S37)</f>
        <v>3.5449865775645427E-2</v>
      </c>
      <c r="V39" s="20">
        <f>SUMPRODUCT(S30:S37,V30:V37)/SUM(S30:S37)</f>
        <v>0.95921247429746404</v>
      </c>
      <c r="Z39" s="1" t="s">
        <v>11</v>
      </c>
      <c r="AA39" s="23"/>
      <c r="AB39" s="7">
        <f>SUMPRODUCT(AA30:AA37,AB30:AB37)/SUM(AA30:AA37)</f>
        <v>29.378598629093677</v>
      </c>
      <c r="AC39" s="20">
        <f>SUMPRODUCT(AA30:AA37,AC30:AC37)/SUM(AA30:AA37)</f>
        <v>5.1004511508843192E-2</v>
      </c>
      <c r="AD39" s="20">
        <f>SUMPRODUCT(AA30:AA37,AD30:AD37)/SUM(AA30:AA37)</f>
        <v>0.92570525514089885</v>
      </c>
      <c r="AE39" s="17"/>
      <c r="AF39" s="7">
        <f>SUMPRODUCT(AE30:AE37,AF30:AF37)/SUM(AE30:AE37)</f>
        <v>25.157455012853472</v>
      </c>
      <c r="AG39" s="20">
        <f>SUMPRODUCT(AE30:AE37,AG30:AG37)/SUM(AE30:AE37)</f>
        <v>4.3676137175092826E-2</v>
      </c>
      <c r="AH39" s="20">
        <f>SUMPRODUCT(AE30:AE37,AH30:AH37)/SUM(AE30:AE37)</f>
        <v>0.94304284490145684</v>
      </c>
      <c r="AI39" s="23"/>
      <c r="AJ39" s="7">
        <f>SUMPRODUCT(AI30:AI37,AJ30:AJ37)/SUM(AI30:AI37)</f>
        <v>22.855484818805092</v>
      </c>
      <c r="AK39" s="20">
        <f>SUMPRODUCT(AI30:AI37,AK30:AK37)/SUM(AI30:AI37)</f>
        <v>3.9679661143758843E-2</v>
      </c>
      <c r="AL39" s="20">
        <f>SUMPRODUCT(AI30:AI37,AL30:AL37)/SUM(AI30:AI37)</f>
        <v>0.94985259549461321</v>
      </c>
      <c r="AM39" s="23"/>
      <c r="AN39" s="7">
        <f>SUMPRODUCT(AM30:AM37,AN30:AN37)/SUM(AM30:AM37)</f>
        <v>22.406681896059396</v>
      </c>
      <c r="AO39" s="20">
        <f>SUMPRODUCT(AM30:AM37,AO30:AO37)/SUM(AM30:AM37)</f>
        <v>3.8900489402880892E-2</v>
      </c>
      <c r="AP39" s="20">
        <f>SUMPRODUCT(AM30:AM37,AP30:AP37)/SUM(AM30:AM37)</f>
        <v>0.95425985151342096</v>
      </c>
      <c r="AQ39" s="23"/>
      <c r="AR39" s="7">
        <f>SUMPRODUCT(AQ30:AQ37,AR30:AR37)/SUM(AQ30:AQ37)</f>
        <v>22.17450308430432</v>
      </c>
      <c r="AS39" s="20">
        <f>SUMPRODUCT(AQ30:AQ37,AS30:AS37)/SUM(AQ30:AQ37)</f>
        <v>3.849740118802833E-2</v>
      </c>
      <c r="AT39" s="20">
        <f>SUMPRODUCT(AQ30:AQ37,AT30:AT37)/SUM(AQ30:AQ37)</f>
        <v>0.95659629883481823</v>
      </c>
    </row>
    <row r="40" spans="1:46" ht="15.75" customHeight="1" x14ac:dyDescent="0.2">
      <c r="E40" s="1"/>
      <c r="I40" s="1"/>
      <c r="M40" s="1"/>
      <c r="Q40" s="1"/>
      <c r="U40" s="1"/>
      <c r="AC40" s="1"/>
      <c r="AG40" s="1"/>
      <c r="AK40" s="1"/>
      <c r="AO40" s="1"/>
      <c r="AS40" s="1"/>
    </row>
    <row r="41" spans="1:46" ht="15.75" customHeight="1" x14ac:dyDescent="0.2">
      <c r="C41" s="1">
        <f>SUM(C30:C37)</f>
        <v>13130</v>
      </c>
      <c r="G41" s="1">
        <f>SUM(G30:G37)</f>
        <v>11670</v>
      </c>
      <c r="K41" s="1">
        <f>SUM(K30:K37)</f>
        <v>10210</v>
      </c>
      <c r="O41" s="1">
        <f>SUM(O30:O37)</f>
        <v>8755</v>
      </c>
      <c r="S41" s="1">
        <f>SUM(S30:S37)</f>
        <v>7295</v>
      </c>
      <c r="AA41" s="1">
        <f>SUM(AA30:AA37)</f>
        <v>13130</v>
      </c>
      <c r="AE41" s="1">
        <f>SUM(AE30:AE37)</f>
        <v>11670</v>
      </c>
      <c r="AI41" s="1">
        <f>SUM(AI30:AI37)</f>
        <v>10210</v>
      </c>
      <c r="AM41" s="1">
        <f>SUM(AM30:AM37)</f>
        <v>8755</v>
      </c>
      <c r="AQ41" s="1">
        <f>SUM(AQ30:AQ37)</f>
        <v>7295</v>
      </c>
    </row>
    <row r="42" spans="1:46" ht="15.75" customHeight="1" x14ac:dyDescent="0.2"/>
    <row r="43" spans="1:46" ht="15.75" customHeight="1" x14ac:dyDescent="0.2"/>
    <row r="44" spans="1:46" ht="15.75" customHeight="1" x14ac:dyDescent="0.2">
      <c r="A44" s="1" t="s">
        <v>24</v>
      </c>
      <c r="D44" s="134">
        <v>0.1</v>
      </c>
      <c r="E44" s="133"/>
      <c r="F44" s="133"/>
      <c r="G44" s="2"/>
      <c r="H44" s="134">
        <v>0.2</v>
      </c>
      <c r="I44" s="133"/>
      <c r="J44" s="133"/>
      <c r="K44" s="2"/>
      <c r="L44" s="134">
        <v>0.3</v>
      </c>
      <c r="M44" s="133"/>
      <c r="N44" s="133"/>
      <c r="O44" s="2"/>
      <c r="P44" s="134">
        <v>0.4</v>
      </c>
      <c r="Q44" s="133"/>
      <c r="R44" s="133"/>
      <c r="S44" s="2"/>
      <c r="T44" s="134">
        <v>0.5</v>
      </c>
      <c r="U44" s="133"/>
      <c r="V44" s="133"/>
      <c r="Y44" s="28" t="s">
        <v>24</v>
      </c>
      <c r="AB44" s="134">
        <v>0.1</v>
      </c>
      <c r="AC44" s="133"/>
      <c r="AD44" s="133"/>
      <c r="AE44" s="2"/>
      <c r="AF44" s="134">
        <v>0.2</v>
      </c>
      <c r="AG44" s="133"/>
      <c r="AH44" s="133"/>
      <c r="AI44" s="2"/>
      <c r="AJ44" s="134">
        <v>0.3</v>
      </c>
      <c r="AK44" s="133"/>
      <c r="AL44" s="133"/>
      <c r="AM44" s="2"/>
      <c r="AN44" s="134">
        <v>0.4</v>
      </c>
      <c r="AO44" s="133"/>
      <c r="AP44" s="133"/>
      <c r="AQ44" s="2"/>
      <c r="AR44" s="134">
        <v>0.5</v>
      </c>
      <c r="AS44" s="133"/>
      <c r="AT44" s="133"/>
    </row>
    <row r="45" spans="1:46" ht="15.75" customHeight="1" thickBot="1" x14ac:dyDescent="0.25">
      <c r="B45" s="13" t="s">
        <v>8</v>
      </c>
      <c r="C45" s="22" t="s">
        <v>22</v>
      </c>
      <c r="D45" s="14" t="s">
        <v>7</v>
      </c>
      <c r="E45" s="13" t="s">
        <v>9</v>
      </c>
      <c r="F45" s="13" t="s">
        <v>10</v>
      </c>
      <c r="G45" s="22" t="s">
        <v>22</v>
      </c>
      <c r="H45" s="14" t="s">
        <v>7</v>
      </c>
      <c r="I45" s="13" t="s">
        <v>9</v>
      </c>
      <c r="J45" s="13" t="s">
        <v>10</v>
      </c>
      <c r="K45" s="22" t="s">
        <v>22</v>
      </c>
      <c r="L45" s="13" t="s">
        <v>7</v>
      </c>
      <c r="M45" s="13" t="s">
        <v>9</v>
      </c>
      <c r="N45" s="13" t="s">
        <v>10</v>
      </c>
      <c r="O45" s="22" t="s">
        <v>22</v>
      </c>
      <c r="P45" s="13" t="s">
        <v>7</v>
      </c>
      <c r="Q45" s="13" t="s">
        <v>9</v>
      </c>
      <c r="R45" s="13" t="s">
        <v>10</v>
      </c>
      <c r="S45" s="22" t="s">
        <v>22</v>
      </c>
      <c r="T45" s="13" t="s">
        <v>7</v>
      </c>
      <c r="U45" s="13" t="s">
        <v>9</v>
      </c>
      <c r="V45" s="13" t="s">
        <v>10</v>
      </c>
      <c r="Z45" s="13" t="s">
        <v>8</v>
      </c>
      <c r="AA45" s="22" t="s">
        <v>22</v>
      </c>
      <c r="AB45" s="14" t="s">
        <v>7</v>
      </c>
      <c r="AC45" s="13" t="s">
        <v>9</v>
      </c>
      <c r="AD45" s="13" t="s">
        <v>10</v>
      </c>
      <c r="AE45" s="22" t="s">
        <v>22</v>
      </c>
      <c r="AF45" s="14" t="s">
        <v>7</v>
      </c>
      <c r="AG45" s="13" t="s">
        <v>9</v>
      </c>
      <c r="AH45" s="13" t="s">
        <v>10</v>
      </c>
      <c r="AI45" s="22" t="s">
        <v>22</v>
      </c>
      <c r="AJ45" s="13" t="s">
        <v>7</v>
      </c>
      <c r="AK45" s="13" t="s">
        <v>9</v>
      </c>
      <c r="AL45" s="13" t="s">
        <v>10</v>
      </c>
      <c r="AM45" s="22" t="s">
        <v>22</v>
      </c>
      <c r="AN45" s="13" t="s">
        <v>7</v>
      </c>
      <c r="AO45" s="13" t="s">
        <v>9</v>
      </c>
      <c r="AP45" s="13" t="s">
        <v>10</v>
      </c>
      <c r="AQ45" s="22" t="s">
        <v>22</v>
      </c>
      <c r="AR45" s="13" t="s">
        <v>7</v>
      </c>
      <c r="AS45" s="13" t="s">
        <v>9</v>
      </c>
      <c r="AT45" s="13" t="s">
        <v>10</v>
      </c>
    </row>
    <row r="46" spans="1:46" ht="15.75" customHeight="1" x14ac:dyDescent="0.2">
      <c r="B46" s="1">
        <v>0</v>
      </c>
      <c r="C46" s="23">
        <v>1990</v>
      </c>
      <c r="D46" s="17">
        <v>27.1</v>
      </c>
      <c r="E46" s="16">
        <f t="shared" ref="E46:E53" si="62">D46/$A$5</f>
        <v>4.704861111111111E-2</v>
      </c>
      <c r="F46" s="28">
        <v>0.96099999999999997</v>
      </c>
      <c r="G46" s="17">
        <v>1775</v>
      </c>
      <c r="H46" s="17">
        <v>25.1</v>
      </c>
      <c r="I46" s="16">
        <f t="shared" ref="I46:I53" si="63">H46/$A$5</f>
        <v>4.3576388888888894E-2</v>
      </c>
      <c r="J46" s="28">
        <v>0.96499999999999997</v>
      </c>
      <c r="K46" s="23">
        <v>1565</v>
      </c>
      <c r="L46" s="28">
        <v>23.8</v>
      </c>
      <c r="M46" s="16">
        <f t="shared" ref="M46:M53" si="64">L46/$A$5</f>
        <v>4.1319444444444443E-2</v>
      </c>
      <c r="N46" s="28">
        <v>0.96699999999999997</v>
      </c>
      <c r="O46" s="23">
        <v>1325</v>
      </c>
      <c r="P46" s="28">
        <v>24.6</v>
      </c>
      <c r="Q46" s="16">
        <f t="shared" ref="Q46:Q53" si="65">P46/$A$5</f>
        <v>4.2708333333333334E-2</v>
      </c>
      <c r="R46" s="28">
        <v>0.96499999999999997</v>
      </c>
      <c r="S46" s="23">
        <v>1090</v>
      </c>
      <c r="T46" s="28">
        <v>23.9</v>
      </c>
      <c r="U46" s="16">
        <f t="shared" ref="U46:U53" si="66">T46/$A$5</f>
        <v>4.1493055555555554E-2</v>
      </c>
      <c r="V46" s="28">
        <v>0.96499999999999997</v>
      </c>
      <c r="Z46" s="1">
        <v>0</v>
      </c>
      <c r="AA46" s="23">
        <v>1990</v>
      </c>
      <c r="AB46" s="17">
        <v>32.1</v>
      </c>
      <c r="AC46" s="16">
        <f t="shared" ref="AC46:AC53" si="67">AB46/$A$5</f>
        <v>5.572916666666667E-2</v>
      </c>
      <c r="AD46" s="28">
        <v>0.94799999999999995</v>
      </c>
      <c r="AE46" s="17">
        <v>1775</v>
      </c>
      <c r="AF46" s="17">
        <v>27.9</v>
      </c>
      <c r="AG46" s="16">
        <f t="shared" ref="AG46:AG53" si="68">AF46/$A$5</f>
        <v>4.8437499999999994E-2</v>
      </c>
      <c r="AH46" s="28">
        <v>0.95899999999999996</v>
      </c>
      <c r="AI46" s="23">
        <v>1565</v>
      </c>
      <c r="AJ46" s="28">
        <v>26.2</v>
      </c>
      <c r="AK46" s="16">
        <f t="shared" ref="AK46:AK53" si="69">AJ46/$A$5</f>
        <v>4.5486111111111109E-2</v>
      </c>
      <c r="AL46" s="28">
        <v>0.96199999999999997</v>
      </c>
      <c r="AM46" s="23">
        <v>1325</v>
      </c>
      <c r="AN46" s="28">
        <v>27.1</v>
      </c>
      <c r="AO46" s="16">
        <f t="shared" ref="AO46:AO53" si="70">AN46/$A$5</f>
        <v>4.704861111111111E-2</v>
      </c>
      <c r="AP46" s="28">
        <v>0.95899999999999996</v>
      </c>
      <c r="AQ46" s="23">
        <v>1090</v>
      </c>
      <c r="AR46" s="28">
        <v>26.6</v>
      </c>
      <c r="AS46" s="16">
        <f t="shared" ref="AS46:AS53" si="71">AR46/$A$5</f>
        <v>4.6180555555555558E-2</v>
      </c>
      <c r="AT46" s="28">
        <v>0.95899999999999996</v>
      </c>
    </row>
    <row r="47" spans="1:46" ht="15.75" customHeight="1" x14ac:dyDescent="0.2">
      <c r="B47" s="1">
        <v>1</v>
      </c>
      <c r="C47" s="23">
        <v>2635</v>
      </c>
      <c r="D47" s="17">
        <v>19.7</v>
      </c>
      <c r="E47" s="16">
        <f t="shared" si="62"/>
        <v>3.4201388888888885E-2</v>
      </c>
      <c r="F47" s="28">
        <v>0.97699999999999998</v>
      </c>
      <c r="G47" s="17">
        <v>2335</v>
      </c>
      <c r="H47" s="17">
        <v>18.2</v>
      </c>
      <c r="I47" s="16">
        <f t="shared" si="63"/>
        <v>3.1597222222222221E-2</v>
      </c>
      <c r="J47" s="28">
        <v>0.97899999999999998</v>
      </c>
      <c r="K47" s="23">
        <v>2030</v>
      </c>
      <c r="L47" s="28">
        <v>19.899999999999999</v>
      </c>
      <c r="M47" s="16">
        <f t="shared" si="64"/>
        <v>3.4548611111111106E-2</v>
      </c>
      <c r="N47" s="28">
        <v>0.97499999999999998</v>
      </c>
      <c r="O47" s="23">
        <v>1705</v>
      </c>
      <c r="P47" s="28">
        <v>19.600000000000001</v>
      </c>
      <c r="Q47" s="16">
        <f t="shared" si="65"/>
        <v>3.4027777777777782E-2</v>
      </c>
      <c r="R47" s="28">
        <v>0.97599999999999998</v>
      </c>
      <c r="S47" s="23">
        <v>1490</v>
      </c>
      <c r="T47" s="28">
        <v>17.899999999999999</v>
      </c>
      <c r="U47" s="16">
        <f t="shared" si="66"/>
        <v>3.1076388888888886E-2</v>
      </c>
      <c r="V47" s="28">
        <v>0.97899999999999998</v>
      </c>
      <c r="Z47" s="1">
        <v>1</v>
      </c>
      <c r="AA47" s="23">
        <v>2635</v>
      </c>
      <c r="AB47" s="17">
        <v>23.5</v>
      </c>
      <c r="AC47" s="16">
        <f t="shared" si="67"/>
        <v>4.0798611111111112E-2</v>
      </c>
      <c r="AD47" s="28">
        <v>0.97099999999999997</v>
      </c>
      <c r="AE47" s="17">
        <v>2335</v>
      </c>
      <c r="AF47" s="17">
        <v>20.6</v>
      </c>
      <c r="AG47" s="16">
        <f t="shared" si="68"/>
        <v>3.5763888888888894E-2</v>
      </c>
      <c r="AH47" s="28">
        <v>0.97499999999999998</v>
      </c>
      <c r="AI47" s="23">
        <v>2030</v>
      </c>
      <c r="AJ47" s="28">
        <v>20.9</v>
      </c>
      <c r="AK47" s="16">
        <f t="shared" si="69"/>
        <v>3.6284722222222218E-2</v>
      </c>
      <c r="AL47" s="28">
        <v>0.97299999999999998</v>
      </c>
      <c r="AM47" s="23">
        <v>1705</v>
      </c>
      <c r="AN47" s="28">
        <v>20.399999999999999</v>
      </c>
      <c r="AO47" s="16">
        <f t="shared" si="70"/>
        <v>3.5416666666666666E-2</v>
      </c>
      <c r="AP47" s="28">
        <v>0.97499999999999998</v>
      </c>
      <c r="AQ47" s="23">
        <v>1490</v>
      </c>
      <c r="AR47" s="28">
        <v>19.3</v>
      </c>
      <c r="AS47" s="16">
        <f t="shared" si="71"/>
        <v>3.3506944444444443E-2</v>
      </c>
      <c r="AT47" s="28">
        <v>0.97799999999999998</v>
      </c>
    </row>
    <row r="48" spans="1:46" ht="15.75" customHeight="1" x14ac:dyDescent="0.2">
      <c r="B48" s="1">
        <v>2</v>
      </c>
      <c r="C48" s="23">
        <v>1560</v>
      </c>
      <c r="D48" s="17">
        <v>14.8</v>
      </c>
      <c r="E48" s="16">
        <f t="shared" si="62"/>
        <v>2.5694444444444447E-2</v>
      </c>
      <c r="F48" s="28">
        <v>0.63700000000000001</v>
      </c>
      <c r="G48" s="17">
        <v>1395</v>
      </c>
      <c r="H48" s="17">
        <v>12.7</v>
      </c>
      <c r="I48" s="16">
        <f t="shared" si="63"/>
        <v>2.2048611111111109E-2</v>
      </c>
      <c r="J48" s="28">
        <v>0.80500000000000005</v>
      </c>
      <c r="K48" s="23">
        <v>1220</v>
      </c>
      <c r="L48" s="28">
        <v>13.4</v>
      </c>
      <c r="M48" s="16">
        <f t="shared" si="64"/>
        <v>2.326388888888889E-2</v>
      </c>
      <c r="N48" s="28">
        <v>0.80200000000000005</v>
      </c>
      <c r="O48" s="23">
        <v>1050</v>
      </c>
      <c r="P48" s="28">
        <v>11.5</v>
      </c>
      <c r="Q48" s="16">
        <f t="shared" si="65"/>
        <v>1.9965277777777776E-2</v>
      </c>
      <c r="R48" s="28">
        <v>0.82499999999999996</v>
      </c>
      <c r="S48" s="23">
        <v>870</v>
      </c>
      <c r="T48" s="28">
        <v>10.7</v>
      </c>
      <c r="U48" s="16">
        <f t="shared" si="66"/>
        <v>1.8576388888888889E-2</v>
      </c>
      <c r="V48" s="28">
        <v>0.85099999999999998</v>
      </c>
      <c r="Z48" s="1">
        <v>2</v>
      </c>
      <c r="AA48" s="23">
        <v>1560</v>
      </c>
      <c r="AB48" s="17">
        <v>23.3</v>
      </c>
      <c r="AC48" s="16">
        <f t="shared" si="67"/>
        <v>4.0451388888888891E-2</v>
      </c>
      <c r="AD48" s="28">
        <v>0.45</v>
      </c>
      <c r="AE48" s="17">
        <v>1395</v>
      </c>
      <c r="AF48" s="17">
        <v>14.1</v>
      </c>
      <c r="AG48" s="16">
        <f t="shared" si="68"/>
        <v>2.4479166666666666E-2</v>
      </c>
      <c r="AH48" s="28">
        <v>0.76800000000000002</v>
      </c>
      <c r="AI48" s="23">
        <v>1220</v>
      </c>
      <c r="AJ48" s="28">
        <v>14.1</v>
      </c>
      <c r="AK48" s="16">
        <f t="shared" si="69"/>
        <v>2.4479166666666666E-2</v>
      </c>
      <c r="AL48" s="28">
        <v>0.76800000000000002</v>
      </c>
      <c r="AM48" s="23">
        <v>1050</v>
      </c>
      <c r="AN48" s="28">
        <v>11.7</v>
      </c>
      <c r="AO48" s="16">
        <f t="shared" si="70"/>
        <v>2.0312499999999997E-2</v>
      </c>
      <c r="AP48" s="28">
        <v>0.83899999999999997</v>
      </c>
      <c r="AQ48" s="23">
        <v>870</v>
      </c>
      <c r="AR48" s="28">
        <v>11.1</v>
      </c>
      <c r="AS48" s="16">
        <f t="shared" si="71"/>
        <v>1.9270833333333334E-2</v>
      </c>
      <c r="AT48" s="28">
        <v>0.85099999999999998</v>
      </c>
    </row>
    <row r="49" spans="1:46" ht="15.75" customHeight="1" x14ac:dyDescent="0.2">
      <c r="B49" s="1">
        <v>3</v>
      </c>
      <c r="C49" s="23">
        <v>1790</v>
      </c>
      <c r="D49" s="17">
        <v>24.1</v>
      </c>
      <c r="E49" s="16">
        <f t="shared" si="62"/>
        <v>4.1840277777777782E-2</v>
      </c>
      <c r="F49" s="28">
        <v>0.96799999999999997</v>
      </c>
      <c r="G49" s="17">
        <v>1580</v>
      </c>
      <c r="H49" s="17">
        <v>23.4</v>
      </c>
      <c r="I49" s="16">
        <f t="shared" si="63"/>
        <v>4.0624999999999994E-2</v>
      </c>
      <c r="J49" s="28">
        <v>0.96899999999999997</v>
      </c>
      <c r="K49" s="23">
        <v>1415</v>
      </c>
      <c r="L49" s="28">
        <v>21</v>
      </c>
      <c r="M49" s="16">
        <f t="shared" si="64"/>
        <v>3.6458333333333336E-2</v>
      </c>
      <c r="N49" s="28">
        <v>0.97399999999999998</v>
      </c>
      <c r="O49" s="23">
        <v>1245</v>
      </c>
      <c r="P49" s="28">
        <v>20.100000000000001</v>
      </c>
      <c r="Q49" s="16">
        <f t="shared" si="65"/>
        <v>3.4895833333333334E-2</v>
      </c>
      <c r="R49" s="28">
        <v>0.97699999999999998</v>
      </c>
      <c r="S49" s="23">
        <v>1045</v>
      </c>
      <c r="T49" s="28">
        <v>22.3</v>
      </c>
      <c r="U49" s="16">
        <f t="shared" si="66"/>
        <v>3.8715277777777779E-2</v>
      </c>
      <c r="V49" s="28">
        <v>0.97199999999999998</v>
      </c>
      <c r="Z49" s="1">
        <v>3</v>
      </c>
      <c r="AA49" s="23">
        <v>1790</v>
      </c>
      <c r="AB49" s="17">
        <v>27.2</v>
      </c>
      <c r="AC49" s="16">
        <f t="shared" si="67"/>
        <v>4.7222222222222221E-2</v>
      </c>
      <c r="AD49" s="28">
        <v>0.96299999999999997</v>
      </c>
      <c r="AE49" s="17">
        <v>1580</v>
      </c>
      <c r="AF49" s="17">
        <v>26.1</v>
      </c>
      <c r="AG49" s="16">
        <f t="shared" si="68"/>
        <v>4.5312500000000006E-2</v>
      </c>
      <c r="AH49" s="28">
        <v>0.96499999999999997</v>
      </c>
      <c r="AI49" s="23">
        <v>1415</v>
      </c>
      <c r="AJ49" s="28">
        <v>24.8</v>
      </c>
      <c r="AK49" s="16">
        <f t="shared" si="69"/>
        <v>4.3055555555555555E-2</v>
      </c>
      <c r="AL49" s="28">
        <v>0.96899999999999997</v>
      </c>
      <c r="AM49" s="23">
        <v>1245</v>
      </c>
      <c r="AN49" s="28">
        <v>22.5</v>
      </c>
      <c r="AO49" s="16">
        <f t="shared" si="70"/>
        <v>3.90625E-2</v>
      </c>
      <c r="AP49" s="28">
        <v>0.97399999999999998</v>
      </c>
      <c r="AQ49" s="23">
        <v>1045</v>
      </c>
      <c r="AR49" s="28">
        <v>24.9</v>
      </c>
      <c r="AS49" s="16">
        <f t="shared" si="71"/>
        <v>4.3229166666666666E-2</v>
      </c>
      <c r="AT49" s="28">
        <v>0.96699999999999997</v>
      </c>
    </row>
    <row r="50" spans="1:46" ht="15.75" customHeight="1" x14ac:dyDescent="0.2">
      <c r="B50" s="1">
        <v>4</v>
      </c>
      <c r="C50" s="23">
        <v>600</v>
      </c>
      <c r="D50" s="17">
        <v>82.4</v>
      </c>
      <c r="E50" s="16">
        <f t="shared" si="62"/>
        <v>0.14305555555555557</v>
      </c>
      <c r="F50" s="28">
        <v>0.67900000000000005</v>
      </c>
      <c r="G50" s="17">
        <v>520</v>
      </c>
      <c r="H50" s="17">
        <v>29.2</v>
      </c>
      <c r="I50" s="16">
        <f t="shared" si="63"/>
        <v>5.0694444444444445E-2</v>
      </c>
      <c r="J50" s="28">
        <v>0.95499999999999996</v>
      </c>
      <c r="K50" s="23">
        <v>430</v>
      </c>
      <c r="L50" s="28">
        <v>29.8</v>
      </c>
      <c r="M50" s="16">
        <f t="shared" si="64"/>
        <v>5.1736111111111115E-2</v>
      </c>
      <c r="N50" s="28">
        <v>0.94599999999999995</v>
      </c>
      <c r="O50" s="23">
        <v>375</v>
      </c>
      <c r="P50" s="28">
        <v>25.7</v>
      </c>
      <c r="Q50" s="16">
        <f t="shared" si="65"/>
        <v>4.4618055555555557E-2</v>
      </c>
      <c r="R50" s="28">
        <v>0.95899999999999996</v>
      </c>
      <c r="S50" s="23">
        <v>315</v>
      </c>
      <c r="T50" s="28">
        <v>26.2</v>
      </c>
      <c r="U50" s="16">
        <f t="shared" si="66"/>
        <v>4.5486111111111109E-2</v>
      </c>
      <c r="V50" s="28">
        <v>0.95599999999999996</v>
      </c>
      <c r="Z50" s="1">
        <v>4</v>
      </c>
      <c r="AA50" s="23">
        <v>600</v>
      </c>
      <c r="AB50" s="17">
        <v>86</v>
      </c>
      <c r="AC50" s="16">
        <f t="shared" si="67"/>
        <v>0.14930555555555555</v>
      </c>
      <c r="AD50" s="28">
        <v>0.69699999999999995</v>
      </c>
      <c r="AE50" s="17">
        <v>520</v>
      </c>
      <c r="AF50" s="17">
        <v>36</v>
      </c>
      <c r="AG50" s="16">
        <f t="shared" si="68"/>
        <v>6.25E-2</v>
      </c>
      <c r="AH50" s="28">
        <v>0.94099999999999995</v>
      </c>
      <c r="AI50" s="23">
        <v>430</v>
      </c>
      <c r="AJ50" s="28">
        <v>33.200000000000003</v>
      </c>
      <c r="AK50" s="16">
        <f t="shared" si="69"/>
        <v>5.7638888888888892E-2</v>
      </c>
      <c r="AL50" s="28">
        <v>0.93899999999999995</v>
      </c>
      <c r="AM50" s="23">
        <v>375</v>
      </c>
      <c r="AN50" s="28">
        <v>28.8</v>
      </c>
      <c r="AO50" s="16">
        <f t="shared" si="70"/>
        <v>0.05</v>
      </c>
      <c r="AP50" s="28">
        <v>0.95299999999999996</v>
      </c>
      <c r="AQ50" s="23">
        <v>315</v>
      </c>
      <c r="AR50" s="28">
        <v>29.1</v>
      </c>
      <c r="AS50" s="16">
        <f t="shared" si="71"/>
        <v>5.0520833333333334E-2</v>
      </c>
      <c r="AT50" s="28">
        <v>0.94899999999999995</v>
      </c>
    </row>
    <row r="51" spans="1:46" ht="15.75" customHeight="1" x14ac:dyDescent="0.2">
      <c r="B51" s="1">
        <v>5</v>
      </c>
      <c r="C51" s="23">
        <v>1970</v>
      </c>
      <c r="D51" s="17">
        <v>24.3</v>
      </c>
      <c r="E51" s="16">
        <f t="shared" si="62"/>
        <v>4.2187500000000003E-2</v>
      </c>
      <c r="F51" s="28">
        <v>0.96</v>
      </c>
      <c r="G51" s="17">
        <v>1780</v>
      </c>
      <c r="H51" s="17">
        <v>22.9</v>
      </c>
      <c r="I51" s="16">
        <f t="shared" si="63"/>
        <v>3.9756944444444442E-2</v>
      </c>
      <c r="J51" s="28">
        <v>0.96299999999999997</v>
      </c>
      <c r="K51" s="23">
        <v>1520</v>
      </c>
      <c r="L51" s="28">
        <v>22.7</v>
      </c>
      <c r="M51" s="16">
        <f t="shared" si="64"/>
        <v>3.9409722222222221E-2</v>
      </c>
      <c r="N51" s="28">
        <v>0.96299999999999997</v>
      </c>
      <c r="O51" s="23">
        <v>1295</v>
      </c>
      <c r="P51" s="28">
        <v>22.5</v>
      </c>
      <c r="Q51" s="16">
        <f t="shared" si="65"/>
        <v>3.90625E-2</v>
      </c>
      <c r="R51" s="28">
        <v>0.96499999999999997</v>
      </c>
      <c r="S51" s="23">
        <v>1085</v>
      </c>
      <c r="T51" s="28">
        <v>22.8</v>
      </c>
      <c r="U51" s="16">
        <f t="shared" si="66"/>
        <v>3.9583333333333331E-2</v>
      </c>
      <c r="V51" s="28">
        <v>0.96399999999999997</v>
      </c>
      <c r="Z51" s="1">
        <v>5</v>
      </c>
      <c r="AA51" s="23">
        <v>1970</v>
      </c>
      <c r="AB51" s="17">
        <v>28.3</v>
      </c>
      <c r="AC51" s="16">
        <f t="shared" si="67"/>
        <v>4.9131944444444443E-2</v>
      </c>
      <c r="AD51" s="28">
        <v>0.95</v>
      </c>
      <c r="AE51" s="17">
        <v>1780</v>
      </c>
      <c r="AF51" s="17">
        <v>25.6</v>
      </c>
      <c r="AG51" s="16">
        <f t="shared" si="68"/>
        <v>4.4444444444444446E-2</v>
      </c>
      <c r="AH51" s="28">
        <v>0.95599999999999996</v>
      </c>
      <c r="AI51" s="23">
        <v>1520</v>
      </c>
      <c r="AJ51" s="28">
        <v>25</v>
      </c>
      <c r="AK51" s="16">
        <f t="shared" si="69"/>
        <v>4.3402777777777776E-2</v>
      </c>
      <c r="AL51" s="28">
        <v>0.95699999999999996</v>
      </c>
      <c r="AM51" s="23">
        <v>1295</v>
      </c>
      <c r="AN51" s="28">
        <v>26.5</v>
      </c>
      <c r="AO51" s="16">
        <f t="shared" si="70"/>
        <v>4.6006944444444448E-2</v>
      </c>
      <c r="AP51" s="28">
        <v>0.95399999999999996</v>
      </c>
      <c r="AQ51" s="23">
        <v>1085</v>
      </c>
      <c r="AR51" s="28">
        <v>25.2</v>
      </c>
      <c r="AS51" s="16">
        <f t="shared" si="71"/>
        <v>4.3749999999999997E-2</v>
      </c>
      <c r="AT51" s="28">
        <v>0.95799999999999996</v>
      </c>
    </row>
    <row r="52" spans="1:46" ht="15.75" customHeight="1" x14ac:dyDescent="0.2">
      <c r="B52" s="1">
        <v>6</v>
      </c>
      <c r="C52" s="23">
        <v>1085</v>
      </c>
      <c r="D52" s="17">
        <v>32.299999999999997</v>
      </c>
      <c r="E52" s="16">
        <f t="shared" si="62"/>
        <v>5.6076388888888884E-2</v>
      </c>
      <c r="F52" s="28">
        <v>0.92600000000000005</v>
      </c>
      <c r="G52" s="17">
        <v>950</v>
      </c>
      <c r="H52" s="17">
        <v>21.8</v>
      </c>
      <c r="I52" s="16">
        <f t="shared" si="63"/>
        <v>3.7847222222222227E-2</v>
      </c>
      <c r="J52" s="28">
        <v>0.95799999999999996</v>
      </c>
      <c r="K52" s="23">
        <v>845</v>
      </c>
      <c r="L52" s="28">
        <v>21</v>
      </c>
      <c r="M52" s="16">
        <f t="shared" si="64"/>
        <v>3.6458333333333336E-2</v>
      </c>
      <c r="N52" s="28">
        <v>0.96299999999999997</v>
      </c>
      <c r="O52" s="23">
        <v>725</v>
      </c>
      <c r="P52" s="28">
        <v>20.6</v>
      </c>
      <c r="Q52" s="16">
        <f t="shared" si="65"/>
        <v>3.5763888888888894E-2</v>
      </c>
      <c r="R52" s="28">
        <v>0.96099999999999997</v>
      </c>
      <c r="S52" s="23">
        <v>595</v>
      </c>
      <c r="T52" s="28">
        <v>19.8</v>
      </c>
      <c r="U52" s="16">
        <f t="shared" si="66"/>
        <v>3.4375000000000003E-2</v>
      </c>
      <c r="V52" s="28">
        <v>0.96399999999999997</v>
      </c>
      <c r="Z52" s="1">
        <v>6</v>
      </c>
      <c r="AA52" s="23">
        <v>1085</v>
      </c>
      <c r="AB52" s="17">
        <v>42.3</v>
      </c>
      <c r="AC52" s="16">
        <f t="shared" si="67"/>
        <v>7.3437499999999989E-2</v>
      </c>
      <c r="AD52" s="28">
        <v>0.879</v>
      </c>
      <c r="AE52" s="17">
        <v>950</v>
      </c>
      <c r="AF52" s="17">
        <v>24.8</v>
      </c>
      <c r="AG52" s="16">
        <f t="shared" si="68"/>
        <v>4.3055555555555555E-2</v>
      </c>
      <c r="AH52" s="28">
        <v>0.95099999999999996</v>
      </c>
      <c r="AI52" s="23">
        <v>845</v>
      </c>
      <c r="AJ52" s="28">
        <v>24.4</v>
      </c>
      <c r="AK52" s="16">
        <f t="shared" si="69"/>
        <v>4.2361111111111106E-2</v>
      </c>
      <c r="AL52" s="28">
        <v>0.95399999999999996</v>
      </c>
      <c r="AM52" s="23">
        <v>725</v>
      </c>
      <c r="AN52" s="28">
        <v>22.9</v>
      </c>
      <c r="AO52" s="16">
        <f t="shared" si="70"/>
        <v>3.9756944444444442E-2</v>
      </c>
      <c r="AP52" s="28">
        <v>0.95599999999999996</v>
      </c>
      <c r="AQ52" s="23">
        <v>595</v>
      </c>
      <c r="AR52" s="28">
        <v>21.5</v>
      </c>
      <c r="AS52" s="16">
        <f t="shared" si="71"/>
        <v>3.7326388888888888E-2</v>
      </c>
      <c r="AT52" s="28">
        <v>0.96099999999999997</v>
      </c>
    </row>
    <row r="53" spans="1:46" ht="15.75" customHeight="1" x14ac:dyDescent="0.2">
      <c r="B53" s="1">
        <v>7</v>
      </c>
      <c r="C53" s="23">
        <v>1500</v>
      </c>
      <c r="D53" s="17">
        <v>21.9</v>
      </c>
      <c r="E53" s="16">
        <f t="shared" si="62"/>
        <v>3.802083333333333E-2</v>
      </c>
      <c r="F53" s="28">
        <v>0.91500000000000004</v>
      </c>
      <c r="G53" s="17">
        <v>1335</v>
      </c>
      <c r="H53" s="17">
        <v>20.6</v>
      </c>
      <c r="I53" s="16">
        <f t="shared" si="63"/>
        <v>3.5763888888888894E-2</v>
      </c>
      <c r="J53" s="28">
        <v>0.93100000000000005</v>
      </c>
      <c r="K53" s="23">
        <v>1185</v>
      </c>
      <c r="L53" s="28">
        <v>18.899999999999999</v>
      </c>
      <c r="M53" s="16">
        <f t="shared" si="64"/>
        <v>3.2812499999999994E-2</v>
      </c>
      <c r="N53" s="28">
        <v>0.94299999999999995</v>
      </c>
      <c r="O53" s="23">
        <v>1035</v>
      </c>
      <c r="P53" s="28">
        <v>17.100000000000001</v>
      </c>
      <c r="Q53" s="16">
        <f t="shared" si="65"/>
        <v>2.9687500000000002E-2</v>
      </c>
      <c r="R53" s="28">
        <v>0.94899999999999995</v>
      </c>
      <c r="S53" s="23">
        <v>805</v>
      </c>
      <c r="T53" s="28">
        <v>18</v>
      </c>
      <c r="U53" s="16">
        <f t="shared" si="66"/>
        <v>3.125E-2</v>
      </c>
      <c r="V53" s="28">
        <v>0.94299999999999995</v>
      </c>
      <c r="Z53" s="1">
        <v>7</v>
      </c>
      <c r="AA53" s="23">
        <v>1500</v>
      </c>
      <c r="AB53" s="17">
        <v>24.2</v>
      </c>
      <c r="AC53" s="16">
        <f t="shared" si="67"/>
        <v>4.2013888888888885E-2</v>
      </c>
      <c r="AD53" s="28">
        <v>0.90100000000000002</v>
      </c>
      <c r="AE53" s="17">
        <v>1335</v>
      </c>
      <c r="AF53" s="17">
        <v>22</v>
      </c>
      <c r="AG53" s="16">
        <f t="shared" si="68"/>
        <v>3.8194444444444448E-2</v>
      </c>
      <c r="AH53" s="28">
        <v>0.92800000000000005</v>
      </c>
      <c r="AI53" s="23">
        <v>1185</v>
      </c>
      <c r="AJ53" s="28">
        <v>24.5</v>
      </c>
      <c r="AK53" s="16">
        <f t="shared" si="69"/>
        <v>4.2534722222222224E-2</v>
      </c>
      <c r="AL53" s="28">
        <v>0.91400000000000003</v>
      </c>
      <c r="AM53" s="23">
        <v>1035</v>
      </c>
      <c r="AN53" s="28">
        <v>19.2</v>
      </c>
      <c r="AO53" s="16">
        <f t="shared" si="70"/>
        <v>3.3333333333333333E-2</v>
      </c>
      <c r="AP53" s="28">
        <v>0.94299999999999995</v>
      </c>
      <c r="AQ53" s="23">
        <v>805</v>
      </c>
      <c r="AR53" s="28">
        <v>19.8</v>
      </c>
      <c r="AS53" s="16">
        <f t="shared" si="71"/>
        <v>3.4375000000000003E-2</v>
      </c>
      <c r="AT53" s="28">
        <v>0.93799999999999994</v>
      </c>
    </row>
    <row r="54" spans="1:46" ht="15.75" customHeight="1" x14ac:dyDescent="0.2">
      <c r="C54" s="23"/>
      <c r="D54" s="17"/>
      <c r="G54" s="17"/>
      <c r="H54" s="17"/>
      <c r="K54" s="23"/>
      <c r="O54" s="23"/>
      <c r="S54" s="23"/>
      <c r="AA54" s="23"/>
      <c r="AB54" s="17"/>
      <c r="AC54" s="16"/>
      <c r="AE54" s="17"/>
      <c r="AF54" s="17"/>
      <c r="AI54" s="23"/>
      <c r="AM54" s="23"/>
      <c r="AQ54" s="23"/>
    </row>
    <row r="55" spans="1:46" ht="15.75" customHeight="1" x14ac:dyDescent="0.2">
      <c r="B55" s="1" t="s">
        <v>11</v>
      </c>
      <c r="C55" s="23"/>
      <c r="D55" s="7">
        <f>SUMPRODUCT(C46:C53,D46:D53)/SUM(C46:C53)</f>
        <v>25.687128712871289</v>
      </c>
      <c r="E55" s="20">
        <f>SUMPRODUCT(C46:C53,E46:E53)/SUM(C46:C53)</f>
        <v>4.4595709570957098E-2</v>
      </c>
      <c r="F55" s="20">
        <f>SUMPRODUCT(C46:C53,F46:F53)/SUM(C46:C53)</f>
        <v>0.90548629093678601</v>
      </c>
      <c r="G55" s="17"/>
      <c r="H55" s="7">
        <f>SUMPRODUCT(G46:G53,H46:H53)/SUM(G46:G53)</f>
        <v>21.070694087403599</v>
      </c>
      <c r="I55" s="20">
        <f>SUMPRODUCT(G46:G53,I46:I53)/SUM(G46:G53)</f>
        <v>3.6581066123964584E-2</v>
      </c>
      <c r="J55" s="20">
        <f>SUMPRODUCT(G46:G53,J46:J53)/SUM(G46:G53)</f>
        <v>0.94400685518423322</v>
      </c>
      <c r="K55" s="23"/>
      <c r="L55" s="7">
        <f>SUMPRODUCT(K46:K53,L46:L53)/SUM(K46:K53)</f>
        <v>20.682321253672871</v>
      </c>
      <c r="M55" s="20">
        <f>SUMPRODUCT(K46:K53,M46:M53)/SUM(K46:K53)</f>
        <v>3.5906807732070958E-2</v>
      </c>
      <c r="N55" s="20">
        <f>SUMPRODUCT(K46:K53,N46:N53)/SUM(K46:K53)</f>
        <v>0.94524828599412347</v>
      </c>
      <c r="O55" s="23"/>
      <c r="P55" s="7">
        <f>SUMPRODUCT(O46:O53,P46:P53)/SUM(O46:O53)</f>
        <v>19.933866362078813</v>
      </c>
      <c r="Q55" s="20">
        <f>SUMPRODUCT(O46:O53,Q46:Q53)/SUM(O46:O53)</f>
        <v>3.4607406878609047E-2</v>
      </c>
      <c r="R55" s="20">
        <f>SUMPRODUCT(O46:O53,R46:R53)/SUM(O46:O53)</f>
        <v>0.94957852655625352</v>
      </c>
      <c r="S55" s="23"/>
      <c r="T55" s="7">
        <f>SUMPRODUCT(S46:S53,T46:T53)/SUM(S46:S53)</f>
        <v>19.82131596984236</v>
      </c>
      <c r="U55" s="20">
        <f>SUMPRODUCT(S46:S53,U46:U53)/SUM(S46:S53)</f>
        <v>3.4412006892087427E-2</v>
      </c>
      <c r="V55" s="20">
        <f>SUMPRODUCT(S46:S53,V46:V53)/SUM(S46:S53)</f>
        <v>0.95222001370801912</v>
      </c>
      <c r="Z55" s="1" t="s">
        <v>11</v>
      </c>
      <c r="AA55" s="23"/>
      <c r="AB55" s="7">
        <f>SUMPRODUCT(AA46:AA53,AB46:AB53)/SUM(AA46:AA53)</f>
        <v>30.493830921553695</v>
      </c>
      <c r="AC55" s="20">
        <f>SUMPRODUCT(AA46:AA53,AC46:AC53)/SUM(AA46:AA53)</f>
        <v>5.2940678683252945E-2</v>
      </c>
      <c r="AD55" s="20">
        <f>SUMPRODUCT(AA46:AA53,AD46:AD53)/SUM(AA46:AA53)</f>
        <v>0.87325133282559031</v>
      </c>
      <c r="AE55" s="17"/>
      <c r="AF55" s="7">
        <f>SUMPRODUCT(AE46:AE53,AF46:AF53)/SUM(AE46:AE53)</f>
        <v>23.628877463581833</v>
      </c>
      <c r="AG55" s="20">
        <f>SUMPRODUCT(AE46:AE53,AG46:AG53)/SUM(AE46:AE53)</f>
        <v>4.1022356707607344E-2</v>
      </c>
      <c r="AH55" s="20">
        <f>SUMPRODUCT(AE46:AE53,AH46:AH53)/SUM(AE46:AE53)</f>
        <v>0.93472493573264792</v>
      </c>
      <c r="AI55" s="23"/>
      <c r="AJ55" s="7">
        <f>SUMPRODUCT(AI46:AI53,AJ46:AJ53)/SUM(AI46:AI53)</f>
        <v>23.276248775710087</v>
      </c>
      <c r="AK55" s="20">
        <f>SUMPRODUCT(AI46:AI53,AK46:AK53)/SUM(AI46:AI53)</f>
        <v>4.0410154124496681E-2</v>
      </c>
      <c r="AL55" s="20">
        <f>SUMPRODUCT(AI46:AI53,AL46:AL53)/SUM(AI46:AI53)</f>
        <v>0.93402987267384918</v>
      </c>
      <c r="AM55" s="23"/>
      <c r="AN55" s="7">
        <f>SUMPRODUCT(AM46:AM53,AN46:AN53)/SUM(AM46:AM53)</f>
        <v>21.99645916619075</v>
      </c>
      <c r="AO55" s="20">
        <f>SUMPRODUCT(AM46:AM53,AO46:AO53)/SUM(AM46:AM53)</f>
        <v>3.8188297163525606E-2</v>
      </c>
      <c r="AP55" s="20">
        <f>SUMPRODUCT(AM46:AM53,AP46:AP53)/SUM(AM46:AM53)</f>
        <v>0.94672073101085086</v>
      </c>
      <c r="AQ55" s="23"/>
      <c r="AR55" s="7">
        <f>SUMPRODUCT(AQ46:AQ53,AR46:AR53)/SUM(AQ46:AQ53)</f>
        <v>21.750308430431801</v>
      </c>
      <c r="AS55" s="20">
        <f>SUMPRODUCT(AQ46:AQ53,AS46:AS53)/SUM(AQ46:AQ53)</f>
        <v>3.7760952136166322E-2</v>
      </c>
      <c r="AT55" s="20">
        <f>SUMPRODUCT(AQ46:AQ53,AT46:AT53)/SUM(AQ46:AQ53)</f>
        <v>0.94841192597669643</v>
      </c>
    </row>
    <row r="56" spans="1:46" ht="15.75" customHeight="1" x14ac:dyDescent="0.2"/>
    <row r="57" spans="1:46" ht="15.75" customHeight="1" x14ac:dyDescent="0.2">
      <c r="C57" s="1">
        <f>SUM(C46:C53)</f>
        <v>13130</v>
      </c>
      <c r="G57" s="1">
        <f>SUM(G46:G53)</f>
        <v>11670</v>
      </c>
      <c r="K57" s="1">
        <f>SUM(K46:K53)</f>
        <v>10210</v>
      </c>
      <c r="O57" s="1">
        <f>SUM(O46:O53)</f>
        <v>8755</v>
      </c>
      <c r="S57" s="1">
        <f>SUM(S46:S53)</f>
        <v>7295</v>
      </c>
      <c r="AA57" s="1">
        <f>SUM(AA46:AA53)</f>
        <v>13130</v>
      </c>
      <c r="AE57" s="1">
        <f>SUM(AE46:AE53)</f>
        <v>11670</v>
      </c>
      <c r="AI57" s="1">
        <f>SUM(AI46:AI53)</f>
        <v>10210</v>
      </c>
      <c r="AM57" s="1">
        <f>SUM(AM46:AM53)</f>
        <v>8755</v>
      </c>
      <c r="AQ57" s="1">
        <f>SUM(AQ46:AQ53)</f>
        <v>7295</v>
      </c>
    </row>
    <row r="58" spans="1:46" ht="15.75" customHeight="1" x14ac:dyDescent="0.2"/>
    <row r="59" spans="1:46" ht="15.75" customHeight="1" x14ac:dyDescent="0.2"/>
    <row r="60" spans="1:46" ht="15.75" customHeight="1" x14ac:dyDescent="0.2">
      <c r="A60" s="1" t="s">
        <v>25</v>
      </c>
      <c r="D60" s="134">
        <v>0.1</v>
      </c>
      <c r="E60" s="133"/>
      <c r="F60" s="133"/>
      <c r="G60" s="2"/>
      <c r="H60" s="134">
        <v>0.2</v>
      </c>
      <c r="I60" s="133"/>
      <c r="J60" s="133"/>
      <c r="K60" s="2"/>
      <c r="L60" s="134">
        <v>0.3</v>
      </c>
      <c r="M60" s="133"/>
      <c r="N60" s="133"/>
      <c r="O60" s="2"/>
      <c r="P60" s="134">
        <v>0.4</v>
      </c>
      <c r="Q60" s="133"/>
      <c r="R60" s="133"/>
      <c r="S60" s="2"/>
      <c r="T60" s="134">
        <v>0.5</v>
      </c>
      <c r="U60" s="133"/>
      <c r="V60" s="133"/>
      <c r="Y60" s="28" t="s">
        <v>25</v>
      </c>
      <c r="AB60" s="134">
        <v>0.1</v>
      </c>
      <c r="AC60" s="133"/>
      <c r="AD60" s="133"/>
      <c r="AE60" s="2"/>
      <c r="AF60" s="134">
        <v>0.2</v>
      </c>
      <c r="AG60" s="133"/>
      <c r="AH60" s="133"/>
      <c r="AI60" s="2"/>
      <c r="AJ60" s="134">
        <v>0.3</v>
      </c>
      <c r="AK60" s="133"/>
      <c r="AL60" s="133"/>
      <c r="AM60" s="2"/>
      <c r="AN60" s="134">
        <v>0.4</v>
      </c>
      <c r="AO60" s="133"/>
      <c r="AP60" s="133"/>
      <c r="AQ60" s="2"/>
      <c r="AR60" s="134">
        <v>0.5</v>
      </c>
      <c r="AS60" s="133"/>
      <c r="AT60" s="133"/>
    </row>
    <row r="61" spans="1:46" ht="15.75" customHeight="1" thickBot="1" x14ac:dyDescent="0.25">
      <c r="B61" s="13" t="s">
        <v>8</v>
      </c>
      <c r="C61" s="22" t="s">
        <v>22</v>
      </c>
      <c r="D61" s="14" t="s">
        <v>7</v>
      </c>
      <c r="E61" s="13" t="s">
        <v>9</v>
      </c>
      <c r="F61" s="13" t="s">
        <v>10</v>
      </c>
      <c r="G61" s="22" t="s">
        <v>22</v>
      </c>
      <c r="H61" s="14" t="s">
        <v>7</v>
      </c>
      <c r="I61" s="13" t="s">
        <v>9</v>
      </c>
      <c r="J61" s="13" t="s">
        <v>10</v>
      </c>
      <c r="K61" s="22" t="s">
        <v>22</v>
      </c>
      <c r="L61" s="13" t="s">
        <v>7</v>
      </c>
      <c r="M61" s="13" t="s">
        <v>9</v>
      </c>
      <c r="N61" s="13" t="s">
        <v>10</v>
      </c>
      <c r="O61" s="22" t="s">
        <v>22</v>
      </c>
      <c r="P61" s="13" t="s">
        <v>7</v>
      </c>
      <c r="Q61" s="13" t="s">
        <v>9</v>
      </c>
      <c r="R61" s="13" t="s">
        <v>10</v>
      </c>
      <c r="S61" s="22" t="s">
        <v>22</v>
      </c>
      <c r="T61" s="13" t="s">
        <v>7</v>
      </c>
      <c r="U61" s="13" t="s">
        <v>9</v>
      </c>
      <c r="V61" s="13" t="s">
        <v>10</v>
      </c>
      <c r="Z61" s="13" t="s">
        <v>8</v>
      </c>
      <c r="AA61" s="22" t="s">
        <v>22</v>
      </c>
      <c r="AB61" s="14" t="s">
        <v>7</v>
      </c>
      <c r="AC61" s="13" t="s">
        <v>9</v>
      </c>
      <c r="AD61" s="13" t="s">
        <v>10</v>
      </c>
      <c r="AE61" s="22" t="s">
        <v>22</v>
      </c>
      <c r="AF61" s="14" t="s">
        <v>7</v>
      </c>
      <c r="AG61" s="13" t="s">
        <v>9</v>
      </c>
      <c r="AH61" s="13" t="s">
        <v>10</v>
      </c>
      <c r="AI61" s="22" t="s">
        <v>22</v>
      </c>
      <c r="AJ61" s="13" t="s">
        <v>7</v>
      </c>
      <c r="AK61" s="13" t="s">
        <v>9</v>
      </c>
      <c r="AL61" s="13" t="s">
        <v>10</v>
      </c>
      <c r="AM61" s="22" t="s">
        <v>22</v>
      </c>
      <c r="AN61" s="13" t="s">
        <v>7</v>
      </c>
      <c r="AO61" s="13" t="s">
        <v>9</v>
      </c>
      <c r="AP61" s="13" t="s">
        <v>10</v>
      </c>
      <c r="AQ61" s="22" t="s">
        <v>22</v>
      </c>
      <c r="AR61" s="13" t="s">
        <v>7</v>
      </c>
      <c r="AS61" s="13" t="s">
        <v>9</v>
      </c>
      <c r="AT61" s="13" t="s">
        <v>10</v>
      </c>
    </row>
    <row r="62" spans="1:46" ht="15.75" customHeight="1" x14ac:dyDescent="0.2">
      <c r="B62" s="1">
        <v>0</v>
      </c>
      <c r="C62" s="23">
        <v>1535</v>
      </c>
      <c r="D62" s="17">
        <v>26.2</v>
      </c>
      <c r="E62" s="16">
        <f t="shared" ref="E62:E69" si="72">D62/$A$5</f>
        <v>4.5486111111111109E-2</v>
      </c>
      <c r="F62" s="28">
        <v>0.96399999999999997</v>
      </c>
      <c r="G62" s="17">
        <v>1300</v>
      </c>
      <c r="H62" s="17">
        <v>23.5</v>
      </c>
      <c r="I62" s="16">
        <f t="shared" ref="I62:I69" si="73">H62/$A$5</f>
        <v>4.0798611111111112E-2</v>
      </c>
      <c r="J62" s="28">
        <v>0.97299999999999998</v>
      </c>
      <c r="K62" s="23">
        <v>1185</v>
      </c>
      <c r="L62" s="28">
        <v>20.100000000000001</v>
      </c>
      <c r="M62" s="16">
        <f t="shared" ref="M62:M69" si="74">L62/$A$5</f>
        <v>3.4895833333333334E-2</v>
      </c>
      <c r="N62" s="28">
        <v>0.97699999999999998</v>
      </c>
      <c r="O62" s="23">
        <v>1045</v>
      </c>
      <c r="P62" s="28">
        <v>19</v>
      </c>
      <c r="Q62" s="16">
        <f t="shared" ref="Q62:Q69" si="75">P62/$A$5</f>
        <v>3.2986111111111112E-2</v>
      </c>
      <c r="R62" s="28">
        <v>0.97899999999999998</v>
      </c>
      <c r="S62" s="23">
        <v>895</v>
      </c>
      <c r="T62" s="28">
        <v>21.5</v>
      </c>
      <c r="U62" s="16">
        <f t="shared" ref="U62:U69" si="76">T62/$A$5</f>
        <v>3.7326388888888888E-2</v>
      </c>
      <c r="V62" s="28">
        <v>0.97399999999999998</v>
      </c>
      <c r="Z62" s="1">
        <v>0</v>
      </c>
      <c r="AA62" s="23">
        <v>1535</v>
      </c>
      <c r="AB62" s="17">
        <v>29.4</v>
      </c>
      <c r="AC62" s="16">
        <f t="shared" ref="AC62:AC69" si="77">AB62/$A$5</f>
        <v>5.1041666666666666E-2</v>
      </c>
      <c r="AD62" s="28">
        <v>0.96</v>
      </c>
      <c r="AE62" s="17">
        <v>1300</v>
      </c>
      <c r="AF62" s="17">
        <v>27.6</v>
      </c>
      <c r="AG62" s="16">
        <f t="shared" ref="AG62:AG69" si="78">AF62/$A$5</f>
        <v>4.791666666666667E-2</v>
      </c>
      <c r="AH62" s="28">
        <v>0.96599999999999997</v>
      </c>
      <c r="AI62" s="23">
        <v>1185</v>
      </c>
      <c r="AJ62" s="28">
        <v>25.2</v>
      </c>
      <c r="AK62" s="16">
        <f t="shared" ref="AK62:AK69" si="79">AJ62/$A$5</f>
        <v>4.3749999999999997E-2</v>
      </c>
      <c r="AL62" s="28">
        <v>0.97</v>
      </c>
      <c r="AM62" s="23">
        <v>1045</v>
      </c>
      <c r="AN62" s="28">
        <v>23</v>
      </c>
      <c r="AO62" s="16">
        <f t="shared" ref="AO62:AO69" si="80">AN62/$A$5</f>
        <v>3.9930555555555552E-2</v>
      </c>
      <c r="AP62" s="28">
        <v>0.97399999999999998</v>
      </c>
      <c r="AQ62" s="23">
        <v>895</v>
      </c>
      <c r="AR62" s="28">
        <v>24</v>
      </c>
      <c r="AS62" s="16">
        <f t="shared" ref="AS62:AS69" si="81">AR62/$A$5</f>
        <v>4.1666666666666664E-2</v>
      </c>
      <c r="AT62" s="28">
        <v>0.97099999999999997</v>
      </c>
    </row>
    <row r="63" spans="1:46" ht="15.75" customHeight="1" x14ac:dyDescent="0.2">
      <c r="B63" s="1">
        <v>1</v>
      </c>
      <c r="C63" s="23">
        <v>2070</v>
      </c>
      <c r="D63" s="17">
        <v>25.4</v>
      </c>
      <c r="E63" s="16">
        <f t="shared" si="72"/>
        <v>4.4097222222222218E-2</v>
      </c>
      <c r="F63" s="28">
        <v>0.93300000000000005</v>
      </c>
      <c r="G63" s="17">
        <v>1845</v>
      </c>
      <c r="H63" s="17">
        <v>23.4</v>
      </c>
      <c r="I63" s="16">
        <f t="shared" si="73"/>
        <v>4.0624999999999994E-2</v>
      </c>
      <c r="J63" s="28">
        <v>0.93600000000000005</v>
      </c>
      <c r="K63" s="23">
        <v>1615</v>
      </c>
      <c r="L63" s="28">
        <v>21</v>
      </c>
      <c r="M63" s="16">
        <f t="shared" si="74"/>
        <v>3.6458333333333336E-2</v>
      </c>
      <c r="N63" s="28">
        <v>0.94499999999999995</v>
      </c>
      <c r="O63" s="23">
        <v>1370</v>
      </c>
      <c r="P63" s="28">
        <v>22.4</v>
      </c>
      <c r="Q63" s="16">
        <f t="shared" si="75"/>
        <v>3.888888888888889E-2</v>
      </c>
      <c r="R63" s="28">
        <v>0.94</v>
      </c>
      <c r="S63" s="23">
        <v>1140</v>
      </c>
      <c r="T63" s="28">
        <v>22.5</v>
      </c>
      <c r="U63" s="16">
        <f t="shared" si="76"/>
        <v>3.90625E-2</v>
      </c>
      <c r="V63" s="28">
        <v>0.93799999999999994</v>
      </c>
      <c r="Z63" s="1">
        <v>1</v>
      </c>
      <c r="AA63" s="23">
        <v>2070</v>
      </c>
      <c r="AB63" s="17">
        <v>30.2</v>
      </c>
      <c r="AC63" s="16">
        <f t="shared" si="77"/>
        <v>5.2430555555555557E-2</v>
      </c>
      <c r="AD63" s="28">
        <v>0.91300000000000003</v>
      </c>
      <c r="AE63" s="17">
        <v>1845</v>
      </c>
      <c r="AF63" s="17">
        <v>26.4</v>
      </c>
      <c r="AG63" s="16">
        <f t="shared" si="78"/>
        <v>4.583333333333333E-2</v>
      </c>
      <c r="AH63" s="28">
        <v>0.92500000000000004</v>
      </c>
      <c r="AI63" s="23">
        <v>1615</v>
      </c>
      <c r="AJ63" s="28">
        <v>22.9</v>
      </c>
      <c r="AK63" s="16">
        <f t="shared" si="79"/>
        <v>3.9756944444444442E-2</v>
      </c>
      <c r="AL63" s="28">
        <v>0.94</v>
      </c>
      <c r="AM63" s="23">
        <v>1370</v>
      </c>
      <c r="AN63" s="28">
        <v>24.3</v>
      </c>
      <c r="AO63" s="16">
        <f t="shared" si="80"/>
        <v>4.2187500000000003E-2</v>
      </c>
      <c r="AP63" s="28">
        <v>0.93300000000000005</v>
      </c>
      <c r="AQ63" s="23">
        <v>1140</v>
      </c>
      <c r="AR63" s="28">
        <v>24.3</v>
      </c>
      <c r="AS63" s="16">
        <f t="shared" si="81"/>
        <v>4.2187500000000003E-2</v>
      </c>
      <c r="AT63" s="28">
        <v>0.93300000000000005</v>
      </c>
    </row>
    <row r="64" spans="1:46" ht="15.75" customHeight="1" x14ac:dyDescent="0.2">
      <c r="B64" s="1">
        <v>2</v>
      </c>
      <c r="C64" s="23">
        <v>1785</v>
      </c>
      <c r="D64" s="17">
        <v>22.7</v>
      </c>
      <c r="E64" s="16">
        <f t="shared" si="72"/>
        <v>3.9409722222222221E-2</v>
      </c>
      <c r="F64" s="28">
        <v>0.76</v>
      </c>
      <c r="G64" s="17">
        <v>1635</v>
      </c>
      <c r="H64" s="17">
        <v>15.7</v>
      </c>
      <c r="I64" s="16">
        <f t="shared" si="73"/>
        <v>2.7256944444444445E-2</v>
      </c>
      <c r="J64" s="28">
        <v>0.872</v>
      </c>
      <c r="K64" s="23">
        <v>1395</v>
      </c>
      <c r="L64" s="28">
        <v>15.2</v>
      </c>
      <c r="M64" s="16">
        <f t="shared" si="74"/>
        <v>2.6388888888888889E-2</v>
      </c>
      <c r="N64" s="28">
        <v>0.88800000000000001</v>
      </c>
      <c r="O64" s="23">
        <v>1240</v>
      </c>
      <c r="P64" s="28">
        <v>13.4</v>
      </c>
      <c r="Q64" s="16">
        <f t="shared" si="75"/>
        <v>2.326388888888889E-2</v>
      </c>
      <c r="R64" s="28">
        <v>0.91</v>
      </c>
      <c r="S64" s="23">
        <v>995</v>
      </c>
      <c r="T64" s="28">
        <v>14.6</v>
      </c>
      <c r="U64" s="16">
        <f t="shared" si="76"/>
        <v>2.5347222222222222E-2</v>
      </c>
      <c r="V64" s="28">
        <v>0.90500000000000003</v>
      </c>
      <c r="Z64" s="1">
        <v>2</v>
      </c>
      <c r="AA64" s="23">
        <v>1785</v>
      </c>
      <c r="AB64" s="17">
        <v>21.9</v>
      </c>
      <c r="AC64" s="16">
        <f t="shared" si="77"/>
        <v>3.802083333333333E-2</v>
      </c>
      <c r="AD64" s="28">
        <v>0.77700000000000002</v>
      </c>
      <c r="AE64" s="17">
        <v>1635</v>
      </c>
      <c r="AF64" s="17">
        <v>17.600000000000001</v>
      </c>
      <c r="AG64" s="16">
        <f t="shared" si="78"/>
        <v>3.0555555555555558E-2</v>
      </c>
      <c r="AH64" s="28">
        <v>0.85599999999999998</v>
      </c>
      <c r="AI64" s="23">
        <v>1395</v>
      </c>
      <c r="AJ64" s="28">
        <v>16.899999999999999</v>
      </c>
      <c r="AK64" s="16">
        <f t="shared" si="79"/>
        <v>2.9340277777777774E-2</v>
      </c>
      <c r="AL64" s="28">
        <v>0.87</v>
      </c>
      <c r="AM64" s="23">
        <v>1240</v>
      </c>
      <c r="AN64" s="28">
        <v>16</v>
      </c>
      <c r="AO64" s="16">
        <f t="shared" si="80"/>
        <v>2.7777777777777776E-2</v>
      </c>
      <c r="AP64" s="28">
        <v>0.876</v>
      </c>
      <c r="AQ64" s="23">
        <v>995</v>
      </c>
      <c r="AR64" s="28">
        <v>16.2</v>
      </c>
      <c r="AS64" s="16">
        <f t="shared" si="81"/>
        <v>2.8124999999999997E-2</v>
      </c>
      <c r="AT64" s="28">
        <v>0.88400000000000001</v>
      </c>
    </row>
    <row r="65" spans="2:46" ht="15.75" customHeight="1" x14ac:dyDescent="0.2">
      <c r="B65" s="1">
        <v>3</v>
      </c>
      <c r="C65" s="23">
        <v>2460</v>
      </c>
      <c r="D65" s="17">
        <v>26.2</v>
      </c>
      <c r="E65" s="16">
        <f t="shared" si="72"/>
        <v>4.5486111111111109E-2</v>
      </c>
      <c r="F65" s="28">
        <v>0.96499999999999997</v>
      </c>
      <c r="G65" s="17">
        <v>2205</v>
      </c>
      <c r="H65" s="17">
        <v>23.4</v>
      </c>
      <c r="I65" s="16">
        <f t="shared" si="73"/>
        <v>4.0624999999999994E-2</v>
      </c>
      <c r="J65" s="28">
        <v>0.97</v>
      </c>
      <c r="K65" s="23">
        <v>1910</v>
      </c>
      <c r="L65" s="28">
        <v>20.8</v>
      </c>
      <c r="M65" s="16">
        <f t="shared" si="74"/>
        <v>3.6111111111111115E-2</v>
      </c>
      <c r="N65" s="28">
        <v>0.97599999999999998</v>
      </c>
      <c r="O65" s="23">
        <v>1660</v>
      </c>
      <c r="P65" s="28">
        <v>20.9</v>
      </c>
      <c r="Q65" s="16">
        <f t="shared" si="75"/>
        <v>3.6284722222222218E-2</v>
      </c>
      <c r="R65" s="28">
        <v>0.97599999999999998</v>
      </c>
      <c r="S65" s="23">
        <v>1355</v>
      </c>
      <c r="T65" s="28">
        <v>19.7</v>
      </c>
      <c r="U65" s="16">
        <f t="shared" si="76"/>
        <v>3.4201388888888885E-2</v>
      </c>
      <c r="V65" s="28">
        <v>0.97699999999999998</v>
      </c>
      <c r="Z65" s="1">
        <v>3</v>
      </c>
      <c r="AA65" s="23">
        <v>2460</v>
      </c>
      <c r="AB65" s="17">
        <v>30.3</v>
      </c>
      <c r="AC65" s="16">
        <f t="shared" si="77"/>
        <v>5.2604166666666667E-2</v>
      </c>
      <c r="AD65" s="28">
        <v>0.95799999999999996</v>
      </c>
      <c r="AE65" s="17">
        <v>2205</v>
      </c>
      <c r="AF65" s="17">
        <v>26.5</v>
      </c>
      <c r="AG65" s="16">
        <f t="shared" si="78"/>
        <v>4.6006944444444448E-2</v>
      </c>
      <c r="AH65" s="28">
        <v>0.96399999999999997</v>
      </c>
      <c r="AI65" s="23">
        <v>1910</v>
      </c>
      <c r="AJ65" s="28">
        <v>22.2</v>
      </c>
      <c r="AK65" s="16">
        <f t="shared" si="79"/>
        <v>3.8541666666666669E-2</v>
      </c>
      <c r="AL65" s="28">
        <v>0.97499999999999998</v>
      </c>
      <c r="AM65" s="23">
        <v>1660</v>
      </c>
      <c r="AN65" s="28">
        <v>22.5</v>
      </c>
      <c r="AO65" s="16">
        <f t="shared" si="80"/>
        <v>3.90625E-2</v>
      </c>
      <c r="AP65" s="28">
        <v>0.97499999999999998</v>
      </c>
      <c r="AQ65" s="23">
        <v>1355</v>
      </c>
      <c r="AR65" s="28">
        <v>21.6</v>
      </c>
      <c r="AS65" s="16">
        <f t="shared" si="81"/>
        <v>3.7500000000000006E-2</v>
      </c>
      <c r="AT65" s="28">
        <v>0.97499999999999998</v>
      </c>
    </row>
    <row r="66" spans="2:46" ht="15.75" customHeight="1" x14ac:dyDescent="0.2">
      <c r="B66" s="1">
        <v>4</v>
      </c>
      <c r="C66" s="23">
        <v>2030</v>
      </c>
      <c r="D66" s="17">
        <v>28.7</v>
      </c>
      <c r="E66" s="16">
        <f t="shared" si="72"/>
        <v>4.9826388888888885E-2</v>
      </c>
      <c r="F66" s="28">
        <v>0.95</v>
      </c>
      <c r="G66" s="17">
        <v>1770</v>
      </c>
      <c r="H66" s="17">
        <v>20.5</v>
      </c>
      <c r="I66" s="16">
        <f t="shared" si="73"/>
        <v>3.5590277777777776E-2</v>
      </c>
      <c r="J66" s="28">
        <v>0.97499999999999998</v>
      </c>
      <c r="K66" s="23">
        <v>1550</v>
      </c>
      <c r="L66" s="28">
        <v>19</v>
      </c>
      <c r="M66" s="16">
        <f t="shared" si="74"/>
        <v>3.2986111111111112E-2</v>
      </c>
      <c r="N66" s="28">
        <v>0.97899999999999998</v>
      </c>
      <c r="O66" s="23">
        <v>1290</v>
      </c>
      <c r="P66" s="28">
        <v>21.9</v>
      </c>
      <c r="Q66" s="16">
        <f t="shared" si="75"/>
        <v>3.802083333333333E-2</v>
      </c>
      <c r="R66" s="28">
        <v>0.97299999999999998</v>
      </c>
      <c r="S66" s="23">
        <v>1080</v>
      </c>
      <c r="T66" s="28">
        <v>22.3</v>
      </c>
      <c r="U66" s="16">
        <f t="shared" si="76"/>
        <v>3.8715277777777779E-2</v>
      </c>
      <c r="V66" s="28">
        <v>0.97399999999999998</v>
      </c>
      <c r="Z66" s="1">
        <v>4</v>
      </c>
      <c r="AA66" s="23">
        <v>2030</v>
      </c>
      <c r="AB66" s="17">
        <v>33.700000000000003</v>
      </c>
      <c r="AC66" s="16">
        <f t="shared" si="77"/>
        <v>5.8506944444444452E-2</v>
      </c>
      <c r="AD66" s="28">
        <v>0.92500000000000004</v>
      </c>
      <c r="AE66" s="17">
        <v>1770</v>
      </c>
      <c r="AF66" s="17">
        <v>24.4</v>
      </c>
      <c r="AG66" s="16">
        <f t="shared" si="78"/>
        <v>4.2361111111111106E-2</v>
      </c>
      <c r="AH66" s="28">
        <v>0.96399999999999997</v>
      </c>
      <c r="AI66" s="23">
        <v>1550</v>
      </c>
      <c r="AJ66" s="28">
        <v>21.7</v>
      </c>
      <c r="AK66" s="16">
        <f t="shared" si="79"/>
        <v>3.7673611111111109E-2</v>
      </c>
      <c r="AL66" s="28">
        <v>0.97299999999999998</v>
      </c>
      <c r="AM66" s="23">
        <v>1290</v>
      </c>
      <c r="AN66" s="28">
        <v>24.5</v>
      </c>
      <c r="AO66" s="16">
        <f t="shared" si="80"/>
        <v>4.2534722222222224E-2</v>
      </c>
      <c r="AP66" s="28">
        <v>0.96699999999999997</v>
      </c>
      <c r="AQ66" s="23">
        <v>1080</v>
      </c>
      <c r="AR66" s="28">
        <v>24.8</v>
      </c>
      <c r="AS66" s="16">
        <f t="shared" si="81"/>
        <v>4.3055555555555555E-2</v>
      </c>
      <c r="AT66" s="28">
        <v>0.96699999999999997</v>
      </c>
    </row>
    <row r="67" spans="2:46" ht="15.75" customHeight="1" x14ac:dyDescent="0.2">
      <c r="B67" s="1">
        <v>5</v>
      </c>
      <c r="C67" s="23">
        <v>605</v>
      </c>
      <c r="D67" s="17">
        <v>32.9</v>
      </c>
      <c r="E67" s="16">
        <f t="shared" si="72"/>
        <v>5.7118055555555554E-2</v>
      </c>
      <c r="F67" s="28">
        <v>0.92100000000000004</v>
      </c>
      <c r="G67" s="17">
        <v>510</v>
      </c>
      <c r="H67" s="17">
        <v>26.2</v>
      </c>
      <c r="I67" s="16">
        <f t="shared" si="73"/>
        <v>4.5486111111111109E-2</v>
      </c>
      <c r="J67" s="28">
        <v>0.94799999999999995</v>
      </c>
      <c r="K67" s="23">
        <v>425</v>
      </c>
      <c r="L67" s="28">
        <v>24.6</v>
      </c>
      <c r="M67" s="16">
        <f t="shared" si="74"/>
        <v>4.2708333333333334E-2</v>
      </c>
      <c r="N67" s="28">
        <v>0.95699999999999996</v>
      </c>
      <c r="O67" s="23">
        <v>365</v>
      </c>
      <c r="P67" s="28">
        <v>24.1</v>
      </c>
      <c r="Q67" s="16">
        <f t="shared" si="75"/>
        <v>4.1840277777777782E-2</v>
      </c>
      <c r="R67" s="28">
        <v>0.95899999999999996</v>
      </c>
      <c r="S67" s="23">
        <v>330</v>
      </c>
      <c r="T67" s="28">
        <v>24</v>
      </c>
      <c r="U67" s="16">
        <f t="shared" si="76"/>
        <v>4.1666666666666664E-2</v>
      </c>
      <c r="V67" s="28">
        <v>0.96199999999999997</v>
      </c>
      <c r="Z67" s="1">
        <v>5</v>
      </c>
      <c r="AA67" s="23">
        <v>605</v>
      </c>
      <c r="AB67" s="17">
        <v>37.299999999999997</v>
      </c>
      <c r="AC67" s="16">
        <f t="shared" si="77"/>
        <v>6.4756944444444436E-2</v>
      </c>
      <c r="AD67" s="28">
        <v>0.90900000000000003</v>
      </c>
      <c r="AE67" s="17">
        <v>510</v>
      </c>
      <c r="AF67" s="17">
        <v>29.2</v>
      </c>
      <c r="AG67" s="16">
        <f t="shared" si="78"/>
        <v>5.0694444444444445E-2</v>
      </c>
      <c r="AH67" s="28">
        <v>0.94499999999999995</v>
      </c>
      <c r="AI67" s="23">
        <v>425</v>
      </c>
      <c r="AJ67" s="28">
        <v>25.7</v>
      </c>
      <c r="AK67" s="16">
        <f t="shared" si="79"/>
        <v>4.4618055555555557E-2</v>
      </c>
      <c r="AL67" s="28">
        <v>0.95699999999999996</v>
      </c>
      <c r="AM67" s="23">
        <v>365</v>
      </c>
      <c r="AN67" s="28">
        <v>26.9</v>
      </c>
      <c r="AO67" s="16">
        <f t="shared" si="80"/>
        <v>4.670138888888889E-2</v>
      </c>
      <c r="AP67" s="28">
        <v>0.95399999999999996</v>
      </c>
      <c r="AQ67" s="23">
        <v>330</v>
      </c>
      <c r="AR67" s="28">
        <v>27</v>
      </c>
      <c r="AS67" s="16">
        <f t="shared" si="81"/>
        <v>4.6875E-2</v>
      </c>
      <c r="AT67" s="28">
        <v>0.95599999999999996</v>
      </c>
    </row>
    <row r="68" spans="2:46" ht="15.75" customHeight="1" x14ac:dyDescent="0.2">
      <c r="B68" s="1">
        <v>6</v>
      </c>
      <c r="C68" s="23">
        <v>1520</v>
      </c>
      <c r="D68" s="17">
        <v>34.799999999999997</v>
      </c>
      <c r="E68" s="16">
        <f t="shared" si="72"/>
        <v>6.041666666666666E-2</v>
      </c>
      <c r="F68" s="28">
        <v>0.93799999999999994</v>
      </c>
      <c r="G68" s="17">
        <v>1395</v>
      </c>
      <c r="H68" s="17">
        <v>24</v>
      </c>
      <c r="I68" s="16">
        <f t="shared" si="73"/>
        <v>4.1666666666666664E-2</v>
      </c>
      <c r="J68" s="28">
        <v>0.96599999999999997</v>
      </c>
      <c r="K68" s="23">
        <v>1225</v>
      </c>
      <c r="L68" s="28">
        <v>20.6</v>
      </c>
      <c r="M68" s="16">
        <f t="shared" si="74"/>
        <v>3.5763888888888894E-2</v>
      </c>
      <c r="N68" s="28">
        <v>0.97599999999999998</v>
      </c>
      <c r="O68" s="23">
        <v>1030</v>
      </c>
      <c r="P68" s="28">
        <v>18.100000000000001</v>
      </c>
      <c r="Q68" s="16">
        <f t="shared" si="75"/>
        <v>3.142361111111111E-2</v>
      </c>
      <c r="R68" s="28">
        <v>0.97899999999999998</v>
      </c>
      <c r="S68" s="23">
        <v>875</v>
      </c>
      <c r="T68" s="28">
        <v>18.7</v>
      </c>
      <c r="U68" s="16">
        <f t="shared" si="76"/>
        <v>3.2465277777777773E-2</v>
      </c>
      <c r="V68" s="28">
        <v>0.97799999999999998</v>
      </c>
      <c r="Z68" s="1">
        <v>6</v>
      </c>
      <c r="AA68" s="23">
        <v>1520</v>
      </c>
      <c r="AB68" s="17">
        <v>39</v>
      </c>
      <c r="AC68" s="16">
        <f t="shared" si="77"/>
        <v>6.7708333333333329E-2</v>
      </c>
      <c r="AD68" s="28">
        <v>0.91700000000000004</v>
      </c>
      <c r="AE68" s="17">
        <v>1395</v>
      </c>
      <c r="AF68" s="17">
        <v>32.6</v>
      </c>
      <c r="AG68" s="16">
        <f t="shared" si="78"/>
        <v>5.6597222222222222E-2</v>
      </c>
      <c r="AH68" s="28">
        <v>0.93899999999999995</v>
      </c>
      <c r="AI68" s="23">
        <v>1225</v>
      </c>
      <c r="AJ68" s="28">
        <v>25.4</v>
      </c>
      <c r="AK68" s="16">
        <f t="shared" si="79"/>
        <v>4.4097222222222218E-2</v>
      </c>
      <c r="AL68" s="28">
        <v>0.96599999999999997</v>
      </c>
      <c r="AM68" s="23">
        <v>1030</v>
      </c>
      <c r="AN68" s="28">
        <v>20.8</v>
      </c>
      <c r="AO68" s="16">
        <f t="shared" si="80"/>
        <v>3.6111111111111115E-2</v>
      </c>
      <c r="AP68" s="28">
        <v>0.97499999999999998</v>
      </c>
      <c r="AQ68" s="23">
        <v>875</v>
      </c>
      <c r="AR68" s="28">
        <v>20.2</v>
      </c>
      <c r="AS68" s="16">
        <f t="shared" si="81"/>
        <v>3.5069444444444445E-2</v>
      </c>
      <c r="AT68" s="28">
        <v>0.97499999999999998</v>
      </c>
    </row>
    <row r="69" spans="2:46" ht="15.75" customHeight="1" x14ac:dyDescent="0.2">
      <c r="B69" s="1">
        <v>7</v>
      </c>
      <c r="C69" s="23">
        <v>1125</v>
      </c>
      <c r="D69" s="17">
        <v>22.8</v>
      </c>
      <c r="E69" s="16">
        <f t="shared" si="72"/>
        <v>3.9583333333333331E-2</v>
      </c>
      <c r="F69" s="28">
        <v>0.97199999999999998</v>
      </c>
      <c r="G69" s="17">
        <v>1010</v>
      </c>
      <c r="H69" s="17">
        <v>19.899999999999999</v>
      </c>
      <c r="I69" s="16">
        <f t="shared" si="73"/>
        <v>3.4548611111111106E-2</v>
      </c>
      <c r="J69" s="28">
        <v>0.97399999999999998</v>
      </c>
      <c r="K69" s="23">
        <v>905</v>
      </c>
      <c r="L69" s="28">
        <v>18.399999999999999</v>
      </c>
      <c r="M69" s="16">
        <f t="shared" si="74"/>
        <v>3.1944444444444442E-2</v>
      </c>
      <c r="N69" s="28">
        <v>0.97699999999999998</v>
      </c>
      <c r="O69" s="23">
        <v>755</v>
      </c>
      <c r="P69" s="28">
        <v>18.7</v>
      </c>
      <c r="Q69" s="16">
        <f t="shared" si="75"/>
        <v>3.2465277777777773E-2</v>
      </c>
      <c r="R69" s="28">
        <v>0.97599999999999998</v>
      </c>
      <c r="S69" s="23">
        <v>625</v>
      </c>
      <c r="T69" s="28">
        <v>17.7</v>
      </c>
      <c r="U69" s="16">
        <f t="shared" si="76"/>
        <v>3.0729166666666665E-2</v>
      </c>
      <c r="V69" s="28">
        <v>0.97499999999999998</v>
      </c>
      <c r="Z69" s="1">
        <v>7</v>
      </c>
      <c r="AA69" s="23">
        <v>1125</v>
      </c>
      <c r="AB69" s="17">
        <v>39</v>
      </c>
      <c r="AC69" s="16">
        <f t="shared" si="77"/>
        <v>6.7708333333333329E-2</v>
      </c>
      <c r="AD69" s="28">
        <v>0.93400000000000005</v>
      </c>
      <c r="AE69" s="17">
        <v>1010</v>
      </c>
      <c r="AF69" s="17">
        <v>28.7</v>
      </c>
      <c r="AG69" s="16">
        <f t="shared" si="78"/>
        <v>4.9826388888888885E-2</v>
      </c>
      <c r="AH69" s="28">
        <v>0.95799999999999996</v>
      </c>
      <c r="AI69" s="23">
        <v>905</v>
      </c>
      <c r="AJ69" s="28">
        <v>22.4</v>
      </c>
      <c r="AK69" s="16">
        <f t="shared" si="79"/>
        <v>3.888888888888889E-2</v>
      </c>
      <c r="AL69" s="28">
        <v>0.97099999999999997</v>
      </c>
      <c r="AM69" s="23">
        <v>755</v>
      </c>
      <c r="AN69" s="28">
        <v>21.5</v>
      </c>
      <c r="AO69" s="16">
        <f t="shared" si="80"/>
        <v>3.7326388888888888E-2</v>
      </c>
      <c r="AP69" s="28">
        <v>0.97199999999999998</v>
      </c>
      <c r="AQ69" s="23">
        <v>625</v>
      </c>
      <c r="AR69" s="28">
        <v>20.399999999999999</v>
      </c>
      <c r="AS69" s="16">
        <f t="shared" si="81"/>
        <v>3.5416666666666666E-2</v>
      </c>
      <c r="AT69" s="28">
        <v>0.97199999999999998</v>
      </c>
    </row>
    <row r="70" spans="2:46" ht="15.75" customHeight="1" x14ac:dyDescent="0.2">
      <c r="C70" s="23"/>
      <c r="D70" s="17"/>
      <c r="G70" s="17"/>
      <c r="H70" s="17"/>
      <c r="K70" s="23"/>
      <c r="O70" s="23"/>
      <c r="S70" s="23"/>
      <c r="AA70" s="23"/>
      <c r="AB70" s="17"/>
      <c r="AE70" s="17"/>
      <c r="AF70" s="17"/>
      <c r="AI70" s="23"/>
      <c r="AM70" s="23"/>
      <c r="AQ70" s="23"/>
    </row>
    <row r="71" spans="2:46" ht="15.75" customHeight="1" x14ac:dyDescent="0.2">
      <c r="B71" s="1" t="s">
        <v>11</v>
      </c>
      <c r="C71" s="23"/>
      <c r="D71" s="7">
        <f>SUMPRODUCT(C62:C69,D62:D69)/SUM(C62:C69)</f>
        <v>26.997562833206398</v>
      </c>
      <c r="E71" s="20">
        <f>SUMPRODUCT(C62:C69,E62:E69)/SUM(C62:C69)</f>
        <v>4.6870768807649996E-2</v>
      </c>
      <c r="F71" s="20">
        <f>SUMPRODUCT(C62:C69,F62:F69)/SUM(C62:C69)</f>
        <v>0.92509634424980958</v>
      </c>
      <c r="G71" s="17"/>
      <c r="H71" s="7">
        <f>SUMPRODUCT(G62:G69,H62:H69)/SUM(G62:G69)</f>
        <v>21.783676092544987</v>
      </c>
      <c r="I71" s="20">
        <f>SUMPRODUCT(G62:G69,I62:I69)/SUM(G62:G69)</f>
        <v>3.7818882105112826E-2</v>
      </c>
      <c r="J71" s="20">
        <f>SUMPRODUCT(G62:G69,J62:J69)/SUM(G62:G69)</f>
        <v>0.95089374464438714</v>
      </c>
      <c r="K71" s="23"/>
      <c r="L71" s="7">
        <f>SUMPRODUCT(K62:K69,L62:L69)/SUM(K62:K69)</f>
        <v>19.633447600391772</v>
      </c>
      <c r="M71" s="20">
        <f>SUMPRODUCT(K62:K69,M62:M69)/SUM(K62:K69)</f>
        <v>3.408584652845794E-2</v>
      </c>
      <c r="N71" s="20">
        <f>SUMPRODUCT(K62:K69,N62:N69)/SUM(K62:K69)</f>
        <v>0.9589422135161606</v>
      </c>
      <c r="O71" s="23"/>
      <c r="P71" s="7">
        <f>SUMPRODUCT(O62:O69,P62:P69)/SUM(O62:O69)</f>
        <v>19.607310108509424</v>
      </c>
      <c r="Q71" s="20">
        <f>SUMPRODUCT(O62:O69,Q62:Q69)/SUM(O62:O69)</f>
        <v>3.4040468938384416E-2</v>
      </c>
      <c r="R71" s="20">
        <f>SUMPRODUCT(O62:O69,R62:R69)/SUM(O62:O69)</f>
        <v>0.96057909765848071</v>
      </c>
      <c r="S71" s="23"/>
      <c r="T71" s="7">
        <f>SUMPRODUCT(S62:S69,T62:T69)/SUM(S62:S69)</f>
        <v>19.950925291295409</v>
      </c>
      <c r="U71" s="20">
        <f>SUMPRODUCT(S62:S69,U62:U69)/SUM(S62:S69)</f>
        <v>3.4637023075165634E-2</v>
      </c>
      <c r="V71" s="20">
        <f>SUMPRODUCT(S62:S69,V62:V69)/SUM(S62:S69)</f>
        <v>0.95954283755997272</v>
      </c>
      <c r="Z71" s="1" t="s">
        <v>11</v>
      </c>
      <c r="AA71" s="23"/>
      <c r="AB71" s="7">
        <f>SUMPRODUCT(AA62:AA69,AB62:AB69)/SUM(AA62:AA69)</f>
        <v>31.637852246763138</v>
      </c>
      <c r="AC71" s="20">
        <f>SUMPRODUCT(AA62:AA69,AC62:AC69)/SUM(AA62:AA69)</f>
        <v>5.492682681729711E-2</v>
      </c>
      <c r="AD71" s="20">
        <f>SUMPRODUCT(AA62:AA69,AD62:AD69)/SUM(AA62:AA69)</f>
        <v>0.91237014470677835</v>
      </c>
      <c r="AE71" s="17"/>
      <c r="AF71" s="7">
        <f>SUMPRODUCT(AE62:AE69,AF62:AF69)/SUM(AE62:AE69)</f>
        <v>26.078877463581833</v>
      </c>
      <c r="AG71" s="20">
        <f>SUMPRODUCT(AE62:AE69,AG62:AG69)/SUM(AE62:AE69)</f>
        <v>4.5275828929829572E-2</v>
      </c>
      <c r="AH71" s="20">
        <f>SUMPRODUCT(AE62:AE69,AH62:AH69)/SUM(AE62:AE69)</f>
        <v>0.93858783204798646</v>
      </c>
      <c r="AI71" s="23"/>
      <c r="AJ71" s="7">
        <f>SUMPRODUCT(AI62:AI69,AJ62:AJ69)/SUM(AI62:AI69)</f>
        <v>22.406219392752202</v>
      </c>
      <c r="AK71" s="20">
        <f>SUMPRODUCT(AI62:AI69,AK62:AK69)/SUM(AI62:AI69)</f>
        <v>3.8899686445750349E-2</v>
      </c>
      <c r="AL71" s="20">
        <f>SUMPRODUCT(AI62:AI69,AL62:AL69)/SUM(AI62:AI69)</f>
        <v>0.95204995102840351</v>
      </c>
      <c r="AM71" s="23"/>
      <c r="AN71" s="7">
        <f>SUMPRODUCT(AM62:AM69,AN62:AN69)/SUM(AM62:AM69)</f>
        <v>22.112621359223301</v>
      </c>
      <c r="AO71" s="20">
        <f>SUMPRODUCT(AM62:AM69,AO62:AO69)/SUM(AM62:AM69)</f>
        <v>3.8389967637540455E-2</v>
      </c>
      <c r="AP71" s="20">
        <f>SUMPRODUCT(AM62:AM69,AP62:AP69)/SUM(AM62:AM69)</f>
        <v>0.95197372929754431</v>
      </c>
      <c r="AQ71" s="23"/>
      <c r="AR71" s="7">
        <f>SUMPRODUCT(AQ62:AQ69,AR62:AR69)/SUM(AQ62:AQ69)</f>
        <v>22.027141877998631</v>
      </c>
      <c r="AS71" s="20">
        <f>SUMPRODUCT(AQ62:AQ69,AS62:AS69)/SUM(AQ62:AQ69)</f>
        <v>3.8241565760414285E-2</v>
      </c>
      <c r="AT71" s="20">
        <f>SUMPRODUCT(AQ62:AQ69,AT62:AT69)/SUM(AQ62:AQ69)</f>
        <v>0.95323303632625078</v>
      </c>
    </row>
    <row r="72" spans="2:46" ht="15.75" customHeight="1" x14ac:dyDescent="0.2"/>
    <row r="73" spans="2:46" ht="15.75" customHeight="1" x14ac:dyDescent="0.2">
      <c r="C73" s="1">
        <f>SUM(C62:C69)</f>
        <v>13130</v>
      </c>
      <c r="G73" s="1">
        <f>SUM(G62:G69)</f>
        <v>11670</v>
      </c>
      <c r="K73" s="1">
        <f>SUM(K62:K69)</f>
        <v>10210</v>
      </c>
      <c r="O73" s="1">
        <f>SUM(O62:O69)</f>
        <v>8755</v>
      </c>
      <c r="S73" s="1">
        <f>SUM(S62:S69)</f>
        <v>7295</v>
      </c>
      <c r="AA73" s="1">
        <f>SUM(AA62:AA69)</f>
        <v>13130</v>
      </c>
      <c r="AE73" s="1">
        <f>SUM(AE62:AE69)</f>
        <v>11670</v>
      </c>
      <c r="AI73" s="1">
        <f>SUM(AI62:AI69)</f>
        <v>10210</v>
      </c>
      <c r="AM73" s="1">
        <f>SUM(AM62:AM69)</f>
        <v>8755</v>
      </c>
      <c r="AQ73" s="1">
        <f>SUM(AQ62:AQ69)</f>
        <v>7295</v>
      </c>
    </row>
    <row r="74" spans="2:46" ht="15.75" customHeight="1" x14ac:dyDescent="0.2"/>
    <row r="75" spans="2:46" ht="15.75" customHeight="1" x14ac:dyDescent="0.2"/>
    <row r="76" spans="2:46" ht="15.75" customHeight="1" x14ac:dyDescent="0.2"/>
    <row r="77" spans="2:46" ht="15.75" customHeight="1" x14ac:dyDescent="0.2"/>
    <row r="78" spans="2:46" ht="15.75" customHeight="1" x14ac:dyDescent="0.2"/>
    <row r="79" spans="2:46" ht="15.75" customHeight="1" x14ac:dyDescent="0.2"/>
    <row r="80" spans="2:4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</sheetData>
  <mergeCells count="40">
    <mergeCell ref="T7:V7"/>
    <mergeCell ref="AN28:AP28"/>
    <mergeCell ref="AJ7:AL7"/>
    <mergeCell ref="AN7:AP7"/>
    <mergeCell ref="L28:N28"/>
    <mergeCell ref="P28:R28"/>
    <mergeCell ref="H7:J7"/>
    <mergeCell ref="L7:N7"/>
    <mergeCell ref="P7:R7"/>
    <mergeCell ref="AR7:AT7"/>
    <mergeCell ref="AB60:AD60"/>
    <mergeCell ref="AF60:AH60"/>
    <mergeCell ref="AJ60:AL60"/>
    <mergeCell ref="AN60:AP60"/>
    <mergeCell ref="AR60:AT60"/>
    <mergeCell ref="AB44:AD44"/>
    <mergeCell ref="AF44:AH44"/>
    <mergeCell ref="AJ44:AL44"/>
    <mergeCell ref="AN44:AP44"/>
    <mergeCell ref="AR44:AT44"/>
    <mergeCell ref="AB28:AD28"/>
    <mergeCell ref="AF28:AH28"/>
    <mergeCell ref="AJ28:AL28"/>
    <mergeCell ref="AR28:AT28"/>
    <mergeCell ref="AB7:AD7"/>
    <mergeCell ref="AF7:AH7"/>
    <mergeCell ref="D60:F60"/>
    <mergeCell ref="H60:J60"/>
    <mergeCell ref="L60:N60"/>
    <mergeCell ref="P60:R60"/>
    <mergeCell ref="T60:V60"/>
    <mergeCell ref="D44:F44"/>
    <mergeCell ref="H44:J44"/>
    <mergeCell ref="L44:N44"/>
    <mergeCell ref="P44:R44"/>
    <mergeCell ref="T44:V44"/>
    <mergeCell ref="D7:F7"/>
    <mergeCell ref="D28:F28"/>
    <mergeCell ref="H28:J28"/>
    <mergeCell ref="T28:V28"/>
  </mergeCells>
  <pageMargins left="0.7" right="0.7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AT963"/>
  <sheetViews>
    <sheetView zoomScale="60" zoomScaleNormal="60" workbookViewId="0">
      <selection activeCell="N4" sqref="N4"/>
    </sheetView>
  </sheetViews>
  <sheetFormatPr baseColWidth="10" defaultColWidth="14.5" defaultRowHeight="15" customHeight="1" x14ac:dyDescent="0.2"/>
  <cols>
    <col min="1" max="1" width="16.33203125" customWidth="1"/>
    <col min="2" max="2" width="12.5" customWidth="1"/>
    <col min="3" max="3" width="12.6640625" bestFit="1" customWidth="1"/>
    <col min="4" max="4" width="10.6640625" customWidth="1"/>
    <col min="5" max="5" width="12.83203125" bestFit="1" customWidth="1"/>
    <col min="6" max="6" width="11.5" bestFit="1" customWidth="1"/>
    <col min="7" max="7" width="12.6640625" bestFit="1" customWidth="1"/>
    <col min="8" max="8" width="10.6640625" customWidth="1"/>
    <col min="9" max="9" width="12.83203125" bestFit="1" customWidth="1"/>
    <col min="10" max="10" width="11.5" bestFit="1" customWidth="1"/>
    <col min="11" max="11" width="12.6640625" bestFit="1" customWidth="1"/>
    <col min="12" max="12" width="10.6640625" customWidth="1"/>
    <col min="13" max="13" width="12.83203125" bestFit="1" customWidth="1"/>
    <col min="14" max="14" width="11.5" bestFit="1" customWidth="1"/>
    <col min="15" max="15" width="12.6640625" bestFit="1" customWidth="1"/>
    <col min="16" max="16" width="10.6640625" customWidth="1"/>
    <col min="17" max="17" width="12.83203125" bestFit="1" customWidth="1"/>
    <col min="18" max="19" width="12.6640625" bestFit="1" customWidth="1"/>
    <col min="20" max="20" width="10.6640625" customWidth="1"/>
    <col min="21" max="21" width="14.83203125" customWidth="1"/>
    <col min="22" max="22" width="11.5" bestFit="1" customWidth="1"/>
    <col min="23" max="23" width="10.6640625" customWidth="1"/>
    <col min="24" max="24" width="10.6640625" style="91" customWidth="1"/>
    <col min="25" max="26" width="10.6640625" customWidth="1"/>
  </cols>
  <sheetData>
    <row r="2" spans="1:46" ht="15" customHeight="1" x14ac:dyDescent="0.2">
      <c r="B2" t="s">
        <v>30</v>
      </c>
      <c r="Z2" t="s">
        <v>29</v>
      </c>
    </row>
    <row r="3" spans="1:46" x14ac:dyDescent="0.2">
      <c r="B3" s="1"/>
      <c r="C3" s="1"/>
      <c r="D3" s="1"/>
      <c r="E3" s="1"/>
    </row>
    <row r="4" spans="1:46" x14ac:dyDescent="0.2">
      <c r="A4" s="1" t="s">
        <v>28</v>
      </c>
    </row>
    <row r="5" spans="1:46" x14ac:dyDescent="0.2">
      <c r="A5" s="1">
        <v>714</v>
      </c>
    </row>
    <row r="7" spans="1:46" ht="16" thickBot="1" x14ac:dyDescent="0.25">
      <c r="D7" s="134">
        <v>0.1</v>
      </c>
      <c r="E7" s="133"/>
      <c r="F7" s="133"/>
      <c r="G7" s="2"/>
      <c r="H7" s="134">
        <v>0.2</v>
      </c>
      <c r="I7" s="133"/>
      <c r="J7" s="133"/>
      <c r="K7" s="2"/>
      <c r="L7" s="134">
        <v>0.3</v>
      </c>
      <c r="M7" s="133"/>
      <c r="N7" s="133"/>
      <c r="O7" s="2"/>
      <c r="P7" s="134">
        <v>0.4</v>
      </c>
      <c r="Q7" s="133"/>
      <c r="R7" s="133"/>
      <c r="S7" s="2"/>
      <c r="T7" s="134">
        <v>0.5</v>
      </c>
      <c r="U7" s="133"/>
      <c r="V7" s="133"/>
      <c r="W7" s="12"/>
      <c r="X7" s="92"/>
      <c r="Y7" s="1"/>
      <c r="AB7" s="134">
        <v>0.1</v>
      </c>
      <c r="AC7" s="133"/>
      <c r="AD7" s="133"/>
      <c r="AE7" s="2"/>
      <c r="AF7" s="134">
        <v>0.2</v>
      </c>
      <c r="AG7" s="133"/>
      <c r="AH7" s="133"/>
      <c r="AI7" s="2"/>
      <c r="AJ7" s="134">
        <v>0.3</v>
      </c>
      <c r="AK7" s="133"/>
      <c r="AL7" s="133"/>
      <c r="AM7" s="2"/>
      <c r="AN7" s="134">
        <v>0.4</v>
      </c>
      <c r="AO7" s="133"/>
      <c r="AP7" s="133"/>
      <c r="AQ7" s="2"/>
      <c r="AR7" s="134">
        <v>0.5</v>
      </c>
      <c r="AS7" s="133"/>
      <c r="AT7" s="133"/>
    </row>
    <row r="8" spans="1:46" ht="16" thickBot="1" x14ac:dyDescent="0.25">
      <c r="B8" s="58" t="s">
        <v>8</v>
      </c>
      <c r="C8" s="62" t="s">
        <v>22</v>
      </c>
      <c r="D8" s="36" t="s">
        <v>7</v>
      </c>
      <c r="E8" s="36" t="s">
        <v>9</v>
      </c>
      <c r="F8" s="45" t="s">
        <v>10</v>
      </c>
      <c r="G8" s="62" t="s">
        <v>22</v>
      </c>
      <c r="H8" s="36" t="s">
        <v>7</v>
      </c>
      <c r="I8" s="36" t="s">
        <v>9</v>
      </c>
      <c r="J8" s="45" t="s">
        <v>10</v>
      </c>
      <c r="K8" s="62" t="s">
        <v>22</v>
      </c>
      <c r="L8" s="36" t="s">
        <v>7</v>
      </c>
      <c r="M8" s="36" t="s">
        <v>9</v>
      </c>
      <c r="N8" s="45" t="s">
        <v>10</v>
      </c>
      <c r="O8" s="62" t="s">
        <v>22</v>
      </c>
      <c r="P8" s="36" t="s">
        <v>7</v>
      </c>
      <c r="Q8" s="36" t="s">
        <v>9</v>
      </c>
      <c r="R8" s="45" t="s">
        <v>10</v>
      </c>
      <c r="S8" s="62" t="s">
        <v>22</v>
      </c>
      <c r="T8" s="36" t="s">
        <v>7</v>
      </c>
      <c r="U8" s="36" t="s">
        <v>9</v>
      </c>
      <c r="V8" s="45" t="s">
        <v>10</v>
      </c>
      <c r="Z8" s="58" t="s">
        <v>8</v>
      </c>
      <c r="AA8" s="62" t="s">
        <v>22</v>
      </c>
      <c r="AB8" s="36" t="s">
        <v>7</v>
      </c>
      <c r="AC8" s="36" t="s">
        <v>9</v>
      </c>
      <c r="AD8" s="45" t="s">
        <v>10</v>
      </c>
      <c r="AE8" s="62" t="s">
        <v>22</v>
      </c>
      <c r="AF8" s="36" t="s">
        <v>7</v>
      </c>
      <c r="AG8" s="36" t="s">
        <v>9</v>
      </c>
      <c r="AH8" s="45" t="s">
        <v>10</v>
      </c>
      <c r="AI8" s="62" t="s">
        <v>22</v>
      </c>
      <c r="AJ8" s="36" t="s">
        <v>7</v>
      </c>
      <c r="AK8" s="36" t="s">
        <v>9</v>
      </c>
      <c r="AL8" s="45" t="s">
        <v>10</v>
      </c>
      <c r="AM8" s="62" t="s">
        <v>22</v>
      </c>
      <c r="AN8" s="36" t="s">
        <v>7</v>
      </c>
      <c r="AO8" s="36" t="s">
        <v>9</v>
      </c>
      <c r="AP8" s="45" t="s">
        <v>10</v>
      </c>
      <c r="AQ8" s="62" t="s">
        <v>22</v>
      </c>
      <c r="AR8" s="36" t="s">
        <v>7</v>
      </c>
      <c r="AS8" s="36" t="s">
        <v>9</v>
      </c>
      <c r="AT8" s="45" t="s">
        <v>10</v>
      </c>
    </row>
    <row r="9" spans="1:46" x14ac:dyDescent="0.2">
      <c r="B9" s="52">
        <v>0</v>
      </c>
      <c r="C9" s="46">
        <f t="shared" ref="C9:V9" si="0">AVERAGE(C31,C46,C62)</f>
        <v>2321.6666666666665</v>
      </c>
      <c r="D9" s="61">
        <f t="shared" si="0"/>
        <v>27.833333333333332</v>
      </c>
      <c r="E9" s="42">
        <f t="shared" si="0"/>
        <v>3.8982259570494865E-2</v>
      </c>
      <c r="F9" s="47">
        <f t="shared" si="0"/>
        <v>0.97199999999999998</v>
      </c>
      <c r="G9" s="46">
        <f t="shared" si="0"/>
        <v>2065</v>
      </c>
      <c r="H9" s="41">
        <f t="shared" si="0"/>
        <v>24.533333333333331</v>
      </c>
      <c r="I9" s="42">
        <f t="shared" si="0"/>
        <v>3.4360410830999062E-2</v>
      </c>
      <c r="J9" s="47">
        <f t="shared" si="0"/>
        <v>0.97566666666666657</v>
      </c>
      <c r="K9" s="46">
        <f t="shared" si="0"/>
        <v>1788.3333333333333</v>
      </c>
      <c r="L9" s="41">
        <f t="shared" si="0"/>
        <v>24.333333333333332</v>
      </c>
      <c r="M9" s="42">
        <f t="shared" si="0"/>
        <v>3.4080298786181136E-2</v>
      </c>
      <c r="N9" s="47">
        <f t="shared" si="0"/>
        <v>0.97533333333333339</v>
      </c>
      <c r="O9" s="46">
        <f t="shared" si="0"/>
        <v>1490</v>
      </c>
      <c r="P9" s="41">
        <f t="shared" si="0"/>
        <v>23.033333333333335</v>
      </c>
      <c r="Q9" s="42">
        <f t="shared" si="0"/>
        <v>3.2259570494864609E-2</v>
      </c>
      <c r="R9" s="47">
        <f t="shared" si="0"/>
        <v>0.97733333333333328</v>
      </c>
      <c r="S9" s="46">
        <f t="shared" si="0"/>
        <v>1200</v>
      </c>
      <c r="T9" s="41">
        <f t="shared" si="0"/>
        <v>24.233333333333334</v>
      </c>
      <c r="U9" s="42">
        <f t="shared" si="0"/>
        <v>3.3940242763772173E-2</v>
      </c>
      <c r="V9" s="47">
        <f t="shared" si="0"/>
        <v>0.97566666666666668</v>
      </c>
      <c r="Z9" s="52">
        <v>0</v>
      </c>
      <c r="AA9" s="46">
        <f t="shared" ref="AA9:AT9" si="1">AVERAGE(AA31,AA46,AA62)</f>
        <v>2321.6666666666665</v>
      </c>
      <c r="AB9" s="61">
        <f t="shared" si="1"/>
        <v>32.966666666666669</v>
      </c>
      <c r="AC9" s="42">
        <f>AVERAGE(AC31,AC46,AC62)</f>
        <v>4.6171802054154998E-2</v>
      </c>
      <c r="AD9" s="117">
        <f>AVERAGE(AD31,AD46,AD62)</f>
        <v>0.96266666666666667</v>
      </c>
      <c r="AE9" s="46">
        <f t="shared" si="1"/>
        <v>2065</v>
      </c>
      <c r="AF9" s="41">
        <f t="shared" si="1"/>
        <v>29.8</v>
      </c>
      <c r="AG9" s="42">
        <f t="shared" si="1"/>
        <v>4.1736694677871146E-2</v>
      </c>
      <c r="AH9" s="117">
        <f t="shared" si="1"/>
        <v>0.96733333333333327</v>
      </c>
      <c r="AI9" s="46">
        <f t="shared" si="1"/>
        <v>1787.3333333333333</v>
      </c>
      <c r="AJ9" s="41">
        <f t="shared" si="1"/>
        <v>28.633333333333336</v>
      </c>
      <c r="AK9" s="42">
        <f t="shared" si="1"/>
        <v>4.0102707749766577E-2</v>
      </c>
      <c r="AL9" s="117">
        <f t="shared" si="1"/>
        <v>0.96933333333333327</v>
      </c>
      <c r="AM9" s="46">
        <f t="shared" si="1"/>
        <v>1490</v>
      </c>
      <c r="AN9" s="41">
        <f t="shared" si="1"/>
        <v>26.033333333333331</v>
      </c>
      <c r="AO9" s="42">
        <f t="shared" si="1"/>
        <v>3.6461251167133522E-2</v>
      </c>
      <c r="AP9" s="117">
        <f t="shared" si="1"/>
        <v>0.97366666666666657</v>
      </c>
      <c r="AQ9" s="46">
        <f t="shared" si="1"/>
        <v>1200</v>
      </c>
      <c r="AR9" s="41">
        <f t="shared" si="1"/>
        <v>26</v>
      </c>
      <c r="AS9" s="42">
        <f t="shared" si="1"/>
        <v>3.6414565826330535E-2</v>
      </c>
      <c r="AT9" s="97">
        <f t="shared" si="1"/>
        <v>0.97366666666666657</v>
      </c>
    </row>
    <row r="10" spans="1:46" x14ac:dyDescent="0.2">
      <c r="B10" s="52">
        <v>1</v>
      </c>
      <c r="C10" s="46">
        <f t="shared" ref="C10:V10" si="2">AVERAGE(C32,C47,C63)</f>
        <v>2186.6666666666665</v>
      </c>
      <c r="D10" s="61">
        <f t="shared" si="2"/>
        <v>24.733333333333334</v>
      </c>
      <c r="E10" s="42">
        <f t="shared" si="2"/>
        <v>3.4640522875817002E-2</v>
      </c>
      <c r="F10" s="47">
        <f t="shared" si="2"/>
        <v>0.94333333333333336</v>
      </c>
      <c r="G10" s="46">
        <f t="shared" si="2"/>
        <v>1966.6666666666667</v>
      </c>
      <c r="H10" s="41">
        <f t="shared" si="2"/>
        <v>24.066666666666663</v>
      </c>
      <c r="I10" s="42">
        <f t="shared" si="2"/>
        <v>3.3706816059757234E-2</v>
      </c>
      <c r="J10" s="47">
        <f t="shared" si="2"/>
        <v>0.94166666666666654</v>
      </c>
      <c r="K10" s="46">
        <f t="shared" si="2"/>
        <v>1746.6666666666667</v>
      </c>
      <c r="L10" s="41">
        <f t="shared" si="2"/>
        <v>21.866666666666664</v>
      </c>
      <c r="M10" s="42">
        <f t="shared" si="2"/>
        <v>3.062558356676004E-2</v>
      </c>
      <c r="N10" s="47">
        <f t="shared" si="2"/>
        <v>0.94799999999999995</v>
      </c>
      <c r="O10" s="46">
        <f t="shared" si="2"/>
        <v>1536.6666666666667</v>
      </c>
      <c r="P10" s="41">
        <f t="shared" si="2"/>
        <v>22.599999999999998</v>
      </c>
      <c r="Q10" s="42">
        <f t="shared" si="2"/>
        <v>3.1652661064425769E-2</v>
      </c>
      <c r="R10" s="47">
        <f t="shared" si="2"/>
        <v>0.94700000000000006</v>
      </c>
      <c r="S10" s="46">
        <f t="shared" si="2"/>
        <v>1283.3333333333333</v>
      </c>
      <c r="T10" s="41">
        <f t="shared" si="2"/>
        <v>21.166666666666664</v>
      </c>
      <c r="U10" s="42">
        <f t="shared" si="2"/>
        <v>2.9645191409897288E-2</v>
      </c>
      <c r="V10" s="47">
        <f t="shared" si="2"/>
        <v>0.96</v>
      </c>
      <c r="Z10" s="52">
        <v>1</v>
      </c>
      <c r="AA10" s="46">
        <f t="shared" ref="AA10:AT10" si="3">AVERAGE(AA32,AA47,AA63)</f>
        <v>2186.6666666666665</v>
      </c>
      <c r="AB10" s="61">
        <f t="shared" si="3"/>
        <v>28.8</v>
      </c>
      <c r="AC10" s="42">
        <f t="shared" si="3"/>
        <v>4.0336134453781508E-2</v>
      </c>
      <c r="AD10" s="64">
        <f t="shared" si="3"/>
        <v>0.93299999999999994</v>
      </c>
      <c r="AE10" s="46">
        <f t="shared" si="3"/>
        <v>1966.6666666666667</v>
      </c>
      <c r="AF10" s="41">
        <f t="shared" si="3"/>
        <v>26.333333333333332</v>
      </c>
      <c r="AG10" s="42">
        <f t="shared" si="3"/>
        <v>3.6881419234360412E-2</v>
      </c>
      <c r="AH10" s="64">
        <f t="shared" si="3"/>
        <v>0.93699999999999994</v>
      </c>
      <c r="AI10" s="46">
        <f t="shared" si="3"/>
        <v>1746.6666666666667</v>
      </c>
      <c r="AJ10" s="41">
        <f t="shared" si="3"/>
        <v>24.366666666666664</v>
      </c>
      <c r="AK10" s="42">
        <f t="shared" si="3"/>
        <v>3.4126984126984124E-2</v>
      </c>
      <c r="AL10" s="64">
        <f t="shared" si="3"/>
        <v>0.94633333333333336</v>
      </c>
      <c r="AM10" s="46">
        <f t="shared" si="3"/>
        <v>1536.6666666666667</v>
      </c>
      <c r="AN10" s="41">
        <f t="shared" si="3"/>
        <v>23.7</v>
      </c>
      <c r="AO10" s="42">
        <f t="shared" si="3"/>
        <v>3.319327731092437E-2</v>
      </c>
      <c r="AP10" s="64">
        <f t="shared" si="3"/>
        <v>0.94766666666666666</v>
      </c>
      <c r="AQ10" s="46">
        <f t="shared" si="3"/>
        <v>1283.3333333333333</v>
      </c>
      <c r="AR10" s="41">
        <f t="shared" si="3"/>
        <v>22.466666666666669</v>
      </c>
      <c r="AS10" s="42">
        <f t="shared" si="3"/>
        <v>3.1465919701213825E-2</v>
      </c>
      <c r="AT10" s="42">
        <f t="shared" si="3"/>
        <v>0.95699999999999996</v>
      </c>
    </row>
    <row r="11" spans="1:46" x14ac:dyDescent="0.2">
      <c r="B11" s="52">
        <v>2</v>
      </c>
      <c r="C11" s="46">
        <f t="shared" ref="C11:V11" si="4">AVERAGE(C33,C48,C64)</f>
        <v>1746.6666666666667</v>
      </c>
      <c r="D11" s="61">
        <f t="shared" si="4"/>
        <v>32.666666666666664</v>
      </c>
      <c r="E11" s="42">
        <f t="shared" si="4"/>
        <v>4.5751633986928109E-2</v>
      </c>
      <c r="F11" s="47">
        <f t="shared" si="4"/>
        <v>0.87733333333333341</v>
      </c>
      <c r="G11" s="46">
        <f t="shared" si="4"/>
        <v>1543.3333333333333</v>
      </c>
      <c r="H11" s="41">
        <f t="shared" si="4"/>
        <v>25.033333333333331</v>
      </c>
      <c r="I11" s="42">
        <f t="shared" si="4"/>
        <v>3.5060690943043878E-2</v>
      </c>
      <c r="J11" s="47">
        <f t="shared" si="4"/>
        <v>0.92366666666666664</v>
      </c>
      <c r="K11" s="46">
        <f t="shared" si="4"/>
        <v>1338.3333333333333</v>
      </c>
      <c r="L11" s="41">
        <f t="shared" si="4"/>
        <v>22.933333333333334</v>
      </c>
      <c r="M11" s="42">
        <f t="shared" si="4"/>
        <v>3.2119514472455646E-2</v>
      </c>
      <c r="N11" s="47">
        <f t="shared" si="4"/>
        <v>0.93433333333333335</v>
      </c>
      <c r="O11" s="46">
        <f t="shared" si="4"/>
        <v>1128.3333333333333</v>
      </c>
      <c r="P11" s="41">
        <f t="shared" si="4"/>
        <v>23.900000000000002</v>
      </c>
      <c r="Q11" s="42">
        <f t="shared" si="4"/>
        <v>3.3473389355742296E-2</v>
      </c>
      <c r="R11" s="47">
        <f t="shared" si="4"/>
        <v>0.93633333333333335</v>
      </c>
      <c r="S11" s="46">
        <f t="shared" si="4"/>
        <v>918.33333333333337</v>
      </c>
      <c r="T11" s="41">
        <f t="shared" si="4"/>
        <v>23.5</v>
      </c>
      <c r="U11" s="42">
        <f t="shared" si="4"/>
        <v>3.2913165266106444E-2</v>
      </c>
      <c r="V11" s="47">
        <f t="shared" si="4"/>
        <v>0.93699999999999994</v>
      </c>
      <c r="Z11" s="52">
        <v>2</v>
      </c>
      <c r="AA11" s="46">
        <f t="shared" ref="AA11:AT11" si="5">AVERAGE(AA33,AA48,AA64)</f>
        <v>1746.6666666666667</v>
      </c>
      <c r="AB11" s="61">
        <f t="shared" si="5"/>
        <v>35.699999999999996</v>
      </c>
      <c r="AC11" s="42">
        <f t="shared" si="5"/>
        <v>5.000000000000001E-2</v>
      </c>
      <c r="AD11" s="64">
        <f t="shared" si="5"/>
        <v>0.85833333333333339</v>
      </c>
      <c r="AE11" s="46">
        <f t="shared" si="5"/>
        <v>1543.3333333333333</v>
      </c>
      <c r="AF11" s="41">
        <f t="shared" si="5"/>
        <v>29.466666666666669</v>
      </c>
      <c r="AG11" s="42">
        <f t="shared" si="5"/>
        <v>4.1269841269841269E-2</v>
      </c>
      <c r="AH11" s="64">
        <f t="shared" si="5"/>
        <v>0.90133333333333343</v>
      </c>
      <c r="AI11" s="46">
        <f t="shared" si="5"/>
        <v>1338.3333333333333</v>
      </c>
      <c r="AJ11" s="41">
        <f t="shared" si="5"/>
        <v>25.3</v>
      </c>
      <c r="AK11" s="42">
        <f t="shared" si="5"/>
        <v>3.5434173669467793E-2</v>
      </c>
      <c r="AL11" s="64">
        <f t="shared" si="5"/>
        <v>0.92400000000000004</v>
      </c>
      <c r="AM11" s="46">
        <f t="shared" si="5"/>
        <v>1128.3333333333333</v>
      </c>
      <c r="AN11" s="41">
        <f t="shared" si="5"/>
        <v>25.633333333333336</v>
      </c>
      <c r="AO11" s="42">
        <f t="shared" si="5"/>
        <v>3.590102707749767E-2</v>
      </c>
      <c r="AP11" s="64">
        <f t="shared" si="5"/>
        <v>0.92666666666666675</v>
      </c>
      <c r="AQ11" s="46">
        <f t="shared" si="5"/>
        <v>918.33333333333337</v>
      </c>
      <c r="AR11" s="41">
        <f t="shared" si="5"/>
        <v>25.166666666666668</v>
      </c>
      <c r="AS11" s="42">
        <f t="shared" si="5"/>
        <v>3.5247432306255835E-2</v>
      </c>
      <c r="AT11" s="42">
        <f t="shared" si="5"/>
        <v>0.92766666666666675</v>
      </c>
    </row>
    <row r="12" spans="1:46" x14ac:dyDescent="0.2">
      <c r="B12" s="52">
        <v>3</v>
      </c>
      <c r="C12" s="46">
        <f t="shared" ref="C12:V12" si="6">AVERAGE(C34,C49,C65)</f>
        <v>1403.3333333333333</v>
      </c>
      <c r="D12" s="61">
        <f t="shared" si="6"/>
        <v>28.766666666666666</v>
      </c>
      <c r="E12" s="42">
        <f t="shared" si="6"/>
        <v>4.0289449112978527E-2</v>
      </c>
      <c r="F12" s="47">
        <f t="shared" si="6"/>
        <v>0.97199999999999998</v>
      </c>
      <c r="G12" s="46">
        <f t="shared" si="6"/>
        <v>1236.6666666666667</v>
      </c>
      <c r="H12" s="41">
        <f t="shared" si="6"/>
        <v>25.100000000000005</v>
      </c>
      <c r="I12" s="42">
        <f t="shared" si="6"/>
        <v>3.5154061624649867E-2</v>
      </c>
      <c r="J12" s="47">
        <f t="shared" si="6"/>
        <v>0.97699999999999998</v>
      </c>
      <c r="K12" s="46">
        <f t="shared" si="6"/>
        <v>1106.6666666666667</v>
      </c>
      <c r="L12" s="41">
        <f t="shared" si="6"/>
        <v>21.8</v>
      </c>
      <c r="M12" s="42">
        <f t="shared" si="6"/>
        <v>3.0532212885154061E-2</v>
      </c>
      <c r="N12" s="47">
        <f t="shared" si="6"/>
        <v>0.98133333333333328</v>
      </c>
      <c r="O12" s="46">
        <f t="shared" si="6"/>
        <v>953.33333333333337</v>
      </c>
      <c r="P12" s="41">
        <f t="shared" si="6"/>
        <v>20.866666666666664</v>
      </c>
      <c r="Q12" s="42">
        <f t="shared" si="6"/>
        <v>2.9225023342670398E-2</v>
      </c>
      <c r="R12" s="47">
        <f t="shared" si="6"/>
        <v>0.98199999999999987</v>
      </c>
      <c r="S12" s="46">
        <f t="shared" si="6"/>
        <v>811.66666666666663</v>
      </c>
      <c r="T12" s="41">
        <f t="shared" si="6"/>
        <v>20.466666666666665</v>
      </c>
      <c r="U12" s="42">
        <f t="shared" si="6"/>
        <v>2.8664799253034546E-2</v>
      </c>
      <c r="V12" s="47">
        <f t="shared" si="6"/>
        <v>0.98233333333333339</v>
      </c>
      <c r="Z12" s="52">
        <v>3</v>
      </c>
      <c r="AA12" s="46">
        <f t="shared" ref="AA12:AT12" si="7">AVERAGE(AA34,AA49,AA65)</f>
        <v>1403.3333333333333</v>
      </c>
      <c r="AB12" s="61">
        <f t="shared" si="7"/>
        <v>36.93333333333333</v>
      </c>
      <c r="AC12" s="42">
        <f t="shared" si="7"/>
        <v>5.1727357609710554E-2</v>
      </c>
      <c r="AD12" s="64">
        <f t="shared" si="7"/>
        <v>0.95833333333333337</v>
      </c>
      <c r="AE12" s="46">
        <f t="shared" si="7"/>
        <v>1236.6666666666667</v>
      </c>
      <c r="AF12" s="41">
        <f t="shared" si="7"/>
        <v>32.200000000000003</v>
      </c>
      <c r="AG12" s="42">
        <f t="shared" si="7"/>
        <v>4.5098039215686274E-2</v>
      </c>
      <c r="AH12" s="64">
        <f t="shared" si="7"/>
        <v>0.96600000000000008</v>
      </c>
      <c r="AI12" s="46">
        <f t="shared" si="7"/>
        <v>1106.6666666666667</v>
      </c>
      <c r="AJ12" s="41">
        <f t="shared" si="7"/>
        <v>26.166666666666668</v>
      </c>
      <c r="AK12" s="42">
        <f t="shared" si="7"/>
        <v>3.6647992530345473E-2</v>
      </c>
      <c r="AL12" s="64">
        <f t="shared" si="7"/>
        <v>0.97566666666666668</v>
      </c>
      <c r="AM12" s="46">
        <f t="shared" si="7"/>
        <v>953.33333333333337</v>
      </c>
      <c r="AN12" s="41">
        <f t="shared" si="7"/>
        <v>23.366666666666664</v>
      </c>
      <c r="AO12" s="42">
        <f t="shared" si="7"/>
        <v>3.2726423902894493E-2</v>
      </c>
      <c r="AP12" s="64">
        <f t="shared" si="7"/>
        <v>0.97866666666666668</v>
      </c>
      <c r="AQ12" s="46">
        <f t="shared" si="7"/>
        <v>811.66666666666663</v>
      </c>
      <c r="AR12" s="41">
        <f t="shared" si="7"/>
        <v>22.966666666666669</v>
      </c>
      <c r="AS12" s="42">
        <f t="shared" si="7"/>
        <v>3.216619981325864E-2</v>
      </c>
      <c r="AT12" s="42">
        <f t="shared" si="7"/>
        <v>0.97933333333333328</v>
      </c>
    </row>
    <row r="13" spans="1:46" x14ac:dyDescent="0.2">
      <c r="B13" s="52">
        <v>4</v>
      </c>
      <c r="C13" s="46">
        <f t="shared" ref="C13:V13" si="8">AVERAGE(C35,C50,C66)</f>
        <v>1536.6666666666667</v>
      </c>
      <c r="D13" s="61">
        <f t="shared" si="8"/>
        <v>29.099999999999998</v>
      </c>
      <c r="E13" s="42">
        <f t="shared" si="8"/>
        <v>4.0756302521008404E-2</v>
      </c>
      <c r="F13" s="47">
        <f t="shared" si="8"/>
        <v>0.96966666666666657</v>
      </c>
      <c r="G13" s="46">
        <f t="shared" si="8"/>
        <v>1363.3333333333333</v>
      </c>
      <c r="H13" s="41">
        <f t="shared" si="8"/>
        <v>24.8</v>
      </c>
      <c r="I13" s="42">
        <f t="shared" si="8"/>
        <v>3.4733893557422971E-2</v>
      </c>
      <c r="J13" s="47">
        <f t="shared" si="8"/>
        <v>0.97633333333333328</v>
      </c>
      <c r="K13" s="46">
        <f t="shared" si="8"/>
        <v>1171.6666666666667</v>
      </c>
      <c r="L13" s="41">
        <f t="shared" si="8"/>
        <v>22.766666666666666</v>
      </c>
      <c r="M13" s="42">
        <f t="shared" si="8"/>
        <v>3.1886087768440707E-2</v>
      </c>
      <c r="N13" s="47">
        <f t="shared" si="8"/>
        <v>0.97833333333333317</v>
      </c>
      <c r="O13" s="46">
        <f t="shared" si="8"/>
        <v>991.66666666666663</v>
      </c>
      <c r="P13" s="41">
        <f t="shared" si="8"/>
        <v>21.966666666666669</v>
      </c>
      <c r="Q13" s="42">
        <f t="shared" si="8"/>
        <v>3.0765639589169003E-2</v>
      </c>
      <c r="R13" s="47">
        <f t="shared" si="8"/>
        <v>0.97966666666666669</v>
      </c>
      <c r="S13" s="46">
        <f t="shared" si="8"/>
        <v>841.66666666666663</v>
      </c>
      <c r="T13" s="41">
        <f t="shared" si="8"/>
        <v>22.633333333333336</v>
      </c>
      <c r="U13" s="42">
        <f t="shared" si="8"/>
        <v>3.1699346405228764E-2</v>
      </c>
      <c r="V13" s="47">
        <f t="shared" si="8"/>
        <v>0.97833333333333339</v>
      </c>
      <c r="Z13" s="52">
        <v>4</v>
      </c>
      <c r="AA13" s="46">
        <f t="shared" ref="AA13:AT13" si="9">AVERAGE(AA35,AA50,AA66)</f>
        <v>1536.6666666666667</v>
      </c>
      <c r="AB13" s="61">
        <f>AVERAGE(AB35,AB50,AB66)</f>
        <v>39.466666666666669</v>
      </c>
      <c r="AC13" s="42">
        <f t="shared" si="9"/>
        <v>5.5275443510737626E-2</v>
      </c>
      <c r="AD13" s="64">
        <f t="shared" si="9"/>
        <v>0.95099999999999996</v>
      </c>
      <c r="AE13" s="46">
        <f t="shared" si="9"/>
        <v>1363.3333333333333</v>
      </c>
      <c r="AF13" s="41">
        <f t="shared" si="9"/>
        <v>29.899999999999995</v>
      </c>
      <c r="AG13" s="42">
        <f t="shared" si="9"/>
        <v>4.1876750700280109E-2</v>
      </c>
      <c r="AH13" s="64">
        <f t="shared" si="9"/>
        <v>0.96599999999999986</v>
      </c>
      <c r="AI13" s="46">
        <f t="shared" si="9"/>
        <v>1171.6666666666667</v>
      </c>
      <c r="AJ13" s="41">
        <f t="shared" si="9"/>
        <v>25.866666666666664</v>
      </c>
      <c r="AK13" s="42">
        <f t="shared" si="9"/>
        <v>3.6227824463118577E-2</v>
      </c>
      <c r="AL13" s="64">
        <f t="shared" si="9"/>
        <v>0.97399999999999987</v>
      </c>
      <c r="AM13" s="46">
        <f t="shared" si="9"/>
        <v>991.66666666666663</v>
      </c>
      <c r="AN13" s="41">
        <f t="shared" si="9"/>
        <v>23.933333333333334</v>
      </c>
      <c r="AO13" s="42">
        <f t="shared" si="9"/>
        <v>3.3520074696545284E-2</v>
      </c>
      <c r="AP13" s="64">
        <f t="shared" si="9"/>
        <v>0.97733333333333328</v>
      </c>
      <c r="AQ13" s="46">
        <f t="shared" si="9"/>
        <v>841.66666666666663</v>
      </c>
      <c r="AR13" s="41">
        <f t="shared" si="9"/>
        <v>25.3</v>
      </c>
      <c r="AS13" s="42">
        <f t="shared" si="9"/>
        <v>3.5434173669467793E-2</v>
      </c>
      <c r="AT13" s="42">
        <f t="shared" si="9"/>
        <v>0.97466666666666668</v>
      </c>
    </row>
    <row r="14" spans="1:46" x14ac:dyDescent="0.2">
      <c r="B14" s="52">
        <v>5</v>
      </c>
      <c r="C14" s="46">
        <f t="shared" ref="C14:V14" si="10">AVERAGE(C36,C51,C67)</f>
        <v>1550</v>
      </c>
      <c r="D14" s="61">
        <f t="shared" si="10"/>
        <v>28.033333333333331</v>
      </c>
      <c r="E14" s="42">
        <f t="shared" si="10"/>
        <v>3.9262371615312791E-2</v>
      </c>
      <c r="F14" s="47">
        <f t="shared" si="10"/>
        <v>0.94100000000000017</v>
      </c>
      <c r="G14" s="46">
        <f t="shared" si="10"/>
        <v>1380</v>
      </c>
      <c r="H14" s="41">
        <f t="shared" si="10"/>
        <v>21.833333333333332</v>
      </c>
      <c r="I14" s="42">
        <f t="shared" si="10"/>
        <v>3.0578898225957048E-2</v>
      </c>
      <c r="J14" s="47">
        <f t="shared" si="10"/>
        <v>0.96233333333333337</v>
      </c>
      <c r="K14" s="46">
        <f t="shared" si="10"/>
        <v>1206.6666666666667</v>
      </c>
      <c r="L14" s="41">
        <f t="shared" si="10"/>
        <v>20.266666666666666</v>
      </c>
      <c r="M14" s="42">
        <f t="shared" si="10"/>
        <v>2.838468720821662E-2</v>
      </c>
      <c r="N14" s="47">
        <f t="shared" si="10"/>
        <v>0.96766666666666667</v>
      </c>
      <c r="O14" s="46">
        <f t="shared" si="10"/>
        <v>1050</v>
      </c>
      <c r="P14" s="41">
        <f t="shared" si="10"/>
        <v>19.333333333333332</v>
      </c>
      <c r="Q14" s="42">
        <f t="shared" si="10"/>
        <v>2.7077497665732957E-2</v>
      </c>
      <c r="R14" s="47">
        <f t="shared" si="10"/>
        <v>0.96966666666666657</v>
      </c>
      <c r="S14" s="46">
        <f t="shared" si="10"/>
        <v>881.66666666666663</v>
      </c>
      <c r="T14" s="41">
        <f t="shared" si="10"/>
        <v>20</v>
      </c>
      <c r="U14" s="42">
        <f t="shared" si="10"/>
        <v>2.8011204481792718E-2</v>
      </c>
      <c r="V14" s="47">
        <f t="shared" si="10"/>
        <v>0.96833333333333338</v>
      </c>
      <c r="Z14" s="52">
        <v>5</v>
      </c>
      <c r="AA14" s="46">
        <f t="shared" ref="AA14:AT14" si="11">AVERAGE(AA36,AA51,AA67)</f>
        <v>1550</v>
      </c>
      <c r="AB14" s="41">
        <f t="shared" si="11"/>
        <v>38.799999999999997</v>
      </c>
      <c r="AC14" s="42">
        <f t="shared" si="11"/>
        <v>5.4341736694677872E-2</v>
      </c>
      <c r="AD14" s="64">
        <f t="shared" si="11"/>
        <v>0.88666666666666671</v>
      </c>
      <c r="AE14" s="46">
        <f t="shared" si="11"/>
        <v>1380</v>
      </c>
      <c r="AF14" s="41">
        <f t="shared" si="11"/>
        <v>25.666666666666668</v>
      </c>
      <c r="AG14" s="42">
        <f t="shared" si="11"/>
        <v>3.5947712418300651E-2</v>
      </c>
      <c r="AH14" s="64">
        <f t="shared" si="11"/>
        <v>0.95166666666666666</v>
      </c>
      <c r="AI14" s="46">
        <f t="shared" si="11"/>
        <v>1206.6666666666667</v>
      </c>
      <c r="AJ14" s="41">
        <f t="shared" si="11"/>
        <v>23.099999999999998</v>
      </c>
      <c r="AK14" s="42">
        <f t="shared" si="11"/>
        <v>3.2352941176470591E-2</v>
      </c>
      <c r="AL14" s="64">
        <f t="shared" si="11"/>
        <v>0.95833333333333337</v>
      </c>
      <c r="AM14" s="46">
        <f t="shared" si="11"/>
        <v>1050</v>
      </c>
      <c r="AN14" s="41">
        <f t="shared" si="11"/>
        <v>21.766666666666666</v>
      </c>
      <c r="AO14" s="42">
        <f t="shared" si="11"/>
        <v>3.0485527544351073E-2</v>
      </c>
      <c r="AP14" s="64">
        <f t="shared" si="11"/>
        <v>0.96266666666666667</v>
      </c>
      <c r="AQ14" s="46">
        <f t="shared" si="11"/>
        <v>881.66666666666663</v>
      </c>
      <c r="AR14" s="41">
        <f t="shared" si="11"/>
        <v>22.8</v>
      </c>
      <c r="AS14" s="42">
        <f t="shared" si="11"/>
        <v>3.1932773109243702E-2</v>
      </c>
      <c r="AT14" s="42">
        <f t="shared" si="11"/>
        <v>0.95800000000000007</v>
      </c>
    </row>
    <row r="15" spans="1:46" x14ac:dyDescent="0.2">
      <c r="B15" s="52">
        <v>6</v>
      </c>
      <c r="C15" s="46">
        <f t="shared" ref="C15:V15" si="12">AVERAGE(C37,C52,C68)</f>
        <v>1426.6666666666667</v>
      </c>
      <c r="D15" s="61">
        <f t="shared" si="12"/>
        <v>29.8</v>
      </c>
      <c r="E15" s="42">
        <f t="shared" si="12"/>
        <v>4.1736694677871146E-2</v>
      </c>
      <c r="F15" s="47">
        <f t="shared" si="12"/>
        <v>0.9</v>
      </c>
      <c r="G15" s="46">
        <f t="shared" si="12"/>
        <v>1258.3333333333333</v>
      </c>
      <c r="H15" s="41">
        <f t="shared" si="12"/>
        <v>23.266666666666666</v>
      </c>
      <c r="I15" s="42">
        <f t="shared" si="12"/>
        <v>3.2586367880485523E-2</v>
      </c>
      <c r="J15" s="47">
        <f t="shared" si="12"/>
        <v>0.94299999999999995</v>
      </c>
      <c r="K15" s="46">
        <f t="shared" si="12"/>
        <v>1106.6666666666667</v>
      </c>
      <c r="L15" s="41">
        <f t="shared" si="12"/>
        <v>22.366666666666664</v>
      </c>
      <c r="M15" s="42">
        <f t="shared" si="12"/>
        <v>3.1325863678804855E-2</v>
      </c>
      <c r="N15" s="47">
        <f t="shared" si="12"/>
        <v>0.95466666666666666</v>
      </c>
      <c r="O15" s="46">
        <f t="shared" si="12"/>
        <v>965</v>
      </c>
      <c r="P15" s="41">
        <f t="shared" si="12"/>
        <v>22.266666666666666</v>
      </c>
      <c r="Q15" s="42">
        <f t="shared" si="12"/>
        <v>3.1185807656395892E-2</v>
      </c>
      <c r="R15" s="47">
        <f t="shared" si="12"/>
        <v>0.95733333333333326</v>
      </c>
      <c r="S15" s="46">
        <f t="shared" si="12"/>
        <v>801.66666666666663</v>
      </c>
      <c r="T15" s="41">
        <f t="shared" si="12"/>
        <v>21.5</v>
      </c>
      <c r="U15" s="42">
        <f t="shared" si="12"/>
        <v>3.0112044817927171E-2</v>
      </c>
      <c r="V15" s="47">
        <f t="shared" si="12"/>
        <v>0.96</v>
      </c>
      <c r="Z15" s="52">
        <v>6</v>
      </c>
      <c r="AA15" s="46">
        <f t="shared" ref="AA15:AT15" si="13">AVERAGE(AA37,AA52,AA68)</f>
        <v>1426.6666666666667</v>
      </c>
      <c r="AB15" s="41">
        <f t="shared" si="13"/>
        <v>34.666666666666664</v>
      </c>
      <c r="AC15" s="42">
        <f t="shared" si="13"/>
        <v>4.8552754435107377E-2</v>
      </c>
      <c r="AD15" s="64">
        <f t="shared" si="13"/>
        <v>0.88966666666666649</v>
      </c>
      <c r="AE15" s="46">
        <f t="shared" si="13"/>
        <v>1258.3333333333333</v>
      </c>
      <c r="AF15" s="41">
        <f t="shared" si="13"/>
        <v>28.233333333333334</v>
      </c>
      <c r="AG15" s="42">
        <f t="shared" si="13"/>
        <v>3.9542483660130717E-2</v>
      </c>
      <c r="AH15" s="64">
        <f t="shared" si="13"/>
        <v>0.91699999999999993</v>
      </c>
      <c r="AI15" s="46">
        <f t="shared" si="13"/>
        <v>1106.6666666666667</v>
      </c>
      <c r="AJ15" s="41">
        <f t="shared" si="13"/>
        <v>25.766666666666666</v>
      </c>
      <c r="AK15" s="42">
        <f t="shared" si="13"/>
        <v>3.6087768440709621E-2</v>
      </c>
      <c r="AL15" s="64">
        <f t="shared" si="13"/>
        <v>0.93900000000000006</v>
      </c>
      <c r="AM15" s="46">
        <f t="shared" si="13"/>
        <v>965</v>
      </c>
      <c r="AN15" s="41">
        <f t="shared" si="13"/>
        <v>24.133333333333336</v>
      </c>
      <c r="AO15" s="42">
        <f t="shared" si="13"/>
        <v>3.380018674136321E-2</v>
      </c>
      <c r="AP15" s="64">
        <f t="shared" si="13"/>
        <v>0.95199999999999996</v>
      </c>
      <c r="AQ15" s="46">
        <f t="shared" si="13"/>
        <v>801.66666666666663</v>
      </c>
      <c r="AR15" s="41">
        <f t="shared" si="13"/>
        <v>23.599999999999998</v>
      </c>
      <c r="AS15" s="42">
        <f t="shared" si="13"/>
        <v>3.3053221288515407E-2</v>
      </c>
      <c r="AT15" s="42">
        <f t="shared" si="13"/>
        <v>0.95466666666666666</v>
      </c>
    </row>
    <row r="16" spans="1:46" ht="16" thickBot="1" x14ac:dyDescent="0.25">
      <c r="B16" s="53">
        <v>7</v>
      </c>
      <c r="C16" s="48">
        <f t="shared" ref="C16:V16" si="14">AVERAGE(C38,C53,C69)</f>
        <v>963.33333333333337</v>
      </c>
      <c r="D16" s="63">
        <f t="shared" si="14"/>
        <v>34.200000000000003</v>
      </c>
      <c r="E16" s="50">
        <f t="shared" si="14"/>
        <v>4.7899159663865543E-2</v>
      </c>
      <c r="F16" s="51">
        <f t="shared" si="14"/>
        <v>0.92966666666666675</v>
      </c>
      <c r="G16" s="48">
        <f t="shared" si="14"/>
        <v>858.33333333333337</v>
      </c>
      <c r="H16" s="49">
        <f t="shared" si="14"/>
        <v>25.333333333333332</v>
      </c>
      <c r="I16" s="50">
        <f t="shared" si="14"/>
        <v>3.5480859010270774E-2</v>
      </c>
      <c r="J16" s="51">
        <f t="shared" si="14"/>
        <v>0.96033333333333326</v>
      </c>
      <c r="K16" s="48">
        <f t="shared" si="14"/>
        <v>750</v>
      </c>
      <c r="L16" s="49">
        <f t="shared" si="14"/>
        <v>23.633333333333336</v>
      </c>
      <c r="M16" s="50">
        <f t="shared" si="14"/>
        <v>3.3099906629318394E-2</v>
      </c>
      <c r="N16" s="51">
        <f t="shared" si="14"/>
        <v>0.96366666666666667</v>
      </c>
      <c r="O16" s="48">
        <f t="shared" si="14"/>
        <v>640</v>
      </c>
      <c r="P16" s="49">
        <f t="shared" si="14"/>
        <v>23.8</v>
      </c>
      <c r="Q16" s="50">
        <f t="shared" si="14"/>
        <v>3.3333333333333333E-2</v>
      </c>
      <c r="R16" s="51">
        <f t="shared" si="14"/>
        <v>0.96399999999999997</v>
      </c>
      <c r="S16" s="48">
        <f t="shared" si="14"/>
        <v>523.33333333333337</v>
      </c>
      <c r="T16" s="49">
        <f t="shared" si="14"/>
        <v>25.2</v>
      </c>
      <c r="U16" s="50">
        <f t="shared" si="14"/>
        <v>3.5294117647058823E-2</v>
      </c>
      <c r="V16" s="51">
        <f t="shared" si="14"/>
        <v>0.96066666666666656</v>
      </c>
      <c r="Z16" s="53">
        <v>7</v>
      </c>
      <c r="AA16" s="48">
        <f t="shared" ref="AA16:AT16" si="15">AVERAGE(AA38,AA53,AA69)</f>
        <v>963.33333333333337</v>
      </c>
      <c r="AB16" s="49">
        <f t="shared" si="15"/>
        <v>48.133333333333333</v>
      </c>
      <c r="AC16" s="50">
        <f t="shared" si="15"/>
        <v>6.7413632119514469E-2</v>
      </c>
      <c r="AD16" s="118">
        <f t="shared" si="15"/>
        <v>0.8753333333333333</v>
      </c>
      <c r="AE16" s="48">
        <f t="shared" si="15"/>
        <v>858.33333333333337</v>
      </c>
      <c r="AF16" s="49">
        <f t="shared" si="15"/>
        <v>30.333333333333332</v>
      </c>
      <c r="AG16" s="50">
        <f t="shared" si="15"/>
        <v>4.2483660130718949E-2</v>
      </c>
      <c r="AH16" s="118">
        <f t="shared" si="15"/>
        <v>0.94799999999999995</v>
      </c>
      <c r="AI16" s="48">
        <f t="shared" si="15"/>
        <v>750</v>
      </c>
      <c r="AJ16" s="49">
        <f t="shared" si="15"/>
        <v>27.900000000000002</v>
      </c>
      <c r="AK16" s="50">
        <f t="shared" si="15"/>
        <v>3.907563025210084E-2</v>
      </c>
      <c r="AL16" s="118">
        <f t="shared" si="15"/>
        <v>0.95366666666666655</v>
      </c>
      <c r="AM16" s="48">
        <f t="shared" si="15"/>
        <v>640</v>
      </c>
      <c r="AN16" s="49">
        <f t="shared" si="15"/>
        <v>27.666666666666668</v>
      </c>
      <c r="AO16" s="50">
        <f t="shared" si="15"/>
        <v>3.8748832866479926E-2</v>
      </c>
      <c r="AP16" s="118">
        <f t="shared" si="15"/>
        <v>0.95533333333333337</v>
      </c>
      <c r="AQ16" s="48">
        <f t="shared" si="15"/>
        <v>523.33333333333337</v>
      </c>
      <c r="AR16" s="49">
        <f t="shared" si="15"/>
        <v>27.066666666666666</v>
      </c>
      <c r="AS16" s="50">
        <f t="shared" si="15"/>
        <v>3.7908496732026141E-2</v>
      </c>
      <c r="AT16" s="50">
        <f t="shared" si="15"/>
        <v>0.95733333333333326</v>
      </c>
    </row>
    <row r="17" spans="1:46" ht="16" thickBot="1" x14ac:dyDescent="0.25"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Z17" s="27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</row>
    <row r="18" spans="1:46" ht="16" thickBot="1" x14ac:dyDescent="0.25">
      <c r="B18" s="28" t="s">
        <v>11</v>
      </c>
      <c r="C18" s="28"/>
      <c r="D18" s="56">
        <f t="shared" ref="D18:F18" si="16">AVERAGE(D40,D55,D71)</f>
        <v>28.60771475701053</v>
      </c>
      <c r="E18" s="59">
        <f t="shared" si="16"/>
        <v>4.0066827390771054E-2</v>
      </c>
      <c r="F18" s="57">
        <f t="shared" si="16"/>
        <v>0.94747646237787075</v>
      </c>
      <c r="G18" s="28"/>
      <c r="H18" s="56">
        <f t="shared" ref="H18:J18" si="17">AVERAGE(H40,H55,H71)</f>
        <v>23.969379577932973</v>
      </c>
      <c r="I18" s="59">
        <f t="shared" si="17"/>
        <v>3.3570559632959351E-2</v>
      </c>
      <c r="J18" s="57">
        <f t="shared" si="17"/>
        <v>0.96191949024225842</v>
      </c>
      <c r="K18" s="28"/>
      <c r="L18" s="56">
        <f t="shared" ref="L18:N18" si="18">AVERAGE(L40,L55,L71)</f>
        <v>22.553059226627511</v>
      </c>
      <c r="M18" s="59">
        <f t="shared" si="18"/>
        <v>3.1586917684352254E-2</v>
      </c>
      <c r="N18" s="57">
        <f t="shared" si="18"/>
        <v>0.96576244085495178</v>
      </c>
      <c r="O18" s="28"/>
      <c r="P18" s="56">
        <f>AVERAGE(P40,P55,P71)</f>
        <v>22.350009518370456</v>
      </c>
      <c r="Q18" s="59">
        <f>AVERAGE(Q40,Q55, Q71)</f>
        <v>3.1302534339454423E-2</v>
      </c>
      <c r="R18" s="57">
        <f>AVERAGE(R40,R55,R71)</f>
        <v>0.96644679230915675</v>
      </c>
      <c r="S18" s="28"/>
      <c r="T18" s="56">
        <f>AVERAGE(T40,T55,T71)</f>
        <v>22.364450298745592</v>
      </c>
      <c r="U18" s="59">
        <f>AVERAGE(U40,U55, U71)</f>
        <v>3.1322759522052643E-2</v>
      </c>
      <c r="V18" s="57">
        <f>AVERAGE(V40,V55,V71)</f>
        <v>0.96758563201446446</v>
      </c>
      <c r="Z18" s="28" t="s">
        <v>11</v>
      </c>
      <c r="AA18" s="28"/>
      <c r="AB18" s="56">
        <f t="shared" ref="AB18:AT18" si="19">AVERAGE(AB40,AB55,AB71)</f>
        <v>35.415175739119398</v>
      </c>
      <c r="AC18" s="59">
        <f t="shared" si="19"/>
        <v>4.9601086469354905E-2</v>
      </c>
      <c r="AD18" s="57">
        <f>AVERAGE(AD40,AD55,AD71)</f>
        <v>0.92782552975510724</v>
      </c>
      <c r="AE18" s="28"/>
      <c r="AF18" s="56">
        <f t="shared" si="19"/>
        <v>28.260330570320079</v>
      </c>
      <c r="AG18" s="59">
        <f t="shared" si="19"/>
        <v>3.9580294916414675E-2</v>
      </c>
      <c r="AH18" s="57">
        <f t="shared" si="19"/>
        <v>0.95112128272836782</v>
      </c>
      <c r="AI18" s="28"/>
      <c r="AJ18" s="56">
        <f t="shared" si="19"/>
        <v>25.789009091451152</v>
      </c>
      <c r="AK18" s="59">
        <f t="shared" si="19"/>
        <v>3.611906035217248E-2</v>
      </c>
      <c r="AL18" s="57">
        <f t="shared" si="19"/>
        <v>0.9590043778216063</v>
      </c>
      <c r="AM18" s="28"/>
      <c r="AN18" s="56">
        <f t="shared" si="19"/>
        <v>24.498001142204455</v>
      </c>
      <c r="AO18" s="59">
        <f t="shared" si="19"/>
        <v>3.4310925969474028E-2</v>
      </c>
      <c r="AP18" s="57">
        <f t="shared" si="19"/>
        <v>0.96213116314486957</v>
      </c>
      <c r="AQ18" s="28"/>
      <c r="AR18" s="56">
        <f t="shared" si="19"/>
        <v>24.383796848235207</v>
      </c>
      <c r="AS18" s="59">
        <f t="shared" si="19"/>
        <v>3.4150975977920453E-2</v>
      </c>
      <c r="AT18" s="57">
        <f t="shared" si="19"/>
        <v>0.96284804135204816</v>
      </c>
    </row>
    <row r="19" spans="1:46" ht="15" customHeight="1" x14ac:dyDescent="0.2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spans="1:46" ht="15" customHeight="1" x14ac:dyDescent="0.2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</row>
    <row r="21" spans="1:46" x14ac:dyDescent="0.2">
      <c r="C21" s="24"/>
      <c r="D21" s="31"/>
      <c r="G21" s="24"/>
      <c r="H21" s="31"/>
      <c r="K21" s="24"/>
      <c r="L21" s="31"/>
      <c r="O21" s="24"/>
      <c r="P21" s="31"/>
      <c r="S21" s="24"/>
      <c r="T21" s="31"/>
    </row>
    <row r="22" spans="1:46" x14ac:dyDescent="0.2">
      <c r="C22" s="24"/>
      <c r="D22" s="31"/>
      <c r="G22" s="24"/>
      <c r="H22" s="31"/>
      <c r="K22" s="24"/>
      <c r="L22" s="31"/>
      <c r="O22" s="24"/>
      <c r="P22" s="31"/>
      <c r="S22" s="24"/>
      <c r="T22" s="31"/>
    </row>
    <row r="23" spans="1:46" s="32" customFormat="1" ht="16" thickBot="1" x14ac:dyDescent="0.25">
      <c r="C23" s="35"/>
      <c r="D23" s="38"/>
      <c r="G23" s="35"/>
      <c r="H23" s="38"/>
      <c r="K23" s="35"/>
      <c r="L23" s="38"/>
      <c r="O23" s="35"/>
      <c r="P23" s="38"/>
      <c r="S23" s="35"/>
      <c r="T23" s="38"/>
      <c r="X23" s="93"/>
    </row>
    <row r="24" spans="1:46" s="33" customFormat="1" ht="16" thickBot="1" x14ac:dyDescent="0.25">
      <c r="C24" s="39"/>
      <c r="D24" s="40"/>
      <c r="G24" s="39"/>
      <c r="H24" s="40"/>
      <c r="K24" s="39"/>
      <c r="L24" s="40"/>
      <c r="O24" s="39"/>
      <c r="P24" s="40"/>
      <c r="S24" s="39"/>
      <c r="T24" s="40"/>
      <c r="X24" s="94"/>
    </row>
    <row r="25" spans="1:46" x14ac:dyDescent="0.2">
      <c r="C25" s="24"/>
      <c r="D25" s="31"/>
      <c r="G25" s="24"/>
      <c r="H25" s="31"/>
      <c r="K25" s="24"/>
      <c r="L25" s="31"/>
      <c r="O25" s="24"/>
      <c r="P25" s="31"/>
      <c r="S25" s="24"/>
      <c r="T25" s="31"/>
    </row>
    <row r="26" spans="1:46" ht="15.75" customHeight="1" x14ac:dyDescent="0.2">
      <c r="C26" s="1"/>
      <c r="G26" s="1"/>
    </row>
    <row r="27" spans="1:46" ht="15.75" customHeight="1" x14ac:dyDescent="0.2"/>
    <row r="28" spans="1:46" ht="15.75" customHeight="1" x14ac:dyDescent="0.2"/>
    <row r="29" spans="1:46" ht="15.75" customHeight="1" x14ac:dyDescent="0.2">
      <c r="A29" s="1" t="s">
        <v>23</v>
      </c>
      <c r="D29" s="134">
        <v>0.1</v>
      </c>
      <c r="E29" s="133"/>
      <c r="F29" s="133"/>
      <c r="G29" s="2"/>
      <c r="H29" s="134">
        <v>0.2</v>
      </c>
      <c r="I29" s="133"/>
      <c r="J29" s="133"/>
      <c r="K29" s="2"/>
      <c r="L29" s="134">
        <v>0.3</v>
      </c>
      <c r="M29" s="133"/>
      <c r="N29" s="133"/>
      <c r="O29" s="2"/>
      <c r="P29" s="134">
        <v>0.4</v>
      </c>
      <c r="Q29" s="133"/>
      <c r="R29" s="133"/>
      <c r="S29" s="2"/>
      <c r="T29" s="134">
        <v>0.5</v>
      </c>
      <c r="U29" s="133"/>
      <c r="V29" s="133"/>
      <c r="Y29" s="1" t="s">
        <v>23</v>
      </c>
      <c r="AB29" s="134">
        <v>0.1</v>
      </c>
      <c r="AC29" s="133"/>
      <c r="AD29" s="133"/>
      <c r="AE29" s="2"/>
      <c r="AF29" s="134">
        <v>0.2</v>
      </c>
      <c r="AG29" s="133"/>
      <c r="AH29" s="133"/>
      <c r="AI29" s="2"/>
      <c r="AJ29" s="134">
        <v>0.3</v>
      </c>
      <c r="AK29" s="133"/>
      <c r="AL29" s="133"/>
      <c r="AM29" s="2"/>
      <c r="AN29" s="134">
        <v>0.4</v>
      </c>
      <c r="AO29" s="133"/>
      <c r="AP29" s="133"/>
      <c r="AQ29" s="2"/>
      <c r="AR29" s="134">
        <v>0.5</v>
      </c>
      <c r="AS29" s="133"/>
      <c r="AT29" s="133"/>
    </row>
    <row r="30" spans="1:46" ht="15.75" customHeight="1" thickBot="1" x14ac:dyDescent="0.25">
      <c r="B30" s="13" t="s">
        <v>8</v>
      </c>
      <c r="C30" s="22" t="s">
        <v>22</v>
      </c>
      <c r="D30" s="14" t="s">
        <v>7</v>
      </c>
      <c r="E30" s="13" t="s">
        <v>9</v>
      </c>
      <c r="F30" s="13" t="s">
        <v>10</v>
      </c>
      <c r="G30" s="22" t="s">
        <v>22</v>
      </c>
      <c r="H30" s="14" t="s">
        <v>7</v>
      </c>
      <c r="I30" s="13" t="s">
        <v>9</v>
      </c>
      <c r="J30" s="13" t="s">
        <v>10</v>
      </c>
      <c r="K30" s="22" t="s">
        <v>22</v>
      </c>
      <c r="L30" s="13" t="s">
        <v>7</v>
      </c>
      <c r="M30" s="13" t="s">
        <v>9</v>
      </c>
      <c r="N30" s="13" t="s">
        <v>10</v>
      </c>
      <c r="O30" s="22" t="s">
        <v>22</v>
      </c>
      <c r="P30" s="13" t="s">
        <v>7</v>
      </c>
      <c r="Q30" s="13" t="s">
        <v>9</v>
      </c>
      <c r="R30" s="13" t="s">
        <v>10</v>
      </c>
      <c r="S30" s="22" t="s">
        <v>22</v>
      </c>
      <c r="T30" s="13" t="s">
        <v>7</v>
      </c>
      <c r="U30" s="13" t="s">
        <v>9</v>
      </c>
      <c r="V30" s="13" t="s">
        <v>10</v>
      </c>
      <c r="Z30" s="13" t="s">
        <v>8</v>
      </c>
      <c r="AA30" s="22" t="s">
        <v>22</v>
      </c>
      <c r="AB30" s="14" t="s">
        <v>7</v>
      </c>
      <c r="AC30" s="13" t="s">
        <v>9</v>
      </c>
      <c r="AD30" s="13" t="s">
        <v>10</v>
      </c>
      <c r="AE30" s="22" t="s">
        <v>22</v>
      </c>
      <c r="AF30" s="14" t="s">
        <v>7</v>
      </c>
      <c r="AG30" s="13" t="s">
        <v>9</v>
      </c>
      <c r="AH30" s="13" t="s">
        <v>10</v>
      </c>
      <c r="AI30" s="22" t="s">
        <v>22</v>
      </c>
      <c r="AJ30" s="13" t="s">
        <v>7</v>
      </c>
      <c r="AK30" s="13" t="s">
        <v>9</v>
      </c>
      <c r="AL30" s="13" t="s">
        <v>10</v>
      </c>
      <c r="AM30" s="22" t="s">
        <v>22</v>
      </c>
      <c r="AN30" s="13" t="s">
        <v>7</v>
      </c>
      <c r="AO30" s="13" t="s">
        <v>9</v>
      </c>
      <c r="AP30" s="13" t="s">
        <v>10</v>
      </c>
      <c r="AQ30" s="22" t="s">
        <v>22</v>
      </c>
      <c r="AR30" s="13" t="s">
        <v>7</v>
      </c>
      <c r="AS30" s="13" t="s">
        <v>9</v>
      </c>
      <c r="AT30" s="13" t="s">
        <v>10</v>
      </c>
    </row>
    <row r="31" spans="1:46" ht="15.75" customHeight="1" x14ac:dyDescent="0.2">
      <c r="B31" s="1">
        <v>0</v>
      </c>
      <c r="C31" s="23">
        <v>1455</v>
      </c>
      <c r="D31" s="17">
        <v>30.6</v>
      </c>
      <c r="E31" s="16">
        <f t="shared" ref="E31:E38" si="20">D31/$A$5</f>
        <v>4.2857142857142858E-2</v>
      </c>
      <c r="F31" s="28">
        <v>0.96599999999999997</v>
      </c>
      <c r="G31" s="17">
        <v>1345</v>
      </c>
      <c r="H31" s="17">
        <v>28.1</v>
      </c>
      <c r="I31" s="16">
        <f t="shared" ref="I31:I38" si="21">H31/$A$5</f>
        <v>3.9355742296918766E-2</v>
      </c>
      <c r="J31" s="28">
        <v>0.96899999999999997</v>
      </c>
      <c r="K31" s="23">
        <v>1175</v>
      </c>
      <c r="L31" s="28">
        <v>24.9</v>
      </c>
      <c r="M31" s="16">
        <f t="shared" ref="M31:M38" si="22">L31/$A$5</f>
        <v>3.4873949579831934E-2</v>
      </c>
      <c r="N31" s="28">
        <v>0.97199999999999998</v>
      </c>
      <c r="O31" s="23">
        <v>965</v>
      </c>
      <c r="P31" s="28">
        <v>23.6</v>
      </c>
      <c r="Q31" s="16">
        <f t="shared" ref="Q31:Q38" si="23">P31/$A$5</f>
        <v>3.3053221288515407E-2</v>
      </c>
      <c r="R31" s="28">
        <v>0.97499999999999998</v>
      </c>
      <c r="S31" s="23">
        <v>835</v>
      </c>
      <c r="T31" s="28">
        <v>26</v>
      </c>
      <c r="U31" s="16">
        <f t="shared" ref="U31:U38" si="24">T31/$A$5</f>
        <v>3.6414565826330535E-2</v>
      </c>
      <c r="V31" s="28">
        <v>0.97299999999999998</v>
      </c>
      <c r="Z31" s="1">
        <v>0</v>
      </c>
      <c r="AA31" s="23">
        <v>1455</v>
      </c>
      <c r="AB31" s="17">
        <v>36.9</v>
      </c>
      <c r="AC31" s="16">
        <f t="shared" ref="AC31:AC38" si="25">AB31/$A$5</f>
        <v>5.168067226890756E-2</v>
      </c>
      <c r="AD31" s="28">
        <v>0.95399999999999996</v>
      </c>
      <c r="AE31" s="17">
        <v>1345</v>
      </c>
      <c r="AF31" s="17">
        <v>37.9</v>
      </c>
      <c r="AG31" s="16">
        <f t="shared" ref="AG31:AG38" si="26">AF31/$A$5</f>
        <v>5.3081232492997198E-2</v>
      </c>
      <c r="AH31" s="28">
        <v>0.95199999999999996</v>
      </c>
      <c r="AI31" s="23">
        <v>1172</v>
      </c>
      <c r="AJ31" s="28">
        <v>32.1</v>
      </c>
      <c r="AK31" s="16">
        <f t="shared" ref="AK31:AK38" si="27">AJ31/$A$5</f>
        <v>4.4957983193277311E-2</v>
      </c>
      <c r="AL31" s="28">
        <v>0.96199999999999997</v>
      </c>
      <c r="AM31" s="23">
        <v>965</v>
      </c>
      <c r="AN31" s="28">
        <v>28.3</v>
      </c>
      <c r="AO31" s="16">
        <f t="shared" ref="AO31:AO38" si="28">AN31/$A$5</f>
        <v>3.9635854341736693E-2</v>
      </c>
      <c r="AP31" s="28">
        <v>0.96799999999999997</v>
      </c>
      <c r="AQ31" s="23">
        <v>835</v>
      </c>
      <c r="AR31" s="28">
        <v>28</v>
      </c>
      <c r="AS31" s="16">
        <f>AR31/$A$5</f>
        <v>3.9215686274509803E-2</v>
      </c>
      <c r="AT31" s="28">
        <v>0.96899999999999997</v>
      </c>
    </row>
    <row r="32" spans="1:46" ht="15.75" customHeight="1" x14ac:dyDescent="0.2">
      <c r="B32" s="1">
        <v>1</v>
      </c>
      <c r="C32" s="23">
        <v>2835</v>
      </c>
      <c r="D32" s="17">
        <v>26.2</v>
      </c>
      <c r="E32" s="16">
        <f t="shared" si="20"/>
        <v>3.6694677871148461E-2</v>
      </c>
      <c r="F32" s="28">
        <v>0.97499999999999998</v>
      </c>
      <c r="G32" s="17">
        <v>2510</v>
      </c>
      <c r="H32" s="17">
        <v>24.9</v>
      </c>
      <c r="I32" s="16">
        <f t="shared" si="21"/>
        <v>3.4873949579831934E-2</v>
      </c>
      <c r="J32" s="28">
        <v>0.97699999999999998</v>
      </c>
      <c r="K32" s="23">
        <v>2205</v>
      </c>
      <c r="L32" s="28">
        <v>23.5</v>
      </c>
      <c r="M32" s="16">
        <f t="shared" si="22"/>
        <v>3.2913165266106444E-2</v>
      </c>
      <c r="N32" s="28">
        <v>0.97799999999999998</v>
      </c>
      <c r="O32" s="23">
        <v>1920</v>
      </c>
      <c r="P32" s="28">
        <v>23.6</v>
      </c>
      <c r="Q32" s="16">
        <f t="shared" si="23"/>
        <v>3.3053221288515407E-2</v>
      </c>
      <c r="R32" s="28">
        <v>0.97699999999999998</v>
      </c>
      <c r="S32" s="23">
        <v>1615</v>
      </c>
      <c r="T32" s="28">
        <v>22.7</v>
      </c>
      <c r="U32" s="16">
        <f t="shared" si="24"/>
        <v>3.1792717086834732E-2</v>
      </c>
      <c r="V32" s="28">
        <v>0.97799999999999998</v>
      </c>
      <c r="Z32" s="1">
        <v>1</v>
      </c>
      <c r="AA32" s="23">
        <v>2835</v>
      </c>
      <c r="AB32" s="17">
        <v>28.9</v>
      </c>
      <c r="AC32" s="16">
        <f t="shared" si="25"/>
        <v>4.0476190476190471E-2</v>
      </c>
      <c r="AD32" s="28">
        <v>0.97199999999999998</v>
      </c>
      <c r="AE32" s="17">
        <v>2510</v>
      </c>
      <c r="AF32" s="17">
        <v>27.3</v>
      </c>
      <c r="AG32" s="16">
        <f t="shared" si="26"/>
        <v>3.8235294117647062E-2</v>
      </c>
      <c r="AH32" s="28">
        <v>0.97299999999999998</v>
      </c>
      <c r="AI32" s="23">
        <v>2205</v>
      </c>
      <c r="AJ32" s="28">
        <v>26.9</v>
      </c>
      <c r="AK32" s="16">
        <f t="shared" si="27"/>
        <v>3.7675070028011202E-2</v>
      </c>
      <c r="AL32" s="28">
        <v>0.97399999999999998</v>
      </c>
      <c r="AM32" s="23">
        <v>1920</v>
      </c>
      <c r="AN32" s="28">
        <v>25.3</v>
      </c>
      <c r="AO32" s="16">
        <f t="shared" si="28"/>
        <v>3.5434173669467786E-2</v>
      </c>
      <c r="AP32" s="28">
        <v>0.97499999999999998</v>
      </c>
      <c r="AQ32" s="23">
        <v>1615</v>
      </c>
      <c r="AR32" s="28">
        <v>24.6</v>
      </c>
      <c r="AS32" s="16">
        <f>AR32/$A$5</f>
        <v>3.4453781512605045E-2</v>
      </c>
      <c r="AT32" s="28">
        <v>0.97599999999999998</v>
      </c>
    </row>
    <row r="33" spans="1:46" ht="15.75" customHeight="1" x14ac:dyDescent="0.2">
      <c r="B33" s="1">
        <v>2</v>
      </c>
      <c r="C33" s="23">
        <v>2295</v>
      </c>
      <c r="D33" s="17">
        <v>38.1</v>
      </c>
      <c r="E33" s="16">
        <f t="shared" si="20"/>
        <v>5.3361344537815131E-2</v>
      </c>
      <c r="F33" s="28">
        <v>0.95299999999999996</v>
      </c>
      <c r="G33" s="17">
        <v>2005</v>
      </c>
      <c r="H33" s="17">
        <v>27.2</v>
      </c>
      <c r="I33" s="16">
        <f t="shared" si="21"/>
        <v>3.8095238095238092E-2</v>
      </c>
      <c r="J33" s="28">
        <v>0.97499999999999998</v>
      </c>
      <c r="K33" s="23">
        <v>1735</v>
      </c>
      <c r="L33" s="28">
        <v>25.8</v>
      </c>
      <c r="M33" s="16">
        <f t="shared" si="22"/>
        <v>3.6134453781512609E-2</v>
      </c>
      <c r="N33" s="28">
        <v>0.97699999999999998</v>
      </c>
      <c r="O33" s="23">
        <v>1450</v>
      </c>
      <c r="P33" s="28">
        <v>29.3</v>
      </c>
      <c r="Q33" s="16">
        <f t="shared" si="23"/>
        <v>4.103641456582633E-2</v>
      </c>
      <c r="R33" s="28">
        <v>0.97</v>
      </c>
      <c r="S33" s="23">
        <v>1205</v>
      </c>
      <c r="T33" s="28">
        <v>26.8</v>
      </c>
      <c r="U33" s="16">
        <f t="shared" si="24"/>
        <v>3.7535014005602239E-2</v>
      </c>
      <c r="V33" s="28">
        <v>0.97299999999999998</v>
      </c>
      <c r="Z33" s="1">
        <v>2</v>
      </c>
      <c r="AA33" s="23">
        <v>2295</v>
      </c>
      <c r="AB33" s="17">
        <v>41.5</v>
      </c>
      <c r="AC33" s="16">
        <f t="shared" si="25"/>
        <v>5.812324929971989E-2</v>
      </c>
      <c r="AD33" s="28">
        <v>0.94899999999999995</v>
      </c>
      <c r="AE33" s="17">
        <v>2005</v>
      </c>
      <c r="AF33" s="17">
        <v>30.7</v>
      </c>
      <c r="AG33" s="16">
        <f t="shared" si="26"/>
        <v>4.2997198879551821E-2</v>
      </c>
      <c r="AH33" s="28">
        <v>0.97</v>
      </c>
      <c r="AI33" s="23">
        <v>1735</v>
      </c>
      <c r="AJ33" s="28">
        <v>28.4</v>
      </c>
      <c r="AK33" s="16">
        <f t="shared" si="27"/>
        <v>3.9775910364145656E-2</v>
      </c>
      <c r="AL33" s="28">
        <v>0.97299999999999998</v>
      </c>
      <c r="AM33" s="23">
        <v>1450</v>
      </c>
      <c r="AN33" s="28">
        <v>30</v>
      </c>
      <c r="AO33" s="16">
        <f t="shared" si="28"/>
        <v>4.2016806722689079E-2</v>
      </c>
      <c r="AP33" s="28">
        <v>0.97</v>
      </c>
      <c r="AQ33" s="23">
        <v>1205</v>
      </c>
      <c r="AR33" s="28">
        <v>28</v>
      </c>
      <c r="AS33" s="16">
        <f>AR33/$A$5</f>
        <v>3.9215686274509803E-2</v>
      </c>
      <c r="AT33" s="28">
        <v>0.97199999999999998</v>
      </c>
    </row>
    <row r="34" spans="1:46" ht="15.75" customHeight="1" x14ac:dyDescent="0.2">
      <c r="B34" s="1">
        <v>3</v>
      </c>
      <c r="C34" s="23">
        <v>905</v>
      </c>
      <c r="D34" s="17">
        <v>32.799999999999997</v>
      </c>
      <c r="E34" s="16">
        <f t="shared" si="20"/>
        <v>4.5938375350140052E-2</v>
      </c>
      <c r="F34" s="28">
        <v>0.96699999999999997</v>
      </c>
      <c r="G34" s="17">
        <v>785</v>
      </c>
      <c r="H34" s="17">
        <v>27.3</v>
      </c>
      <c r="I34" s="16">
        <f t="shared" si="21"/>
        <v>3.8235294117647062E-2</v>
      </c>
      <c r="J34" s="28">
        <v>0.97599999999999998</v>
      </c>
      <c r="K34" s="23">
        <v>710</v>
      </c>
      <c r="L34" s="28">
        <v>21.2</v>
      </c>
      <c r="M34" s="16">
        <f t="shared" si="22"/>
        <v>2.9691876750700279E-2</v>
      </c>
      <c r="N34" s="28">
        <v>0.98299999999999998</v>
      </c>
      <c r="O34" s="23">
        <v>595</v>
      </c>
      <c r="P34" s="28">
        <v>19.899999999999999</v>
      </c>
      <c r="Q34" s="16">
        <f t="shared" si="23"/>
        <v>2.7871148459383752E-2</v>
      </c>
      <c r="R34" s="28">
        <v>0.98299999999999998</v>
      </c>
      <c r="S34" s="23">
        <v>515</v>
      </c>
      <c r="T34" s="28">
        <v>19.5</v>
      </c>
      <c r="U34" s="16">
        <f t="shared" si="24"/>
        <v>2.7310924369747899E-2</v>
      </c>
      <c r="V34" s="28">
        <v>0.98199999999999998</v>
      </c>
      <c r="Z34" s="1">
        <v>3</v>
      </c>
      <c r="AA34" s="23">
        <v>905</v>
      </c>
      <c r="AB34" s="17">
        <v>40.299999999999997</v>
      </c>
      <c r="AC34" s="16">
        <f t="shared" si="25"/>
        <v>5.6442577030812319E-2</v>
      </c>
      <c r="AD34" s="28">
        <v>0.95799999999999996</v>
      </c>
      <c r="AE34" s="17">
        <v>785</v>
      </c>
      <c r="AF34" s="17">
        <v>38.299999999999997</v>
      </c>
      <c r="AG34" s="16">
        <f t="shared" si="26"/>
        <v>5.364145658263305E-2</v>
      </c>
      <c r="AH34" s="28">
        <v>0.95899999999999996</v>
      </c>
      <c r="AI34" s="23">
        <v>710</v>
      </c>
      <c r="AJ34" s="28">
        <v>25.5</v>
      </c>
      <c r="AK34" s="16">
        <f t="shared" si="27"/>
        <v>3.5714285714285712E-2</v>
      </c>
      <c r="AL34" s="28">
        <v>0.97899999999999998</v>
      </c>
      <c r="AM34" s="23">
        <v>595</v>
      </c>
      <c r="AN34" s="28">
        <v>22.9</v>
      </c>
      <c r="AO34" s="16">
        <f t="shared" si="28"/>
        <v>3.2072829131652658E-2</v>
      </c>
      <c r="AP34" s="28">
        <v>0.98</v>
      </c>
      <c r="AQ34" s="23">
        <v>515</v>
      </c>
      <c r="AR34" s="28">
        <v>22.6</v>
      </c>
      <c r="AS34" s="16">
        <f t="shared" ref="AS34:AS38" si="29">AR34/$A$5</f>
        <v>3.1652661064425769E-2</v>
      </c>
      <c r="AT34" s="28">
        <v>0.98</v>
      </c>
    </row>
    <row r="35" spans="1:46" ht="15.75" customHeight="1" x14ac:dyDescent="0.2">
      <c r="B35" s="1">
        <v>4</v>
      </c>
      <c r="C35" s="23">
        <v>1660</v>
      </c>
      <c r="D35" s="17">
        <v>27.2</v>
      </c>
      <c r="E35" s="16">
        <f t="shared" si="20"/>
        <v>3.8095238095238092E-2</v>
      </c>
      <c r="F35" s="28">
        <v>0.97399999999999998</v>
      </c>
      <c r="G35" s="17">
        <v>1470</v>
      </c>
      <c r="H35" s="17">
        <v>21.6</v>
      </c>
      <c r="I35" s="16">
        <f t="shared" si="21"/>
        <v>3.0252100840336138E-2</v>
      </c>
      <c r="J35" s="28">
        <v>0.98</v>
      </c>
      <c r="K35" s="23">
        <v>1255</v>
      </c>
      <c r="L35" s="28">
        <v>21.7</v>
      </c>
      <c r="M35" s="16">
        <f t="shared" si="22"/>
        <v>3.0392156862745098E-2</v>
      </c>
      <c r="N35" s="28">
        <v>0.97799999999999998</v>
      </c>
      <c r="O35" s="23">
        <v>1065</v>
      </c>
      <c r="P35" s="28">
        <v>21.6</v>
      </c>
      <c r="Q35" s="16">
        <f t="shared" si="23"/>
        <v>3.0252100840336138E-2</v>
      </c>
      <c r="R35" s="28">
        <v>0.97799999999999998</v>
      </c>
      <c r="S35" s="23">
        <v>885</v>
      </c>
      <c r="T35" s="28">
        <v>22.3</v>
      </c>
      <c r="U35" s="16">
        <f t="shared" si="24"/>
        <v>3.123249299719888E-2</v>
      </c>
      <c r="V35" s="28">
        <v>0.97599999999999998</v>
      </c>
      <c r="Z35" s="1">
        <v>4</v>
      </c>
      <c r="AA35" s="23">
        <v>1660</v>
      </c>
      <c r="AB35" s="17">
        <v>39</v>
      </c>
      <c r="AC35" s="16">
        <f t="shared" si="25"/>
        <v>5.4621848739495799E-2</v>
      </c>
      <c r="AD35" s="28">
        <v>0.95199999999999996</v>
      </c>
      <c r="AE35" s="17">
        <v>1470</v>
      </c>
      <c r="AF35" s="17">
        <v>24.9</v>
      </c>
      <c r="AG35" s="16">
        <f t="shared" si="26"/>
        <v>3.4873949579831934E-2</v>
      </c>
      <c r="AH35" s="28">
        <v>0.97599999999999998</v>
      </c>
      <c r="AI35" s="23">
        <v>1255</v>
      </c>
      <c r="AJ35" s="28">
        <v>23.7</v>
      </c>
      <c r="AK35" s="16">
        <f t="shared" si="27"/>
        <v>3.319327731092437E-2</v>
      </c>
      <c r="AL35" s="28">
        <v>0.97599999999999998</v>
      </c>
      <c r="AM35" s="23">
        <v>1065</v>
      </c>
      <c r="AN35" s="28">
        <v>23.6</v>
      </c>
      <c r="AO35" s="16">
        <f t="shared" si="28"/>
        <v>3.3053221288515407E-2</v>
      </c>
      <c r="AP35" s="28">
        <v>0.97599999999999998</v>
      </c>
      <c r="AQ35" s="23">
        <v>885</v>
      </c>
      <c r="AR35" s="28">
        <v>26</v>
      </c>
      <c r="AS35" s="16">
        <f t="shared" si="29"/>
        <v>3.6414565826330535E-2</v>
      </c>
      <c r="AT35" s="28">
        <v>0.97199999999999998</v>
      </c>
    </row>
    <row r="36" spans="1:46" ht="15.75" customHeight="1" x14ac:dyDescent="0.2">
      <c r="B36" s="1">
        <v>5</v>
      </c>
      <c r="C36" s="23">
        <v>1805</v>
      </c>
      <c r="D36" s="17">
        <v>21.4</v>
      </c>
      <c r="E36" s="16">
        <f t="shared" si="20"/>
        <v>2.9971988795518205E-2</v>
      </c>
      <c r="F36" s="28">
        <v>0.93600000000000005</v>
      </c>
      <c r="G36" s="17">
        <v>1620</v>
      </c>
      <c r="H36" s="17">
        <v>20.8</v>
      </c>
      <c r="I36" s="16">
        <f t="shared" si="21"/>
        <v>2.9131652661064426E-2</v>
      </c>
      <c r="J36" s="28">
        <v>0.94199999999999995</v>
      </c>
      <c r="K36" s="23">
        <v>1420</v>
      </c>
      <c r="L36" s="28">
        <v>17.899999999999999</v>
      </c>
      <c r="M36" s="16">
        <f t="shared" si="22"/>
        <v>2.5070028011204479E-2</v>
      </c>
      <c r="N36" s="28">
        <v>0.95399999999999996</v>
      </c>
      <c r="O36" s="23">
        <v>1275</v>
      </c>
      <c r="P36" s="28">
        <v>17.7</v>
      </c>
      <c r="Q36" s="16">
        <f t="shared" si="23"/>
        <v>2.4789915966386553E-2</v>
      </c>
      <c r="R36" s="28">
        <v>0.95699999999999996</v>
      </c>
      <c r="S36" s="23">
        <v>1060</v>
      </c>
      <c r="T36" s="28">
        <v>18.899999999999999</v>
      </c>
      <c r="U36" s="16">
        <f t="shared" si="24"/>
        <v>2.6470588235294117E-2</v>
      </c>
      <c r="V36" s="28">
        <v>0.94899999999999995</v>
      </c>
      <c r="Z36" s="1">
        <v>5</v>
      </c>
      <c r="AA36" s="23">
        <v>1805</v>
      </c>
      <c r="AB36" s="17">
        <v>26.7</v>
      </c>
      <c r="AC36" s="16">
        <f t="shared" si="25"/>
        <v>3.7394957983193276E-2</v>
      </c>
      <c r="AD36" s="28">
        <v>0.91</v>
      </c>
      <c r="AE36" s="17">
        <v>1620</v>
      </c>
      <c r="AF36" s="17">
        <v>23.9</v>
      </c>
      <c r="AG36" s="16">
        <f t="shared" si="26"/>
        <v>3.3473389355742296E-2</v>
      </c>
      <c r="AH36" s="28">
        <v>0.93</v>
      </c>
      <c r="AI36" s="23">
        <v>1420</v>
      </c>
      <c r="AJ36" s="28">
        <v>19.5</v>
      </c>
      <c r="AK36" s="16">
        <f t="shared" si="27"/>
        <v>2.7310924369747899E-2</v>
      </c>
      <c r="AL36" s="28">
        <v>0.94599999999999995</v>
      </c>
      <c r="AM36" s="23">
        <v>1275</v>
      </c>
      <c r="AN36" s="28">
        <v>19.5</v>
      </c>
      <c r="AO36" s="16">
        <f t="shared" si="28"/>
        <v>2.7310924369747899E-2</v>
      </c>
      <c r="AP36" s="28">
        <v>0.94599999999999995</v>
      </c>
      <c r="AQ36" s="23">
        <v>1060</v>
      </c>
      <c r="AR36" s="28">
        <v>22</v>
      </c>
      <c r="AS36" s="16">
        <f t="shared" si="29"/>
        <v>3.081232492997199E-2</v>
      </c>
      <c r="AT36" s="28">
        <v>0.92700000000000005</v>
      </c>
    </row>
    <row r="37" spans="1:46" ht="15.75" customHeight="1" x14ac:dyDescent="0.2">
      <c r="B37" s="1">
        <v>6</v>
      </c>
      <c r="C37" s="23">
        <v>1290</v>
      </c>
      <c r="D37" s="17">
        <v>29.5</v>
      </c>
      <c r="E37" s="16">
        <f t="shared" si="20"/>
        <v>4.1316526610644257E-2</v>
      </c>
      <c r="F37" s="28">
        <v>0.96099999999999997</v>
      </c>
      <c r="G37" s="17">
        <v>1150</v>
      </c>
      <c r="H37" s="17">
        <v>22.7</v>
      </c>
      <c r="I37" s="16">
        <f t="shared" si="21"/>
        <v>3.1792717086834732E-2</v>
      </c>
      <c r="J37" s="28">
        <v>0.97199999999999998</v>
      </c>
      <c r="K37" s="23">
        <v>1015</v>
      </c>
      <c r="L37" s="28">
        <v>21.5</v>
      </c>
      <c r="M37" s="16">
        <f t="shared" si="22"/>
        <v>3.0112044817927171E-2</v>
      </c>
      <c r="N37" s="28">
        <v>0.97399999999999998</v>
      </c>
      <c r="O37" s="23">
        <v>895</v>
      </c>
      <c r="P37" s="28">
        <v>21.2</v>
      </c>
      <c r="Q37" s="16">
        <f t="shared" si="23"/>
        <v>2.9691876750700279E-2</v>
      </c>
      <c r="R37" s="28">
        <v>0.97499999999999998</v>
      </c>
      <c r="S37" s="23">
        <v>705</v>
      </c>
      <c r="T37" s="28">
        <v>20.6</v>
      </c>
      <c r="U37" s="16">
        <f t="shared" si="24"/>
        <v>2.88515406162465E-2</v>
      </c>
      <c r="V37" s="28">
        <v>0.97699999999999998</v>
      </c>
      <c r="Z37" s="1">
        <v>6</v>
      </c>
      <c r="AA37" s="23">
        <v>1290</v>
      </c>
      <c r="AB37" s="17">
        <v>36.6</v>
      </c>
      <c r="AC37" s="16">
        <f t="shared" si="25"/>
        <v>5.1260504201680678E-2</v>
      </c>
      <c r="AD37" s="28">
        <v>0.93899999999999995</v>
      </c>
      <c r="AE37" s="17">
        <v>1150</v>
      </c>
      <c r="AF37" s="17">
        <v>28.5</v>
      </c>
      <c r="AG37" s="16">
        <f t="shared" si="26"/>
        <v>3.9915966386554619E-2</v>
      </c>
      <c r="AH37" s="28">
        <v>0.95899999999999996</v>
      </c>
      <c r="AI37" s="23">
        <v>1015</v>
      </c>
      <c r="AJ37" s="28">
        <v>25.2</v>
      </c>
      <c r="AK37" s="16">
        <f t="shared" si="27"/>
        <v>3.5294117647058823E-2</v>
      </c>
      <c r="AL37" s="28">
        <v>0.96399999999999997</v>
      </c>
      <c r="AM37" s="23">
        <v>895</v>
      </c>
      <c r="AN37" s="28">
        <v>23.5</v>
      </c>
      <c r="AO37" s="16">
        <f t="shared" si="28"/>
        <v>3.2913165266106444E-2</v>
      </c>
      <c r="AP37" s="28">
        <v>0.97</v>
      </c>
      <c r="AQ37" s="23">
        <v>705</v>
      </c>
      <c r="AR37" s="28">
        <v>23</v>
      </c>
      <c r="AS37" s="16">
        <f t="shared" si="29"/>
        <v>3.2212885154061621E-2</v>
      </c>
      <c r="AT37" s="28">
        <v>0.97299999999999998</v>
      </c>
    </row>
    <row r="38" spans="1:46" ht="15.75" customHeight="1" x14ac:dyDescent="0.2">
      <c r="B38" s="1">
        <v>7</v>
      </c>
      <c r="C38" s="23">
        <v>890</v>
      </c>
      <c r="D38" s="17">
        <v>28.3</v>
      </c>
      <c r="E38" s="16">
        <f t="shared" si="20"/>
        <v>3.9635854341736693E-2</v>
      </c>
      <c r="F38" s="28">
        <v>0.93600000000000005</v>
      </c>
      <c r="G38" s="17">
        <v>790</v>
      </c>
      <c r="H38" s="17">
        <v>22.1</v>
      </c>
      <c r="I38" s="16">
        <f t="shared" si="21"/>
        <v>3.0952380952380953E-2</v>
      </c>
      <c r="J38" s="28">
        <v>0.96</v>
      </c>
      <c r="K38" s="23">
        <v>700</v>
      </c>
      <c r="L38" s="28">
        <v>22.5</v>
      </c>
      <c r="M38" s="16">
        <f t="shared" si="22"/>
        <v>3.1512605042016806E-2</v>
      </c>
      <c r="N38" s="28">
        <v>0.96099999999999997</v>
      </c>
      <c r="O38" s="23">
        <v>590</v>
      </c>
      <c r="P38" s="28">
        <v>22.9</v>
      </c>
      <c r="Q38" s="16">
        <f t="shared" si="23"/>
        <v>3.2072829131652658E-2</v>
      </c>
      <c r="R38" s="28">
        <v>0.96</v>
      </c>
      <c r="S38" s="23">
        <v>475</v>
      </c>
      <c r="T38" s="28">
        <v>22.5</v>
      </c>
      <c r="U38" s="16">
        <f t="shared" si="24"/>
        <v>3.1512605042016806E-2</v>
      </c>
      <c r="V38" s="28">
        <v>0.96399999999999997</v>
      </c>
      <c r="Z38" s="1">
        <v>7</v>
      </c>
      <c r="AA38" s="23">
        <v>890</v>
      </c>
      <c r="AB38" s="17">
        <v>50.5</v>
      </c>
      <c r="AC38" s="16">
        <f t="shared" si="25"/>
        <v>7.0728291316526609E-2</v>
      </c>
      <c r="AD38" s="28">
        <v>0.83599999999999997</v>
      </c>
      <c r="AE38" s="17">
        <v>790</v>
      </c>
      <c r="AF38" s="17">
        <v>27</v>
      </c>
      <c r="AG38" s="16">
        <f t="shared" si="26"/>
        <v>3.7815126050420166E-2</v>
      </c>
      <c r="AH38" s="28">
        <v>0.94599999999999995</v>
      </c>
      <c r="AI38" s="23">
        <v>700</v>
      </c>
      <c r="AJ38" s="28">
        <v>25.9</v>
      </c>
      <c r="AK38" s="16">
        <f t="shared" si="27"/>
        <v>3.6274509803921565E-2</v>
      </c>
      <c r="AL38" s="28">
        <v>0.95299999999999996</v>
      </c>
      <c r="AM38" s="23">
        <v>590</v>
      </c>
      <c r="AN38" s="28">
        <v>25.2</v>
      </c>
      <c r="AO38" s="16">
        <f t="shared" si="28"/>
        <v>3.5294117647058823E-2</v>
      </c>
      <c r="AP38" s="28">
        <v>0.95399999999999996</v>
      </c>
      <c r="AQ38" s="23">
        <v>475</v>
      </c>
      <c r="AR38" s="28">
        <v>24.4</v>
      </c>
      <c r="AS38" s="16">
        <f t="shared" si="29"/>
        <v>3.4173669467787111E-2</v>
      </c>
      <c r="AT38" s="28">
        <v>0.96</v>
      </c>
    </row>
    <row r="39" spans="1:46" ht="15.75" customHeight="1" x14ac:dyDescent="0.2">
      <c r="C39" s="23"/>
      <c r="D39" s="17"/>
      <c r="E39" s="16"/>
      <c r="G39" s="17"/>
      <c r="H39" s="17"/>
      <c r="K39" s="23"/>
      <c r="O39" s="23"/>
      <c r="S39" s="23"/>
      <c r="AA39" s="23"/>
      <c r="AB39" s="17"/>
      <c r="AE39" s="17"/>
      <c r="AF39" s="17"/>
      <c r="AI39" s="23"/>
      <c r="AM39" s="23"/>
      <c r="AQ39" s="23"/>
      <c r="AR39" s="1"/>
    </row>
    <row r="40" spans="1:46" ht="15.75" customHeight="1" x14ac:dyDescent="0.2">
      <c r="B40" s="1" t="s">
        <v>11</v>
      </c>
      <c r="C40" s="23"/>
      <c r="D40" s="9">
        <f>SUMPRODUCT(C31:C38,D31:D38)/SUM(C31:C38)</f>
        <v>29.154510848877045</v>
      </c>
      <c r="E40" s="20">
        <f>SUMPRODUCT(C31:C38,E31:E38)/SUM(C31:C38)</f>
        <v>4.0832648247726949E-2</v>
      </c>
      <c r="F40" s="20">
        <f>SUMPRODUCT(C31:C38,F31:F38)/SUM(C31:C38)</f>
        <v>0.96010468214693567</v>
      </c>
      <c r="G40" s="17"/>
      <c r="H40" s="9">
        <f>SUMPRODUCT(G31:G38,H31:H38)/SUM(G31:G38)</f>
        <v>24.434432548179871</v>
      </c>
      <c r="I40" s="20">
        <f>SUMPRODUCT(G31:G38,I31:I38)/SUM(G31:G38)</f>
        <v>3.4221894325181898E-2</v>
      </c>
      <c r="J40" s="20">
        <f>SUMPRODUCT(G31:G38,J31:J38)/SUM(G31:G38)</f>
        <v>0.96954603854389709</v>
      </c>
      <c r="K40" s="23"/>
      <c r="L40" s="9">
        <f>SUMPRODUCT(K31:K38,L31:L38)/SUM(K31:K38)</f>
        <v>22.624963289280469</v>
      </c>
      <c r="M40" s="20">
        <f>SUMPRODUCT(K31:K38,M31:M38)/SUM(K31:K38)</f>
        <v>3.168762365445444E-2</v>
      </c>
      <c r="N40" s="20">
        <f>SUMPRODUCT(K31:K38,N31:N38)/SUM(K31:K38)</f>
        <v>0.97258883994126288</v>
      </c>
      <c r="O40" s="23"/>
      <c r="P40" s="9">
        <f>SUMPRODUCT(O31:O38,P31:P38)/SUM(O31:O38)</f>
        <v>22.897544260422617</v>
      </c>
      <c r="Q40" s="20">
        <f>SUMPRODUCT(O31:O38,Q31:Q38)/SUM(O31:O38)</f>
        <v>3.2069389720479853E-2</v>
      </c>
      <c r="R40" s="20">
        <f>SUMPRODUCT(O31:O38,R31:R38)/SUM(O31:O38)</f>
        <v>0.97188692175899494</v>
      </c>
      <c r="S40" s="23"/>
      <c r="T40" s="9">
        <f>SUMPRODUCT(S31:S38,T31:T38)/SUM(S31:S38)</f>
        <v>22.71240575736806</v>
      </c>
      <c r="U40" s="20">
        <f>SUMPRODUCT(S31:S38,U31:U38)/SUM(S31:S38)</f>
        <v>3.1810092097154144E-2</v>
      </c>
      <c r="V40" s="20">
        <f>SUMPRODUCT(S31:S38,V31:V38)/SUM(S31:S38)</f>
        <v>0.97141946538725144</v>
      </c>
      <c r="Z40" s="1" t="s">
        <v>11</v>
      </c>
      <c r="AA40" s="23"/>
      <c r="AB40" s="9">
        <f>SUMPRODUCT(AA31:AA38,AB31:AB38)/SUM(AA31:AA38)</f>
        <v>35.967072706509327</v>
      </c>
      <c r="AC40" s="20">
        <f>SUMPRODUCT(AA31:AA38,AC31:AC38)/SUM(AA31:AA38)</f>
        <v>5.0374051409676934E-2</v>
      </c>
      <c r="AD40" s="20">
        <f>SUMPRODUCT(AA31:AA38,AD31:AD38)/SUM(AA31:AA38)</f>
        <v>0.9415192234488009</v>
      </c>
      <c r="AE40" s="17"/>
      <c r="AF40" s="9">
        <f>SUMPRODUCT(AE31:AE38,AF31:AF38)/SUM(AE31:AE38)</f>
        <v>29.168608137044966</v>
      </c>
      <c r="AG40" s="20">
        <f>SUMPRODUCT(AE31:AE38,AG31:AG38)/SUM(AE31:AE38)</f>
        <v>4.0852392348802481E-2</v>
      </c>
      <c r="AH40" s="20">
        <f>SUMPRODUCT(AE31:AE38,AH31:AH38)/SUM(AE31:AE38)</f>
        <v>0.96032933618843697</v>
      </c>
      <c r="AI40" s="23"/>
      <c r="AJ40" s="9">
        <f>SUMPRODUCT(AI31:AI38,AJ31:AJ38)/SUM(AI31:AI38)</f>
        <v>25.994535840188014</v>
      </c>
      <c r="AK40" s="20">
        <f>SUMPRODUCT(AI31:AI38,AK31:AK38)/SUM(AI31:AI38)</f>
        <v>3.6406912941439787E-2</v>
      </c>
      <c r="AL40" s="20">
        <f>SUMPRODUCT(AI31:AI38,AL31:AL38)/SUM(AI31:AI38)</f>
        <v>0.96671944770857809</v>
      </c>
      <c r="AM40" s="23"/>
      <c r="AN40" s="9">
        <f>SUMPRODUCT(AM31:AM38,AN31:AN38)/SUM(AM31:AM38)</f>
        <v>25.003769274700172</v>
      </c>
      <c r="AO40" s="20">
        <f>SUMPRODUCT(AM31:AM38,AO31:AO38)/SUM(AM31:AM38)</f>
        <v>3.5019284698459628E-2</v>
      </c>
      <c r="AP40" s="20">
        <f>SUMPRODUCT(AM31:AM38,AP31:AP38)/SUM(AM31:AM38)</f>
        <v>0.96771216447744146</v>
      </c>
      <c r="AQ40" s="23"/>
      <c r="AR40" s="9">
        <f>SUMPRODUCT(AQ31:AQ38,AR31:AR38)/SUM(AQ31:AQ38)</f>
        <v>25.033995887594244</v>
      </c>
      <c r="AS40" s="20">
        <f>SUMPRODUCT(AQ31:AQ38,AS31:AS38)/SUM(AQ31:AQ38)</f>
        <v>3.5061618890188009E-2</v>
      </c>
      <c r="AT40" s="20">
        <f>SUMPRODUCT(AQ31:AQ38,AT31:AT38)/SUM(AQ31:AQ38)</f>
        <v>0.96588348183687456</v>
      </c>
    </row>
    <row r="41" spans="1:46" ht="15.75" customHeight="1" x14ac:dyDescent="0.2">
      <c r="D41" s="29"/>
      <c r="H41" s="28"/>
      <c r="AB41" s="29"/>
      <c r="AF41" s="28"/>
      <c r="AR41" s="1"/>
    </row>
    <row r="42" spans="1:46" ht="15.75" customHeight="1" x14ac:dyDescent="0.2">
      <c r="C42" s="1">
        <f>SUM(C31:C38)</f>
        <v>13135</v>
      </c>
      <c r="G42" s="1">
        <f>SUM(G31:G38)</f>
        <v>11675</v>
      </c>
      <c r="K42" s="1">
        <f>SUM(K31:K38)</f>
        <v>10215</v>
      </c>
      <c r="O42" s="1">
        <f>SUM(O31:O38)</f>
        <v>8755</v>
      </c>
      <c r="S42" s="1">
        <f>SUM(S31:S38)</f>
        <v>7295</v>
      </c>
      <c r="AA42" s="1"/>
      <c r="AE42" s="1"/>
      <c r="AI42" s="1"/>
      <c r="AM42" s="1"/>
      <c r="AQ42" s="1"/>
    </row>
    <row r="43" spans="1:46" ht="15.75" customHeight="1" x14ac:dyDescent="0.2"/>
    <row r="44" spans="1:46" ht="15.75" customHeight="1" x14ac:dyDescent="0.2">
      <c r="A44" s="1" t="s">
        <v>24</v>
      </c>
      <c r="D44" s="134">
        <v>0.1</v>
      </c>
      <c r="E44" s="133"/>
      <c r="F44" s="133"/>
      <c r="G44" s="2"/>
      <c r="H44" s="134">
        <v>0.2</v>
      </c>
      <c r="I44" s="133"/>
      <c r="J44" s="133"/>
      <c r="K44" s="2"/>
      <c r="L44" s="134">
        <v>0.3</v>
      </c>
      <c r="M44" s="133"/>
      <c r="N44" s="133"/>
      <c r="O44" s="2"/>
      <c r="P44" s="134">
        <v>0.4</v>
      </c>
      <c r="Q44" s="133"/>
      <c r="R44" s="133"/>
      <c r="S44" s="2"/>
      <c r="T44" s="134">
        <v>0.5</v>
      </c>
      <c r="U44" s="133"/>
      <c r="V44" s="133"/>
      <c r="Y44" s="1" t="s">
        <v>24</v>
      </c>
      <c r="AB44" s="134">
        <v>0.1</v>
      </c>
      <c r="AC44" s="133"/>
      <c r="AD44" s="133"/>
      <c r="AE44" s="2"/>
      <c r="AF44" s="134">
        <v>0.2</v>
      </c>
      <c r="AG44" s="133"/>
      <c r="AH44" s="133"/>
      <c r="AI44" s="2"/>
      <c r="AJ44" s="134">
        <v>0.3</v>
      </c>
      <c r="AK44" s="133"/>
      <c r="AL44" s="133"/>
      <c r="AM44" s="2"/>
      <c r="AN44" s="134">
        <v>0.4</v>
      </c>
      <c r="AO44" s="133"/>
      <c r="AP44" s="133"/>
      <c r="AQ44" s="2"/>
      <c r="AR44" s="134">
        <v>0.5</v>
      </c>
      <c r="AS44" s="133"/>
      <c r="AT44" s="133"/>
    </row>
    <row r="45" spans="1:46" ht="15.75" customHeight="1" thickBot="1" x14ac:dyDescent="0.25">
      <c r="B45" s="13" t="s">
        <v>8</v>
      </c>
      <c r="C45" s="22" t="s">
        <v>22</v>
      </c>
      <c r="D45" s="14" t="s">
        <v>7</v>
      </c>
      <c r="E45" s="13" t="s">
        <v>9</v>
      </c>
      <c r="F45" s="13" t="s">
        <v>10</v>
      </c>
      <c r="G45" s="22" t="s">
        <v>22</v>
      </c>
      <c r="H45" s="14" t="s">
        <v>7</v>
      </c>
      <c r="I45" s="13" t="s">
        <v>9</v>
      </c>
      <c r="J45" s="13" t="s">
        <v>10</v>
      </c>
      <c r="K45" s="22" t="s">
        <v>22</v>
      </c>
      <c r="L45" s="13" t="s">
        <v>7</v>
      </c>
      <c r="M45" s="13" t="s">
        <v>9</v>
      </c>
      <c r="N45" s="13" t="s">
        <v>10</v>
      </c>
      <c r="O45" s="22" t="s">
        <v>22</v>
      </c>
      <c r="P45" s="13" t="s">
        <v>7</v>
      </c>
      <c r="Q45" s="13" t="s">
        <v>9</v>
      </c>
      <c r="R45" s="13" t="s">
        <v>10</v>
      </c>
      <c r="S45" s="22" t="s">
        <v>22</v>
      </c>
      <c r="T45" s="13" t="s">
        <v>7</v>
      </c>
      <c r="U45" s="13" t="s">
        <v>9</v>
      </c>
      <c r="V45" s="13" t="s">
        <v>10</v>
      </c>
      <c r="Z45" s="13" t="s">
        <v>8</v>
      </c>
      <c r="AA45" s="22" t="s">
        <v>22</v>
      </c>
      <c r="AB45" s="14" t="s">
        <v>7</v>
      </c>
      <c r="AC45" s="13" t="s">
        <v>9</v>
      </c>
      <c r="AD45" s="13" t="s">
        <v>10</v>
      </c>
      <c r="AE45" s="22" t="s">
        <v>22</v>
      </c>
      <c r="AF45" s="14" t="s">
        <v>7</v>
      </c>
      <c r="AG45" s="13" t="s">
        <v>9</v>
      </c>
      <c r="AH45" s="13" t="s">
        <v>10</v>
      </c>
      <c r="AI45" s="22" t="s">
        <v>22</v>
      </c>
      <c r="AJ45" s="13" t="s">
        <v>7</v>
      </c>
      <c r="AK45" s="13" t="s">
        <v>9</v>
      </c>
      <c r="AL45" s="13" t="s">
        <v>10</v>
      </c>
      <c r="AM45" s="22" t="s">
        <v>22</v>
      </c>
      <c r="AN45" s="13" t="s">
        <v>7</v>
      </c>
      <c r="AO45" s="13" t="s">
        <v>9</v>
      </c>
      <c r="AP45" s="13" t="s">
        <v>10</v>
      </c>
      <c r="AQ45" s="22" t="s">
        <v>22</v>
      </c>
      <c r="AR45" s="13" t="s">
        <v>7</v>
      </c>
      <c r="AS45" s="13" t="s">
        <v>9</v>
      </c>
      <c r="AT45" s="13" t="s">
        <v>10</v>
      </c>
    </row>
    <row r="46" spans="1:46" ht="15.75" customHeight="1" x14ac:dyDescent="0.2">
      <c r="B46" s="1">
        <v>0</v>
      </c>
      <c r="C46" s="23">
        <v>3175</v>
      </c>
      <c r="D46" s="17">
        <v>26.5</v>
      </c>
      <c r="E46" s="16">
        <f t="shared" ref="E46:E53" si="30">D46/$A$5</f>
        <v>3.711484593837535E-2</v>
      </c>
      <c r="F46" s="28">
        <v>0.97299999999999998</v>
      </c>
      <c r="G46" s="17">
        <v>2800</v>
      </c>
      <c r="H46" s="17">
        <v>23.6</v>
      </c>
      <c r="I46" s="16">
        <f t="shared" ref="I46:I53" si="31">H46/$A$5</f>
        <v>3.3053221288515407E-2</v>
      </c>
      <c r="J46" s="28">
        <v>0.97599999999999998</v>
      </c>
      <c r="K46" s="23">
        <v>2420</v>
      </c>
      <c r="L46" s="28">
        <v>24.9</v>
      </c>
      <c r="M46" s="16">
        <f t="shared" ref="M46:M53" si="32">L46/$A$5</f>
        <v>3.4873949579831934E-2</v>
      </c>
      <c r="N46" s="28">
        <v>0.97499999999999998</v>
      </c>
      <c r="O46" s="23">
        <v>2015</v>
      </c>
      <c r="P46" s="28">
        <v>22.8</v>
      </c>
      <c r="Q46" s="16">
        <f t="shared" ref="Q46:Q53" si="33">P46/$A$5</f>
        <v>3.1932773109243695E-2</v>
      </c>
      <c r="R46" s="28">
        <v>0.97699999999999998</v>
      </c>
      <c r="S46" s="23">
        <v>1640</v>
      </c>
      <c r="T46" s="28">
        <v>24</v>
      </c>
      <c r="U46" s="16">
        <f t="shared" ref="U46:U53" si="34">T46/$A$5</f>
        <v>3.3613445378151259E-2</v>
      </c>
      <c r="V46" s="28">
        <v>0.97399999999999998</v>
      </c>
      <c r="Z46" s="1">
        <v>0</v>
      </c>
      <c r="AA46" s="23">
        <v>3175</v>
      </c>
      <c r="AB46" s="17">
        <v>29.6</v>
      </c>
      <c r="AC46" s="16">
        <f t="shared" ref="AC46:AC53" si="35">AB46/$A$5</f>
        <v>4.1456582633053227E-2</v>
      </c>
      <c r="AD46" s="28">
        <v>0.96799999999999997</v>
      </c>
      <c r="AE46" s="17">
        <v>2800</v>
      </c>
      <c r="AF46" s="17">
        <v>26.1</v>
      </c>
      <c r="AG46" s="16">
        <f t="shared" ref="AG46:AG53" si="36">AF46/$A$5</f>
        <v>3.6554621848739498E-2</v>
      </c>
      <c r="AH46" s="28">
        <v>0.97299999999999998</v>
      </c>
      <c r="AI46" s="23">
        <v>2420</v>
      </c>
      <c r="AJ46" s="28">
        <v>27.1</v>
      </c>
      <c r="AK46" s="16">
        <f t="shared" ref="AK46:AK53" si="37">AJ46/$A$5</f>
        <v>3.7955182072829136E-2</v>
      </c>
      <c r="AL46" s="28">
        <v>0.97199999999999998</v>
      </c>
      <c r="AM46" s="23">
        <v>2015</v>
      </c>
      <c r="AN46" s="28">
        <v>25.4</v>
      </c>
      <c r="AO46" s="16">
        <f t="shared" ref="AO46:AO53" si="38">AN46/$A$5</f>
        <v>3.5574229691876749E-2</v>
      </c>
      <c r="AP46" s="28">
        <v>0.97399999999999998</v>
      </c>
      <c r="AQ46" s="23">
        <v>1640</v>
      </c>
      <c r="AR46" s="28">
        <v>26</v>
      </c>
      <c r="AS46" s="16">
        <f t="shared" ref="AS46:AS53" si="39">AR46/$A$5</f>
        <v>3.6414565826330535E-2</v>
      </c>
      <c r="AT46" s="28">
        <v>0.97199999999999998</v>
      </c>
    </row>
    <row r="47" spans="1:46" ht="15.75" customHeight="1" x14ac:dyDescent="0.2">
      <c r="B47" s="1">
        <v>1</v>
      </c>
      <c r="C47" s="23">
        <v>2415</v>
      </c>
      <c r="D47" s="17">
        <v>21.8</v>
      </c>
      <c r="E47" s="16">
        <f t="shared" si="30"/>
        <v>3.0532212885154064E-2</v>
      </c>
      <c r="F47" s="28">
        <v>0.98</v>
      </c>
      <c r="G47" s="17">
        <v>2160</v>
      </c>
      <c r="H47" s="17">
        <v>21.2</v>
      </c>
      <c r="I47" s="16">
        <f t="shared" si="31"/>
        <v>2.9691876750700279E-2</v>
      </c>
      <c r="J47" s="28">
        <v>0.98</v>
      </c>
      <c r="K47" s="23">
        <v>1915</v>
      </c>
      <c r="L47" s="28">
        <v>19.600000000000001</v>
      </c>
      <c r="M47" s="16">
        <f t="shared" si="32"/>
        <v>2.7450980392156866E-2</v>
      </c>
      <c r="N47" s="28">
        <v>0.98299999999999998</v>
      </c>
      <c r="O47" s="23">
        <v>1715</v>
      </c>
      <c r="P47" s="28">
        <v>21.7</v>
      </c>
      <c r="Q47" s="16">
        <f t="shared" si="33"/>
        <v>3.0392156862745098E-2</v>
      </c>
      <c r="R47" s="28">
        <v>0.97899999999999998</v>
      </c>
      <c r="S47" s="23">
        <v>1430</v>
      </c>
      <c r="T47" s="28">
        <v>20.9</v>
      </c>
      <c r="U47" s="16">
        <f t="shared" si="34"/>
        <v>2.9271708683473386E-2</v>
      </c>
      <c r="V47" s="28">
        <v>0.98099999999999998</v>
      </c>
      <c r="Z47" s="1">
        <v>1</v>
      </c>
      <c r="AA47" s="23">
        <v>2415</v>
      </c>
      <c r="AB47" s="17">
        <v>28.4</v>
      </c>
      <c r="AC47" s="16">
        <f t="shared" si="35"/>
        <v>3.9775910364145656E-2</v>
      </c>
      <c r="AD47" s="28">
        <v>0.97099999999999997</v>
      </c>
      <c r="AE47" s="17">
        <v>2160</v>
      </c>
      <c r="AF47" s="17">
        <v>23.6</v>
      </c>
      <c r="AG47" s="16">
        <f t="shared" si="36"/>
        <v>3.3053221288515407E-2</v>
      </c>
      <c r="AH47" s="28">
        <v>0.97699999999999998</v>
      </c>
      <c r="AI47" s="23">
        <v>1915</v>
      </c>
      <c r="AJ47" s="28">
        <v>22.2</v>
      </c>
      <c r="AK47" s="16">
        <f t="shared" si="37"/>
        <v>3.1092436974789917E-2</v>
      </c>
      <c r="AL47" s="28">
        <v>0.98099999999999998</v>
      </c>
      <c r="AM47" s="23">
        <v>1715</v>
      </c>
      <c r="AN47" s="28">
        <v>23.2</v>
      </c>
      <c r="AO47" s="16">
        <f t="shared" si="38"/>
        <v>3.2492997198879547E-2</v>
      </c>
      <c r="AP47" s="28">
        <v>0.97899999999999998</v>
      </c>
      <c r="AQ47" s="23">
        <v>1430</v>
      </c>
      <c r="AR47" s="28">
        <v>21.7</v>
      </c>
      <c r="AS47" s="16">
        <f t="shared" si="39"/>
        <v>3.0392156862745098E-2</v>
      </c>
      <c r="AT47" s="28">
        <v>0.98099999999999998</v>
      </c>
    </row>
    <row r="48" spans="1:46" ht="15.75" customHeight="1" x14ac:dyDescent="0.2">
      <c r="B48" s="1">
        <v>2</v>
      </c>
      <c r="C48" s="23">
        <v>1725</v>
      </c>
      <c r="D48" s="17">
        <v>26.7</v>
      </c>
      <c r="E48" s="16">
        <f t="shared" si="30"/>
        <v>3.7394957983193276E-2</v>
      </c>
      <c r="F48" s="28">
        <v>0.86499999999999999</v>
      </c>
      <c r="G48" s="17">
        <v>1570</v>
      </c>
      <c r="H48" s="17">
        <v>21.1</v>
      </c>
      <c r="I48" s="16">
        <f t="shared" si="31"/>
        <v>2.9551820728291319E-2</v>
      </c>
      <c r="J48" s="28">
        <v>0.90100000000000002</v>
      </c>
      <c r="K48" s="23">
        <v>1375</v>
      </c>
      <c r="L48" s="28">
        <v>19.7</v>
      </c>
      <c r="M48" s="16">
        <f t="shared" si="32"/>
        <v>2.7591036414565825E-2</v>
      </c>
      <c r="N48" s="28">
        <v>0.90600000000000003</v>
      </c>
      <c r="O48" s="23">
        <v>1175</v>
      </c>
      <c r="P48" s="28">
        <v>19.2</v>
      </c>
      <c r="Q48" s="16">
        <f t="shared" si="33"/>
        <v>2.6890756302521007E-2</v>
      </c>
      <c r="R48" s="28">
        <v>0.91100000000000003</v>
      </c>
      <c r="S48" s="23">
        <v>950</v>
      </c>
      <c r="T48" s="28">
        <v>20.6</v>
      </c>
      <c r="U48" s="16">
        <f t="shared" si="34"/>
        <v>2.88515406162465E-2</v>
      </c>
      <c r="V48" s="28">
        <v>0.91100000000000003</v>
      </c>
      <c r="Z48" s="1">
        <v>2</v>
      </c>
      <c r="AA48" s="23">
        <v>1725</v>
      </c>
      <c r="AB48" s="17">
        <v>28.8</v>
      </c>
      <c r="AC48" s="16">
        <f t="shared" si="35"/>
        <v>4.0336134453781515E-2</v>
      </c>
      <c r="AD48" s="28">
        <v>0.83399999999999996</v>
      </c>
      <c r="AE48" s="17">
        <v>1570</v>
      </c>
      <c r="AF48" s="17">
        <v>23.7</v>
      </c>
      <c r="AG48" s="16">
        <f t="shared" si="36"/>
        <v>3.319327731092437E-2</v>
      </c>
      <c r="AH48" s="28">
        <v>0.872</v>
      </c>
      <c r="AI48" s="23">
        <v>1375</v>
      </c>
      <c r="AJ48" s="28">
        <v>21.4</v>
      </c>
      <c r="AK48" s="16">
        <f t="shared" si="37"/>
        <v>2.9971988795518205E-2</v>
      </c>
      <c r="AL48" s="28">
        <v>0.88900000000000001</v>
      </c>
      <c r="AM48" s="23">
        <v>1175</v>
      </c>
      <c r="AN48" s="28">
        <v>21.9</v>
      </c>
      <c r="AO48" s="16">
        <f t="shared" si="38"/>
        <v>3.0672268907563024E-2</v>
      </c>
      <c r="AP48" s="28">
        <v>0.88900000000000001</v>
      </c>
      <c r="AQ48" s="23">
        <v>950</v>
      </c>
      <c r="AR48" s="28">
        <v>22.6</v>
      </c>
      <c r="AS48" s="16">
        <f t="shared" si="39"/>
        <v>3.1652661064425769E-2</v>
      </c>
      <c r="AT48" s="28">
        <v>0.89</v>
      </c>
    </row>
    <row r="49" spans="1:46" ht="15.75" customHeight="1" x14ac:dyDescent="0.2">
      <c r="B49" s="1">
        <v>3</v>
      </c>
      <c r="C49" s="23">
        <v>1525</v>
      </c>
      <c r="D49" s="17">
        <v>27.6</v>
      </c>
      <c r="E49" s="16">
        <f t="shared" si="30"/>
        <v>3.8655462184873951E-2</v>
      </c>
      <c r="F49" s="28">
        <v>0.97099999999999997</v>
      </c>
      <c r="G49" s="17">
        <v>1360</v>
      </c>
      <c r="H49" s="17">
        <v>26.1</v>
      </c>
      <c r="I49" s="16">
        <f t="shared" si="31"/>
        <v>3.6554621848739498E-2</v>
      </c>
      <c r="J49" s="28">
        <v>0.97199999999999998</v>
      </c>
      <c r="K49" s="23">
        <v>1245</v>
      </c>
      <c r="L49" s="28">
        <v>23.8</v>
      </c>
      <c r="M49" s="16">
        <f t="shared" si="32"/>
        <v>3.3333333333333333E-2</v>
      </c>
      <c r="N49" s="28">
        <v>0.97699999999999998</v>
      </c>
      <c r="O49" s="23">
        <v>1065</v>
      </c>
      <c r="P49" s="28">
        <v>22.9</v>
      </c>
      <c r="Q49" s="16">
        <f t="shared" si="33"/>
        <v>3.2072829131652658E-2</v>
      </c>
      <c r="R49" s="28">
        <v>0.97899999999999998</v>
      </c>
      <c r="S49" s="23">
        <v>905</v>
      </c>
      <c r="T49" s="28">
        <v>22.4</v>
      </c>
      <c r="U49" s="16">
        <f t="shared" si="34"/>
        <v>3.1372549019607843E-2</v>
      </c>
      <c r="V49" s="28">
        <v>0.98099999999999998</v>
      </c>
      <c r="Z49" s="1">
        <v>3</v>
      </c>
      <c r="AA49" s="23">
        <v>1525</v>
      </c>
      <c r="AB49" s="17">
        <v>31.4</v>
      </c>
      <c r="AC49" s="16">
        <f t="shared" si="35"/>
        <v>4.3977591036414562E-2</v>
      </c>
      <c r="AD49" s="28">
        <v>0.96499999999999997</v>
      </c>
      <c r="AE49" s="17">
        <v>1360</v>
      </c>
      <c r="AF49" s="17">
        <v>31.1</v>
      </c>
      <c r="AG49" s="16">
        <f t="shared" si="36"/>
        <v>4.355742296918768E-2</v>
      </c>
      <c r="AH49" s="28">
        <v>0.96399999999999997</v>
      </c>
      <c r="AI49" s="23">
        <v>1245</v>
      </c>
      <c r="AJ49" s="28">
        <v>29.3</v>
      </c>
      <c r="AK49" s="16">
        <f t="shared" si="37"/>
        <v>4.103641456582633E-2</v>
      </c>
      <c r="AL49" s="28">
        <v>0.96799999999999997</v>
      </c>
      <c r="AM49" s="23">
        <v>1065</v>
      </c>
      <c r="AN49" s="28">
        <v>25.5</v>
      </c>
      <c r="AO49" s="16">
        <f t="shared" si="38"/>
        <v>3.5714285714285712E-2</v>
      </c>
      <c r="AP49" s="28">
        <v>0.97499999999999998</v>
      </c>
      <c r="AQ49" s="23">
        <v>905</v>
      </c>
      <c r="AR49" s="28">
        <v>24.8</v>
      </c>
      <c r="AS49" s="16">
        <f t="shared" si="39"/>
        <v>3.4733893557422971E-2</v>
      </c>
      <c r="AT49" s="28">
        <v>0.97699999999999998</v>
      </c>
    </row>
    <row r="50" spans="1:46" ht="15.75" customHeight="1" x14ac:dyDescent="0.2">
      <c r="B50" s="1">
        <v>4</v>
      </c>
      <c r="C50" s="23">
        <v>1340</v>
      </c>
      <c r="D50" s="17">
        <v>28.3</v>
      </c>
      <c r="E50" s="16">
        <f t="shared" si="30"/>
        <v>3.9635854341736693E-2</v>
      </c>
      <c r="F50" s="28">
        <v>0.97499999999999998</v>
      </c>
      <c r="G50" s="17">
        <v>1200</v>
      </c>
      <c r="H50" s="17">
        <v>25.7</v>
      </c>
      <c r="I50" s="16">
        <f t="shared" si="31"/>
        <v>3.5994397759103638E-2</v>
      </c>
      <c r="J50" s="28">
        <v>0.97799999999999998</v>
      </c>
      <c r="K50" s="23">
        <v>1000</v>
      </c>
      <c r="L50" s="28">
        <v>19.600000000000001</v>
      </c>
      <c r="M50" s="16">
        <f t="shared" si="32"/>
        <v>2.7450980392156866E-2</v>
      </c>
      <c r="N50" s="28">
        <v>0.98699999999999999</v>
      </c>
      <c r="O50" s="23">
        <v>835</v>
      </c>
      <c r="P50" s="28">
        <v>17.8</v>
      </c>
      <c r="Q50" s="16">
        <f t="shared" si="33"/>
        <v>2.492997198879552E-2</v>
      </c>
      <c r="R50" s="28">
        <v>0.98899999999999999</v>
      </c>
      <c r="S50" s="23">
        <v>695</v>
      </c>
      <c r="T50" s="28">
        <v>18.5</v>
      </c>
      <c r="U50" s="16">
        <f t="shared" si="34"/>
        <v>2.5910364145658265E-2</v>
      </c>
      <c r="V50" s="28">
        <v>0.98799999999999999</v>
      </c>
      <c r="Z50" s="1">
        <v>4</v>
      </c>
      <c r="AA50" s="23">
        <v>1340</v>
      </c>
      <c r="AB50" s="17">
        <v>39.299999999999997</v>
      </c>
      <c r="AC50" s="16">
        <f t="shared" si="35"/>
        <v>5.5042016806722688E-2</v>
      </c>
      <c r="AD50" s="28">
        <v>0.95399999999999996</v>
      </c>
      <c r="AE50" s="17">
        <v>1200</v>
      </c>
      <c r="AF50" s="17">
        <v>34.299999999999997</v>
      </c>
      <c r="AG50" s="16">
        <f t="shared" si="36"/>
        <v>4.8039215686274506E-2</v>
      </c>
      <c r="AH50" s="28">
        <v>0.95699999999999996</v>
      </c>
      <c r="AI50" s="23">
        <v>1000</v>
      </c>
      <c r="AJ50" s="28">
        <v>23.2</v>
      </c>
      <c r="AK50" s="16">
        <f t="shared" si="37"/>
        <v>3.2492997198879547E-2</v>
      </c>
      <c r="AL50" s="28">
        <v>0.98199999999999998</v>
      </c>
      <c r="AM50" s="23">
        <v>835</v>
      </c>
      <c r="AN50" s="28">
        <v>19.7</v>
      </c>
      <c r="AO50" s="16">
        <f t="shared" si="38"/>
        <v>2.7591036414565825E-2</v>
      </c>
      <c r="AP50" s="28">
        <v>0.98699999999999999</v>
      </c>
      <c r="AQ50" s="23">
        <v>695</v>
      </c>
      <c r="AR50" s="28">
        <v>20.7</v>
      </c>
      <c r="AS50" s="16">
        <f t="shared" si="39"/>
        <v>2.899159663865546E-2</v>
      </c>
      <c r="AT50" s="28">
        <v>0.98499999999999999</v>
      </c>
    </row>
    <row r="51" spans="1:46" ht="15.75" customHeight="1" x14ac:dyDescent="0.2">
      <c r="B51" s="1">
        <v>5</v>
      </c>
      <c r="C51" s="23">
        <v>1275</v>
      </c>
      <c r="D51" s="17">
        <v>39.700000000000003</v>
      </c>
      <c r="E51" s="16">
        <f t="shared" si="30"/>
        <v>5.5602240896358547E-2</v>
      </c>
      <c r="F51" s="28">
        <v>0.91300000000000003</v>
      </c>
      <c r="G51" s="17">
        <v>1100</v>
      </c>
      <c r="H51" s="17">
        <v>23.8</v>
      </c>
      <c r="I51" s="16">
        <f t="shared" si="31"/>
        <v>3.3333333333333333E-2</v>
      </c>
      <c r="J51" s="28">
        <v>0.96899999999999997</v>
      </c>
      <c r="K51" s="23">
        <v>990</v>
      </c>
      <c r="L51" s="28">
        <v>23.9</v>
      </c>
      <c r="M51" s="16">
        <f t="shared" si="32"/>
        <v>3.3473389355742296E-2</v>
      </c>
      <c r="N51" s="28">
        <v>0.96799999999999997</v>
      </c>
      <c r="O51" s="23">
        <v>855</v>
      </c>
      <c r="P51" s="28">
        <v>23.4</v>
      </c>
      <c r="Q51" s="16">
        <f t="shared" si="33"/>
        <v>3.2773109243697474E-2</v>
      </c>
      <c r="R51" s="28">
        <v>0.96799999999999997</v>
      </c>
      <c r="S51" s="23">
        <v>760</v>
      </c>
      <c r="T51" s="28">
        <v>23.1</v>
      </c>
      <c r="U51" s="16">
        <f t="shared" si="34"/>
        <v>3.2352941176470591E-2</v>
      </c>
      <c r="V51" s="28">
        <v>0.97399999999999998</v>
      </c>
      <c r="Z51" s="1">
        <v>5</v>
      </c>
      <c r="AA51" s="23">
        <v>1275</v>
      </c>
      <c r="AB51" s="17">
        <v>60.4</v>
      </c>
      <c r="AC51" s="16">
        <f t="shared" si="35"/>
        <v>8.459383753501401E-2</v>
      </c>
      <c r="AD51" s="28">
        <v>0.79</v>
      </c>
      <c r="AE51" s="17">
        <v>1100</v>
      </c>
      <c r="AF51" s="17">
        <v>27.7</v>
      </c>
      <c r="AG51" s="16">
        <f t="shared" si="36"/>
        <v>3.8795518207282914E-2</v>
      </c>
      <c r="AH51" s="28">
        <v>0.96099999999999997</v>
      </c>
      <c r="AI51" s="23">
        <v>990</v>
      </c>
      <c r="AJ51" s="28">
        <v>27.3</v>
      </c>
      <c r="AK51" s="16">
        <f t="shared" si="37"/>
        <v>3.8235294117647062E-2</v>
      </c>
      <c r="AL51" s="28">
        <v>0.96</v>
      </c>
      <c r="AM51" s="23">
        <v>855</v>
      </c>
      <c r="AN51" s="28">
        <v>26.9</v>
      </c>
      <c r="AO51" s="16">
        <f t="shared" si="38"/>
        <v>3.7675070028011202E-2</v>
      </c>
      <c r="AP51" s="28">
        <v>0.96099999999999997</v>
      </c>
      <c r="AQ51" s="23">
        <v>760</v>
      </c>
      <c r="AR51" s="28">
        <v>25.8</v>
      </c>
      <c r="AS51" s="16">
        <f t="shared" si="39"/>
        <v>3.6134453781512609E-2</v>
      </c>
      <c r="AT51" s="28">
        <v>0.96799999999999997</v>
      </c>
    </row>
    <row r="52" spans="1:46" ht="15.75" customHeight="1" x14ac:dyDescent="0.2">
      <c r="B52" s="1">
        <v>6</v>
      </c>
      <c r="C52" s="23">
        <v>855</v>
      </c>
      <c r="D52" s="17">
        <v>29.6</v>
      </c>
      <c r="E52" s="16">
        <f t="shared" si="30"/>
        <v>4.1456582633053227E-2</v>
      </c>
      <c r="F52" s="28">
        <v>0.77500000000000002</v>
      </c>
      <c r="G52" s="17">
        <v>725</v>
      </c>
      <c r="H52" s="17">
        <v>23.6</v>
      </c>
      <c r="I52" s="16">
        <f t="shared" si="31"/>
        <v>3.3053221288515407E-2</v>
      </c>
      <c r="J52" s="28">
        <v>0.88400000000000001</v>
      </c>
      <c r="K52" s="23">
        <v>630</v>
      </c>
      <c r="L52" s="28">
        <v>22.3</v>
      </c>
      <c r="M52" s="16">
        <f t="shared" si="32"/>
        <v>3.123249299719888E-2</v>
      </c>
      <c r="N52" s="28">
        <v>0.91900000000000004</v>
      </c>
      <c r="O52" s="23">
        <v>545</v>
      </c>
      <c r="P52" s="28">
        <v>21.4</v>
      </c>
      <c r="Q52" s="16">
        <f t="shared" si="33"/>
        <v>2.9971988795518205E-2</v>
      </c>
      <c r="R52" s="28">
        <v>0.92800000000000005</v>
      </c>
      <c r="S52" s="23">
        <v>455</v>
      </c>
      <c r="T52" s="28">
        <v>21.1</v>
      </c>
      <c r="U52" s="16">
        <f t="shared" si="34"/>
        <v>2.9551820728291319E-2</v>
      </c>
      <c r="V52" s="28">
        <v>0.93200000000000005</v>
      </c>
      <c r="Z52" s="1">
        <v>6</v>
      </c>
      <c r="AA52" s="23">
        <v>855</v>
      </c>
      <c r="AB52" s="17">
        <v>31.1</v>
      </c>
      <c r="AC52" s="16">
        <f t="shared" si="35"/>
        <v>4.355742296918768E-2</v>
      </c>
      <c r="AD52" s="28">
        <v>0.77600000000000002</v>
      </c>
      <c r="AE52" s="17">
        <v>725</v>
      </c>
      <c r="AF52" s="17">
        <v>28.5</v>
      </c>
      <c r="AG52" s="16">
        <f t="shared" si="36"/>
        <v>3.9915966386554619E-2</v>
      </c>
      <c r="AH52" s="28">
        <v>0.82499999999999996</v>
      </c>
      <c r="AI52" s="23">
        <v>630</v>
      </c>
      <c r="AJ52" s="28">
        <v>25.6</v>
      </c>
      <c r="AK52" s="16">
        <f t="shared" si="37"/>
        <v>3.5854341736694682E-2</v>
      </c>
      <c r="AL52" s="28">
        <v>0.88700000000000001</v>
      </c>
      <c r="AM52" s="23">
        <v>545</v>
      </c>
      <c r="AN52" s="28">
        <v>23.3</v>
      </c>
      <c r="AO52" s="16">
        <f t="shared" si="38"/>
        <v>3.2633053221288517E-2</v>
      </c>
      <c r="AP52" s="28">
        <v>0.91900000000000004</v>
      </c>
      <c r="AQ52" s="23">
        <v>455</v>
      </c>
      <c r="AR52" s="28">
        <v>23.1</v>
      </c>
      <c r="AS52" s="16">
        <f t="shared" si="39"/>
        <v>3.2352941176470591E-2</v>
      </c>
      <c r="AT52" s="28">
        <v>0.92300000000000004</v>
      </c>
    </row>
    <row r="53" spans="1:46" ht="15.75" customHeight="1" x14ac:dyDescent="0.2">
      <c r="B53" s="1">
        <v>7</v>
      </c>
      <c r="C53" s="23">
        <v>825</v>
      </c>
      <c r="D53" s="17">
        <v>46.6</v>
      </c>
      <c r="E53" s="16">
        <f t="shared" si="30"/>
        <v>6.5266106442577035E-2</v>
      </c>
      <c r="F53" s="28">
        <v>0.88400000000000001</v>
      </c>
      <c r="G53" s="17">
        <v>750</v>
      </c>
      <c r="H53" s="17">
        <v>30.7</v>
      </c>
      <c r="I53" s="16">
        <f t="shared" si="31"/>
        <v>4.2997198879551821E-2</v>
      </c>
      <c r="J53" s="28">
        <v>0.94499999999999995</v>
      </c>
      <c r="K53" s="23">
        <v>640</v>
      </c>
      <c r="L53" s="28">
        <v>26.2</v>
      </c>
      <c r="M53" s="16">
        <f t="shared" si="32"/>
        <v>3.6694677871148461E-2</v>
      </c>
      <c r="N53" s="28">
        <v>0.95199999999999996</v>
      </c>
      <c r="O53" s="23">
        <v>550</v>
      </c>
      <c r="P53" s="28">
        <v>26.1</v>
      </c>
      <c r="Q53" s="16">
        <f t="shared" si="33"/>
        <v>3.6554621848739498E-2</v>
      </c>
      <c r="R53" s="28">
        <v>0.95499999999999996</v>
      </c>
      <c r="S53" s="23">
        <v>460</v>
      </c>
      <c r="T53" s="28">
        <v>30.4</v>
      </c>
      <c r="U53" s="16">
        <f t="shared" si="34"/>
        <v>4.2577030812324931E-2</v>
      </c>
      <c r="V53" s="28">
        <v>0.94499999999999995</v>
      </c>
      <c r="Z53" s="1">
        <v>7</v>
      </c>
      <c r="AA53" s="23">
        <v>825</v>
      </c>
      <c r="AB53" s="17">
        <v>57</v>
      </c>
      <c r="AC53" s="16">
        <f t="shared" si="35"/>
        <v>7.9831932773109238E-2</v>
      </c>
      <c r="AD53" s="28">
        <v>0.83799999999999997</v>
      </c>
      <c r="AE53" s="17">
        <v>750</v>
      </c>
      <c r="AF53" s="17">
        <v>35.700000000000003</v>
      </c>
      <c r="AG53" s="16">
        <f t="shared" si="36"/>
        <v>0.05</v>
      </c>
      <c r="AH53" s="28">
        <v>0.92900000000000005</v>
      </c>
      <c r="AI53" s="23">
        <v>640</v>
      </c>
      <c r="AJ53" s="28">
        <v>31.8</v>
      </c>
      <c r="AK53" s="16">
        <f t="shared" si="37"/>
        <v>4.4537815126050422E-2</v>
      </c>
      <c r="AL53" s="28">
        <v>0.93600000000000005</v>
      </c>
      <c r="AM53" s="23">
        <v>550</v>
      </c>
      <c r="AN53" s="28">
        <v>31.1</v>
      </c>
      <c r="AO53" s="16">
        <f t="shared" si="38"/>
        <v>4.355742296918768E-2</v>
      </c>
      <c r="AP53" s="28">
        <v>0.94099999999999995</v>
      </c>
      <c r="AQ53" s="23">
        <v>460</v>
      </c>
      <c r="AR53" s="28">
        <v>32.1</v>
      </c>
      <c r="AS53" s="16">
        <f t="shared" si="39"/>
        <v>4.4957983193277311E-2</v>
      </c>
      <c r="AT53" s="28">
        <v>0.94099999999999995</v>
      </c>
    </row>
    <row r="54" spans="1:46" ht="15.75" customHeight="1" x14ac:dyDescent="0.2">
      <c r="C54" s="23"/>
      <c r="D54" s="17"/>
      <c r="G54" s="17"/>
      <c r="H54" s="17"/>
      <c r="K54" s="23"/>
      <c r="O54" s="23"/>
      <c r="S54" s="23"/>
      <c r="AA54" s="23"/>
      <c r="AB54" s="17"/>
      <c r="AE54" s="17"/>
      <c r="AF54" s="17"/>
      <c r="AI54" s="23"/>
      <c r="AM54" s="23"/>
      <c r="AQ54" s="23"/>
    </row>
    <row r="55" spans="1:46" ht="15.75" customHeight="1" x14ac:dyDescent="0.2">
      <c r="B55" s="1" t="s">
        <v>11</v>
      </c>
      <c r="C55" s="23"/>
      <c r="D55" s="9">
        <f>SUMPRODUCT(C46:C53,D46:D53)/SUM(C46:C53)</f>
        <v>28.719033117624665</v>
      </c>
      <c r="E55" s="20">
        <f>SUMPRODUCT(C46:C53,E46:E53)/SUM(C46:C53)</f>
        <v>4.0222735458858086E-2</v>
      </c>
      <c r="F55" s="20">
        <f>SUMPRODUCT(C46:C53,F46:F53)/SUM(C46:C53)</f>
        <v>0.93577274457556148</v>
      </c>
      <c r="G55" s="17"/>
      <c r="H55" s="9">
        <f>SUMPRODUCT(G46:G53,H46:H53)/SUM(G46:G53)</f>
        <v>23.80197171024432</v>
      </c>
      <c r="I55" s="20">
        <f>SUMPRODUCT(G46:G53,I46:I53)/SUM(G46:G53)</f>
        <v>3.3336094832274961E-2</v>
      </c>
      <c r="J55" s="20">
        <f>SUMPRODUCT(G46:G53,J46:J53)/SUM(G46:G53)</f>
        <v>0.95801457351050145</v>
      </c>
      <c r="K55" s="23"/>
      <c r="L55" s="9">
        <f>SUMPRODUCT(K46:K53,L46:L53)/SUM(K46:K53)</f>
        <v>22.377728830151739</v>
      </c>
      <c r="M55" s="20">
        <f>SUMPRODUCT(K46:K53,M46:M53)/SUM(K46:K53)</f>
        <v>3.1341356904974429E-2</v>
      </c>
      <c r="N55" s="20">
        <f>SUMPRODUCT(K46:K53,N46:N53)/SUM(K46:K53)</f>
        <v>0.96305726872246689</v>
      </c>
      <c r="O55" s="23"/>
      <c r="P55" s="9">
        <f>SUMPRODUCT(O46:O53,P46:P53)/SUM(O46:O53)</f>
        <v>21.815419760137065</v>
      </c>
      <c r="Q55" s="20">
        <f>SUMPRODUCT(O46:O53,Q46:Q53)/SUM(O46:O53)</f>
        <v>3.0553809187867043E-2</v>
      </c>
      <c r="R55" s="20">
        <f>SUMPRODUCT(O46:O53,R46:R53)/SUM(O46:O53)</f>
        <v>0.96461050828098238</v>
      </c>
      <c r="S55" s="23"/>
      <c r="T55" s="9">
        <f>SUMPRODUCT(S46:S53,T46:T53)/SUM(S46:S53)</f>
        <v>22.355997258396162</v>
      </c>
      <c r="U55" s="20">
        <f>SUMPRODUCT(S46:S53,U46:U53)/SUM(S46:S53)</f>
        <v>3.1310920529966611E-2</v>
      </c>
      <c r="V55" s="20">
        <f>SUMPRODUCT(S46:S53,V46:V53)/SUM(S46:S53)</f>
        <v>0.96492186429061</v>
      </c>
      <c r="Z55" s="1" t="s">
        <v>11</v>
      </c>
      <c r="AA55" s="23"/>
      <c r="AB55" s="9">
        <f>SUMPRODUCT(AA46:AA53,AB46:AB53)/SUM(AA46:AA53)</f>
        <v>35.281195279786829</v>
      </c>
      <c r="AC55" s="20">
        <f>SUMPRODUCT(AA46:AA53,AC46:AC53)/SUM(AA46:AA53)</f>
        <v>4.941343876720844E-2</v>
      </c>
      <c r="AD55" s="20">
        <f>SUMPRODUCT(AA46:AA53,AD46:AD53)/SUM(AA46:AA53)</f>
        <v>0.91123562999619334</v>
      </c>
      <c r="AE55" s="17"/>
      <c r="AF55" s="9">
        <f>SUMPRODUCT(AE46:AE53,AF46:AF53)/SUM(AE46:AE53)</f>
        <v>27.657822546078012</v>
      </c>
      <c r="AG55" s="20">
        <f>SUMPRODUCT(AE46:AE53,AG46:AG53)/SUM(AE46:AE53)</f>
        <v>3.8736446142966396E-2</v>
      </c>
      <c r="AH55" s="20">
        <f>SUMPRODUCT(AE46:AE53,AH46:AH53)/SUM(AE46:AE53)</f>
        <v>0.94429275610801555</v>
      </c>
      <c r="AI55" s="23"/>
      <c r="AJ55" s="9">
        <f>SUMPRODUCT(AI46:AI53,AJ46:AJ53)/SUM(AI46:AI53)</f>
        <v>25.521830641213903</v>
      </c>
      <c r="AK55" s="20">
        <f>SUMPRODUCT(AI46:AI53,AK46:AK53)/SUM(AI46:AI53)</f>
        <v>3.5744860842036277E-2</v>
      </c>
      <c r="AL55" s="20">
        <f>SUMPRODUCT(AI46:AI53,AL46:AL53)/SUM(AI46:AI53)</f>
        <v>0.95434557023984334</v>
      </c>
      <c r="AM55" s="23"/>
      <c r="AN55" s="9">
        <f>SUMPRODUCT(AM46:AM53,AN46:AN53)/SUM(AM46:AM53)</f>
        <v>24.341690462592805</v>
      </c>
      <c r="AO55" s="20">
        <f>SUMPRODUCT(AM46:AM53,AO46:AO53)/SUM(AM46:AM53)</f>
        <v>3.4092003449009534E-2</v>
      </c>
      <c r="AP55" s="20">
        <f>SUMPRODUCT(AM46:AM53,AP46:AP53)/SUM(AM46:AM53)</f>
        <v>0.9581667618503712</v>
      </c>
      <c r="AQ55" s="23"/>
      <c r="AR55" s="9">
        <f>SUMPRODUCT(AQ46:AQ53,AR46:AR53)/SUM(AQ46:AQ53)</f>
        <v>24.243454420836191</v>
      </c>
      <c r="AS55" s="20">
        <f>SUMPRODUCT(AQ46:AQ53,AS46:AS53)/SUM(AQ46:AQ53)</f>
        <v>3.3954417956353199E-2</v>
      </c>
      <c r="AT55" s="20">
        <f>SUMPRODUCT(AQ46:AQ53,AT46:AT53)/SUM(AQ46:AQ53)</f>
        <v>0.95951679232350917</v>
      </c>
    </row>
    <row r="56" spans="1:46" ht="15.75" customHeight="1" x14ac:dyDescent="0.2">
      <c r="D56" s="29">
        <v>34.4</v>
      </c>
      <c r="H56" s="28">
        <v>29.1</v>
      </c>
      <c r="L56">
        <v>26.8</v>
      </c>
      <c r="P56">
        <v>26.7</v>
      </c>
      <c r="T56">
        <v>26</v>
      </c>
      <c r="AB56" s="29">
        <v>34.799999999999997</v>
      </c>
      <c r="AF56" s="28">
        <v>29</v>
      </c>
      <c r="AJ56">
        <v>24.6</v>
      </c>
      <c r="AN56">
        <v>24.5</v>
      </c>
      <c r="AR56">
        <v>27.2</v>
      </c>
    </row>
    <row r="57" spans="1:46" ht="15.75" customHeight="1" x14ac:dyDescent="0.2">
      <c r="C57" s="1">
        <f>SUM(C46:C53)</f>
        <v>13135</v>
      </c>
      <c r="G57" s="1">
        <f>SUM(G46:G53)</f>
        <v>11665</v>
      </c>
      <c r="K57" s="1">
        <f>SUM(K46:K53)</f>
        <v>10215</v>
      </c>
      <c r="O57" s="1">
        <f>SUM(O46:O53)</f>
        <v>8755</v>
      </c>
      <c r="S57" s="1">
        <f>SUM(S46:S53)</f>
        <v>7295</v>
      </c>
      <c r="AA57" s="1"/>
      <c r="AE57" s="1"/>
      <c r="AI57" s="1"/>
      <c r="AM57" s="1"/>
      <c r="AQ57" s="1"/>
    </row>
    <row r="58" spans="1:46" ht="15.75" customHeight="1" x14ac:dyDescent="0.2"/>
    <row r="59" spans="1:46" ht="15.75" customHeight="1" x14ac:dyDescent="0.2"/>
    <row r="60" spans="1:46" ht="15.75" customHeight="1" x14ac:dyDescent="0.2">
      <c r="A60" s="1" t="s">
        <v>25</v>
      </c>
      <c r="D60" s="134">
        <v>0.1</v>
      </c>
      <c r="E60" s="133"/>
      <c r="F60" s="133"/>
      <c r="G60" s="2"/>
      <c r="H60" s="134">
        <v>0.2</v>
      </c>
      <c r="I60" s="133"/>
      <c r="J60" s="133"/>
      <c r="K60" s="2"/>
      <c r="L60" s="134">
        <v>0.3</v>
      </c>
      <c r="M60" s="133"/>
      <c r="N60" s="133"/>
      <c r="O60" s="2"/>
      <c r="P60" s="134">
        <v>0.4</v>
      </c>
      <c r="Q60" s="133"/>
      <c r="R60" s="133"/>
      <c r="S60" s="2"/>
      <c r="T60" s="134">
        <v>0.5</v>
      </c>
      <c r="U60" s="133"/>
      <c r="V60" s="133"/>
      <c r="Y60" s="1" t="s">
        <v>25</v>
      </c>
      <c r="AB60" s="134">
        <v>0.1</v>
      </c>
      <c r="AC60" s="133"/>
      <c r="AD60" s="133"/>
      <c r="AE60" s="2"/>
      <c r="AF60" s="134">
        <v>0.2</v>
      </c>
      <c r="AG60" s="133"/>
      <c r="AH60" s="133"/>
      <c r="AI60" s="2"/>
      <c r="AJ60" s="134">
        <v>0.3</v>
      </c>
      <c r="AK60" s="133"/>
      <c r="AL60" s="133"/>
      <c r="AM60" s="2"/>
      <c r="AN60" s="134">
        <v>0.4</v>
      </c>
      <c r="AO60" s="133"/>
      <c r="AP60" s="133"/>
      <c r="AQ60" s="2"/>
      <c r="AR60" s="134">
        <v>0.5</v>
      </c>
      <c r="AS60" s="133"/>
      <c r="AT60" s="133"/>
    </row>
    <row r="61" spans="1:46" ht="15.75" customHeight="1" thickBot="1" x14ac:dyDescent="0.25">
      <c r="B61" s="13" t="s">
        <v>8</v>
      </c>
      <c r="C61" s="22" t="s">
        <v>22</v>
      </c>
      <c r="D61" s="14" t="s">
        <v>7</v>
      </c>
      <c r="E61" s="13" t="s">
        <v>9</v>
      </c>
      <c r="F61" s="13" t="s">
        <v>10</v>
      </c>
      <c r="G61" s="22" t="s">
        <v>22</v>
      </c>
      <c r="H61" s="14" t="s">
        <v>7</v>
      </c>
      <c r="I61" s="13" t="s">
        <v>9</v>
      </c>
      <c r="J61" s="13" t="s">
        <v>10</v>
      </c>
      <c r="K61" s="22" t="s">
        <v>22</v>
      </c>
      <c r="L61" s="13" t="s">
        <v>7</v>
      </c>
      <c r="M61" s="13" t="s">
        <v>9</v>
      </c>
      <c r="N61" s="13" t="s">
        <v>10</v>
      </c>
      <c r="O61" s="22" t="s">
        <v>22</v>
      </c>
      <c r="P61" s="13" t="s">
        <v>7</v>
      </c>
      <c r="Q61" s="13" t="s">
        <v>9</v>
      </c>
      <c r="R61" s="13" t="s">
        <v>10</v>
      </c>
      <c r="S61" s="22" t="s">
        <v>22</v>
      </c>
      <c r="T61" s="13" t="s">
        <v>7</v>
      </c>
      <c r="U61" s="13" t="s">
        <v>9</v>
      </c>
      <c r="V61" s="13" t="s">
        <v>10</v>
      </c>
      <c r="Z61" s="13" t="s">
        <v>8</v>
      </c>
      <c r="AA61" s="22" t="s">
        <v>22</v>
      </c>
      <c r="AB61" s="14" t="s">
        <v>7</v>
      </c>
      <c r="AC61" s="13" t="s">
        <v>9</v>
      </c>
      <c r="AD61" s="13" t="s">
        <v>10</v>
      </c>
      <c r="AE61" s="22" t="s">
        <v>22</v>
      </c>
      <c r="AF61" s="14" t="s">
        <v>7</v>
      </c>
      <c r="AG61" s="13" t="s">
        <v>9</v>
      </c>
      <c r="AH61" s="13" t="s">
        <v>10</v>
      </c>
      <c r="AI61" s="22" t="s">
        <v>22</v>
      </c>
      <c r="AJ61" s="13" t="s">
        <v>7</v>
      </c>
      <c r="AK61" s="13" t="s">
        <v>9</v>
      </c>
      <c r="AL61" s="13" t="s">
        <v>10</v>
      </c>
      <c r="AM61" s="22" t="s">
        <v>22</v>
      </c>
      <c r="AN61" s="13" t="s">
        <v>7</v>
      </c>
      <c r="AO61" s="13" t="s">
        <v>9</v>
      </c>
      <c r="AP61" s="13" t="s">
        <v>10</v>
      </c>
      <c r="AQ61" s="22" t="s">
        <v>22</v>
      </c>
      <c r="AR61" s="13" t="s">
        <v>7</v>
      </c>
      <c r="AS61" s="13" t="s">
        <v>9</v>
      </c>
      <c r="AT61" s="13" t="s">
        <v>10</v>
      </c>
    </row>
    <row r="62" spans="1:46" ht="15.75" customHeight="1" x14ac:dyDescent="0.2">
      <c r="B62" s="1">
        <v>0</v>
      </c>
      <c r="C62" s="23">
        <v>2335</v>
      </c>
      <c r="D62" s="17">
        <v>26.4</v>
      </c>
      <c r="E62" s="16">
        <f t="shared" ref="E62:E69" si="40">D62/$A$5</f>
        <v>3.6974789915966387E-2</v>
      </c>
      <c r="F62" s="28">
        <v>0.97699999999999998</v>
      </c>
      <c r="G62" s="17">
        <v>2050</v>
      </c>
      <c r="H62" s="17">
        <v>21.9</v>
      </c>
      <c r="I62" s="16">
        <f t="shared" ref="I62:I69" si="41">H62/$A$5</f>
        <v>3.0672268907563024E-2</v>
      </c>
      <c r="J62" s="28">
        <v>0.98199999999999998</v>
      </c>
      <c r="K62" s="23">
        <v>1770</v>
      </c>
      <c r="L62" s="28">
        <v>23.2</v>
      </c>
      <c r="M62" s="16">
        <f t="shared" ref="M62:M69" si="42">L62/$A$5</f>
        <v>3.2492997198879547E-2</v>
      </c>
      <c r="N62" s="28">
        <v>0.97899999999999998</v>
      </c>
      <c r="O62" s="23">
        <v>1490</v>
      </c>
      <c r="P62" s="28">
        <v>22.7</v>
      </c>
      <c r="Q62" s="16">
        <f t="shared" ref="Q62:Q69" si="43">P62/$A$5</f>
        <v>3.1792717086834732E-2</v>
      </c>
      <c r="R62" s="28">
        <v>0.98</v>
      </c>
      <c r="S62" s="23">
        <v>1125</v>
      </c>
      <c r="T62" s="28">
        <v>22.7</v>
      </c>
      <c r="U62" s="16">
        <f t="shared" ref="U62:U69" si="44">T62/$A$5</f>
        <v>3.1792717086834732E-2</v>
      </c>
      <c r="V62" s="28">
        <v>0.98</v>
      </c>
      <c r="Z62" s="1">
        <v>0</v>
      </c>
      <c r="AA62" s="23">
        <v>2335</v>
      </c>
      <c r="AB62" s="17">
        <v>32.4</v>
      </c>
      <c r="AC62" s="16">
        <f t="shared" ref="AC62:AC69" si="45">AB62/$A$5</f>
        <v>4.53781512605042E-2</v>
      </c>
      <c r="AD62" s="28">
        <v>0.96599999999999997</v>
      </c>
      <c r="AE62" s="17">
        <v>2050</v>
      </c>
      <c r="AF62" s="17">
        <v>25.4</v>
      </c>
      <c r="AG62" s="16">
        <f t="shared" ref="AG62:AG69" si="46">AF62/$A$5</f>
        <v>3.5574229691876749E-2</v>
      </c>
      <c r="AH62" s="28">
        <v>0.97699999999999998</v>
      </c>
      <c r="AI62" s="23">
        <v>1770</v>
      </c>
      <c r="AJ62" s="28">
        <v>26.7</v>
      </c>
      <c r="AK62" s="16">
        <f t="shared" ref="AK62:AK69" si="47">AJ62/$A$5</f>
        <v>3.7394957983193276E-2</v>
      </c>
      <c r="AL62" s="28">
        <v>0.97399999999999998</v>
      </c>
      <c r="AM62" s="23">
        <v>1490</v>
      </c>
      <c r="AN62" s="28">
        <v>24.4</v>
      </c>
      <c r="AO62" s="16">
        <f t="shared" ref="AO62:AO69" si="48">AN62/$A$5</f>
        <v>3.4173669467787111E-2</v>
      </c>
      <c r="AP62" s="28">
        <v>0.97899999999999998</v>
      </c>
      <c r="AQ62" s="23">
        <v>1125</v>
      </c>
      <c r="AR62" s="28">
        <v>24</v>
      </c>
      <c r="AS62" s="16">
        <f t="shared" ref="AS62:AS69" si="49">AR62/$A$5</f>
        <v>3.3613445378151259E-2</v>
      </c>
      <c r="AT62" s="28">
        <v>0.98</v>
      </c>
    </row>
    <row r="63" spans="1:46" ht="15.75" customHeight="1" x14ac:dyDescent="0.2">
      <c r="B63" s="1">
        <v>1</v>
      </c>
      <c r="C63" s="23">
        <v>1310</v>
      </c>
      <c r="D63" s="17">
        <v>26.2</v>
      </c>
      <c r="E63" s="16">
        <f t="shared" si="40"/>
        <v>3.6694677871148461E-2</v>
      </c>
      <c r="F63" s="28">
        <v>0.875</v>
      </c>
      <c r="G63" s="17">
        <v>1230</v>
      </c>
      <c r="H63" s="17">
        <v>26.1</v>
      </c>
      <c r="I63" s="16">
        <f t="shared" si="41"/>
        <v>3.6554621848739498E-2</v>
      </c>
      <c r="J63" s="28">
        <v>0.86799999999999999</v>
      </c>
      <c r="K63" s="23">
        <v>1120</v>
      </c>
      <c r="L63" s="28">
        <v>22.5</v>
      </c>
      <c r="M63" s="16">
        <f t="shared" si="42"/>
        <v>3.1512605042016806E-2</v>
      </c>
      <c r="N63" s="28">
        <v>0.88300000000000001</v>
      </c>
      <c r="O63" s="23">
        <v>975</v>
      </c>
      <c r="P63" s="28">
        <v>22.5</v>
      </c>
      <c r="Q63" s="16">
        <f t="shared" si="43"/>
        <v>3.1512605042016806E-2</v>
      </c>
      <c r="R63" s="28">
        <v>0.88500000000000001</v>
      </c>
      <c r="S63" s="23">
        <v>805</v>
      </c>
      <c r="T63" s="28">
        <v>19.899999999999999</v>
      </c>
      <c r="U63" s="16">
        <f t="shared" si="44"/>
        <v>2.7871148459383752E-2</v>
      </c>
      <c r="V63" s="28">
        <v>0.92100000000000004</v>
      </c>
      <c r="Z63" s="1">
        <v>1</v>
      </c>
      <c r="AA63" s="23">
        <v>1310</v>
      </c>
      <c r="AB63" s="17">
        <v>29.1</v>
      </c>
      <c r="AC63" s="16">
        <f t="shared" si="45"/>
        <v>4.0756302521008404E-2</v>
      </c>
      <c r="AD63" s="28">
        <v>0.85599999999999998</v>
      </c>
      <c r="AE63" s="17">
        <v>1230</v>
      </c>
      <c r="AF63" s="17">
        <v>28.1</v>
      </c>
      <c r="AG63" s="16">
        <f t="shared" si="46"/>
        <v>3.9355742296918766E-2</v>
      </c>
      <c r="AH63" s="28">
        <v>0.86099999999999999</v>
      </c>
      <c r="AI63" s="23">
        <v>1120</v>
      </c>
      <c r="AJ63" s="28">
        <v>24</v>
      </c>
      <c r="AK63" s="16">
        <f t="shared" si="47"/>
        <v>3.3613445378151259E-2</v>
      </c>
      <c r="AL63" s="28">
        <v>0.88400000000000001</v>
      </c>
      <c r="AM63" s="23">
        <v>975</v>
      </c>
      <c r="AN63" s="28">
        <v>22.6</v>
      </c>
      <c r="AO63" s="16">
        <f t="shared" si="48"/>
        <v>3.1652661064425769E-2</v>
      </c>
      <c r="AP63" s="28">
        <v>0.88900000000000001</v>
      </c>
      <c r="AQ63" s="23">
        <v>805</v>
      </c>
      <c r="AR63" s="28">
        <v>21.1</v>
      </c>
      <c r="AS63" s="16">
        <f t="shared" si="49"/>
        <v>2.9551820728291319E-2</v>
      </c>
      <c r="AT63" s="28">
        <v>0.91400000000000003</v>
      </c>
    </row>
    <row r="64" spans="1:46" ht="15.75" customHeight="1" x14ac:dyDescent="0.2">
      <c r="B64" s="1">
        <v>2</v>
      </c>
      <c r="C64" s="23">
        <v>1220</v>
      </c>
      <c r="D64" s="17">
        <v>33.200000000000003</v>
      </c>
      <c r="E64" s="16">
        <f t="shared" si="40"/>
        <v>4.6498599439775912E-2</v>
      </c>
      <c r="F64" s="28">
        <v>0.81399999999999995</v>
      </c>
      <c r="G64" s="17">
        <v>1055</v>
      </c>
      <c r="H64" s="17">
        <v>26.8</v>
      </c>
      <c r="I64" s="16">
        <f t="shared" si="41"/>
        <v>3.7535014005602239E-2</v>
      </c>
      <c r="J64" s="28">
        <v>0.89500000000000002</v>
      </c>
      <c r="K64" s="23">
        <v>905</v>
      </c>
      <c r="L64" s="28">
        <v>23.3</v>
      </c>
      <c r="M64" s="16">
        <f t="shared" si="42"/>
        <v>3.2633053221288517E-2</v>
      </c>
      <c r="N64" s="28">
        <v>0.92</v>
      </c>
      <c r="O64" s="23">
        <v>760</v>
      </c>
      <c r="P64" s="28">
        <v>23.2</v>
      </c>
      <c r="Q64" s="16">
        <f t="shared" si="43"/>
        <v>3.2492997198879547E-2</v>
      </c>
      <c r="R64" s="28">
        <v>0.92800000000000005</v>
      </c>
      <c r="S64" s="23">
        <v>600</v>
      </c>
      <c r="T64" s="28">
        <v>23.1</v>
      </c>
      <c r="U64" s="16">
        <f t="shared" si="44"/>
        <v>3.2352941176470591E-2</v>
      </c>
      <c r="V64" s="28">
        <v>0.92700000000000005</v>
      </c>
      <c r="Z64" s="1">
        <v>2</v>
      </c>
      <c r="AA64" s="23">
        <v>1220</v>
      </c>
      <c r="AB64" s="17">
        <v>36.799999999999997</v>
      </c>
      <c r="AC64" s="16">
        <f t="shared" si="45"/>
        <v>5.1540616246498597E-2</v>
      </c>
      <c r="AD64" s="28">
        <v>0.79200000000000004</v>
      </c>
      <c r="AE64" s="17">
        <v>1055</v>
      </c>
      <c r="AF64" s="17">
        <v>34</v>
      </c>
      <c r="AG64" s="16">
        <f t="shared" si="46"/>
        <v>4.7619047619047616E-2</v>
      </c>
      <c r="AH64" s="28">
        <v>0.86199999999999999</v>
      </c>
      <c r="AI64" s="23">
        <v>905</v>
      </c>
      <c r="AJ64" s="28">
        <v>26.1</v>
      </c>
      <c r="AK64" s="16">
        <f t="shared" si="47"/>
        <v>3.6554621848739498E-2</v>
      </c>
      <c r="AL64" s="28">
        <v>0.91</v>
      </c>
      <c r="AM64" s="23">
        <v>760</v>
      </c>
      <c r="AN64" s="28">
        <v>25</v>
      </c>
      <c r="AO64" s="16">
        <f t="shared" si="48"/>
        <v>3.5014005602240897E-2</v>
      </c>
      <c r="AP64" s="28">
        <v>0.92100000000000004</v>
      </c>
      <c r="AQ64" s="23">
        <v>600</v>
      </c>
      <c r="AR64" s="28">
        <v>24.9</v>
      </c>
      <c r="AS64" s="16">
        <f t="shared" si="49"/>
        <v>3.4873949579831934E-2</v>
      </c>
      <c r="AT64" s="28">
        <v>0.92100000000000004</v>
      </c>
    </row>
    <row r="65" spans="2:46" ht="15.75" customHeight="1" x14ac:dyDescent="0.2">
      <c r="B65" s="1">
        <v>3</v>
      </c>
      <c r="C65" s="23">
        <v>1780</v>
      </c>
      <c r="D65" s="17">
        <v>25.9</v>
      </c>
      <c r="E65" s="16">
        <f t="shared" si="40"/>
        <v>3.6274509803921565E-2</v>
      </c>
      <c r="F65" s="28">
        <v>0.97799999999999998</v>
      </c>
      <c r="G65" s="17">
        <v>1565</v>
      </c>
      <c r="H65" s="17">
        <v>21.9</v>
      </c>
      <c r="I65" s="16">
        <f t="shared" si="41"/>
        <v>3.0672268907563024E-2</v>
      </c>
      <c r="J65" s="28">
        <v>0.98299999999999998</v>
      </c>
      <c r="K65" s="23">
        <v>1365</v>
      </c>
      <c r="L65" s="28">
        <v>20.399999999999999</v>
      </c>
      <c r="M65" s="16">
        <f t="shared" si="42"/>
        <v>2.8571428571428571E-2</v>
      </c>
      <c r="N65" s="28">
        <v>0.98399999999999999</v>
      </c>
      <c r="O65" s="23">
        <v>1200</v>
      </c>
      <c r="P65" s="28">
        <v>19.8</v>
      </c>
      <c r="Q65" s="16">
        <f t="shared" si="43"/>
        <v>2.7731092436974792E-2</v>
      </c>
      <c r="R65" s="28">
        <v>0.98399999999999999</v>
      </c>
      <c r="S65" s="23">
        <v>1015</v>
      </c>
      <c r="T65" s="28">
        <v>19.5</v>
      </c>
      <c r="U65" s="16">
        <f t="shared" si="44"/>
        <v>2.7310924369747899E-2</v>
      </c>
      <c r="V65" s="28">
        <v>0.98399999999999999</v>
      </c>
      <c r="Z65" s="1">
        <v>3</v>
      </c>
      <c r="AA65" s="23">
        <v>1780</v>
      </c>
      <c r="AB65" s="17">
        <v>39.1</v>
      </c>
      <c r="AC65" s="16">
        <f t="shared" si="45"/>
        <v>5.4761904761904762E-2</v>
      </c>
      <c r="AD65" s="28">
        <v>0.95199999999999996</v>
      </c>
      <c r="AE65" s="17">
        <v>1565</v>
      </c>
      <c r="AF65" s="17">
        <v>27.2</v>
      </c>
      <c r="AG65" s="16">
        <f t="shared" si="46"/>
        <v>3.8095238095238092E-2</v>
      </c>
      <c r="AH65" s="28">
        <v>0.97499999999999998</v>
      </c>
      <c r="AI65" s="23">
        <v>1365</v>
      </c>
      <c r="AJ65" s="28">
        <v>23.7</v>
      </c>
      <c r="AK65" s="16">
        <f t="shared" si="47"/>
        <v>3.319327731092437E-2</v>
      </c>
      <c r="AL65" s="28">
        <v>0.98</v>
      </c>
      <c r="AM65" s="23">
        <v>1200</v>
      </c>
      <c r="AN65" s="28">
        <v>21.7</v>
      </c>
      <c r="AO65" s="16">
        <f t="shared" si="48"/>
        <v>3.0392156862745098E-2</v>
      </c>
      <c r="AP65" s="28">
        <v>0.98099999999999998</v>
      </c>
      <c r="AQ65" s="23">
        <v>1015</v>
      </c>
      <c r="AR65" s="28">
        <v>21.5</v>
      </c>
      <c r="AS65" s="16">
        <f t="shared" si="49"/>
        <v>3.0112044817927171E-2</v>
      </c>
      <c r="AT65" s="28">
        <v>0.98099999999999998</v>
      </c>
    </row>
    <row r="66" spans="2:46" ht="15.75" customHeight="1" x14ac:dyDescent="0.2">
      <c r="B66" s="1">
        <v>4</v>
      </c>
      <c r="C66" s="23">
        <v>1610</v>
      </c>
      <c r="D66" s="17">
        <v>31.8</v>
      </c>
      <c r="E66" s="16">
        <f t="shared" si="40"/>
        <v>4.4537815126050422E-2</v>
      </c>
      <c r="F66" s="28">
        <v>0.96</v>
      </c>
      <c r="G66" s="17">
        <v>1420</v>
      </c>
      <c r="H66" s="17">
        <v>27.1</v>
      </c>
      <c r="I66" s="16">
        <f t="shared" si="41"/>
        <v>3.7955182072829136E-2</v>
      </c>
      <c r="J66" s="28">
        <v>0.97099999999999997</v>
      </c>
      <c r="K66" s="23">
        <v>1260</v>
      </c>
      <c r="L66" s="28">
        <v>27</v>
      </c>
      <c r="M66" s="16">
        <f t="shared" si="42"/>
        <v>3.7815126050420166E-2</v>
      </c>
      <c r="N66" s="28">
        <v>0.97</v>
      </c>
      <c r="O66" s="23">
        <v>1075</v>
      </c>
      <c r="P66" s="28">
        <v>26.5</v>
      </c>
      <c r="Q66" s="16">
        <f t="shared" si="43"/>
        <v>3.711484593837535E-2</v>
      </c>
      <c r="R66" s="28">
        <v>0.97199999999999998</v>
      </c>
      <c r="S66" s="23">
        <v>945</v>
      </c>
      <c r="T66" s="28">
        <v>27.1</v>
      </c>
      <c r="U66" s="16">
        <f t="shared" si="44"/>
        <v>3.7955182072829136E-2</v>
      </c>
      <c r="V66" s="28">
        <v>0.97099999999999997</v>
      </c>
      <c r="Z66" s="1">
        <v>4</v>
      </c>
      <c r="AA66" s="23">
        <v>1610</v>
      </c>
      <c r="AB66" s="17">
        <v>40.1</v>
      </c>
      <c r="AC66" s="16">
        <f t="shared" si="45"/>
        <v>5.6162464985994399E-2</v>
      </c>
      <c r="AD66" s="28">
        <v>0.94699999999999995</v>
      </c>
      <c r="AE66" s="17">
        <v>1420</v>
      </c>
      <c r="AF66" s="17">
        <v>30.5</v>
      </c>
      <c r="AG66" s="16">
        <f t="shared" si="46"/>
        <v>4.2717086834733894E-2</v>
      </c>
      <c r="AH66" s="28">
        <v>0.96499999999999997</v>
      </c>
      <c r="AI66" s="23">
        <v>1260</v>
      </c>
      <c r="AJ66" s="28">
        <v>30.7</v>
      </c>
      <c r="AK66" s="16">
        <f t="shared" si="47"/>
        <v>4.2997198879551821E-2</v>
      </c>
      <c r="AL66" s="28">
        <v>0.96399999999999997</v>
      </c>
      <c r="AM66" s="23">
        <v>1075</v>
      </c>
      <c r="AN66" s="28">
        <v>28.5</v>
      </c>
      <c r="AO66" s="16">
        <f t="shared" si="48"/>
        <v>3.9915966386554619E-2</v>
      </c>
      <c r="AP66" s="28">
        <v>0.96899999999999997</v>
      </c>
      <c r="AQ66" s="23">
        <v>945</v>
      </c>
      <c r="AR66" s="28">
        <v>29.2</v>
      </c>
      <c r="AS66" s="16">
        <f t="shared" si="49"/>
        <v>4.0896358543417367E-2</v>
      </c>
      <c r="AT66" s="28">
        <v>0.96699999999999997</v>
      </c>
    </row>
    <row r="67" spans="2:46" ht="15.75" customHeight="1" x14ac:dyDescent="0.2">
      <c r="B67" s="1">
        <v>5</v>
      </c>
      <c r="C67" s="23">
        <v>1570</v>
      </c>
      <c r="D67" s="17">
        <v>23</v>
      </c>
      <c r="E67" s="16">
        <f t="shared" si="40"/>
        <v>3.2212885154061621E-2</v>
      </c>
      <c r="F67" s="28">
        <v>0.97399999999999998</v>
      </c>
      <c r="G67" s="17">
        <v>1420</v>
      </c>
      <c r="H67" s="17">
        <v>20.9</v>
      </c>
      <c r="I67" s="16">
        <f t="shared" si="41"/>
        <v>2.9271708683473386E-2</v>
      </c>
      <c r="J67" s="28">
        <v>0.97599999999999998</v>
      </c>
      <c r="K67" s="23">
        <v>1210</v>
      </c>
      <c r="L67" s="28">
        <v>19</v>
      </c>
      <c r="M67" s="16">
        <f t="shared" si="42"/>
        <v>2.661064425770308E-2</v>
      </c>
      <c r="N67" s="28">
        <v>0.98099999999999998</v>
      </c>
      <c r="O67" s="23">
        <v>1020</v>
      </c>
      <c r="P67" s="28">
        <v>16.899999999999999</v>
      </c>
      <c r="Q67" s="16">
        <f t="shared" si="43"/>
        <v>2.3669467787114845E-2</v>
      </c>
      <c r="R67" s="28">
        <v>0.98399999999999999</v>
      </c>
      <c r="S67" s="23">
        <v>825</v>
      </c>
      <c r="T67" s="28">
        <v>18</v>
      </c>
      <c r="U67" s="16">
        <f t="shared" si="44"/>
        <v>2.5210084033613446E-2</v>
      </c>
      <c r="V67" s="28">
        <v>0.98199999999999998</v>
      </c>
      <c r="Z67" s="1">
        <v>5</v>
      </c>
      <c r="AA67" s="23">
        <v>1570</v>
      </c>
      <c r="AB67" s="17">
        <v>29.3</v>
      </c>
      <c r="AC67" s="16">
        <f t="shared" si="45"/>
        <v>4.103641456582633E-2</v>
      </c>
      <c r="AD67" s="28">
        <v>0.96</v>
      </c>
      <c r="AE67" s="17">
        <v>1420</v>
      </c>
      <c r="AF67" s="17">
        <v>25.4</v>
      </c>
      <c r="AG67" s="16">
        <f t="shared" si="46"/>
        <v>3.5574229691876749E-2</v>
      </c>
      <c r="AH67" s="28">
        <v>0.96399999999999997</v>
      </c>
      <c r="AI67" s="23">
        <v>1210</v>
      </c>
      <c r="AJ67" s="28">
        <v>22.5</v>
      </c>
      <c r="AK67" s="16">
        <f t="shared" si="47"/>
        <v>3.1512605042016806E-2</v>
      </c>
      <c r="AL67" s="28">
        <v>0.96899999999999997</v>
      </c>
      <c r="AM67" s="23">
        <v>1020</v>
      </c>
      <c r="AN67" s="28">
        <v>18.899999999999999</v>
      </c>
      <c r="AO67" s="16">
        <f t="shared" si="48"/>
        <v>2.6470588235294117E-2</v>
      </c>
      <c r="AP67" s="28">
        <v>0.98099999999999998</v>
      </c>
      <c r="AQ67" s="23">
        <v>825</v>
      </c>
      <c r="AR67" s="28">
        <v>20.6</v>
      </c>
      <c r="AS67" s="16">
        <f t="shared" si="49"/>
        <v>2.88515406162465E-2</v>
      </c>
      <c r="AT67" s="28">
        <v>0.97899999999999998</v>
      </c>
    </row>
    <row r="68" spans="2:46" ht="15.75" customHeight="1" x14ac:dyDescent="0.2">
      <c r="B68" s="1">
        <v>6</v>
      </c>
      <c r="C68" s="23">
        <v>2135</v>
      </c>
      <c r="D68" s="17">
        <v>30.3</v>
      </c>
      <c r="E68" s="16">
        <f t="shared" si="40"/>
        <v>4.2436974789915968E-2</v>
      </c>
      <c r="F68" s="28">
        <v>0.96399999999999997</v>
      </c>
      <c r="G68" s="17">
        <v>1900</v>
      </c>
      <c r="H68" s="17">
        <v>23.5</v>
      </c>
      <c r="I68" s="16">
        <f t="shared" si="41"/>
        <v>3.2913165266106444E-2</v>
      </c>
      <c r="J68" s="28">
        <v>0.97299999999999998</v>
      </c>
      <c r="K68" s="23">
        <v>1675</v>
      </c>
      <c r="L68" s="28">
        <v>23.3</v>
      </c>
      <c r="M68" s="16">
        <f t="shared" si="42"/>
        <v>3.2633053221288517E-2</v>
      </c>
      <c r="N68" s="28">
        <v>0.97099999999999997</v>
      </c>
      <c r="O68" s="23">
        <v>1455</v>
      </c>
      <c r="P68" s="28">
        <v>24.2</v>
      </c>
      <c r="Q68" s="16">
        <f t="shared" si="43"/>
        <v>3.3893557422969185E-2</v>
      </c>
      <c r="R68" s="28">
        <v>0.96899999999999997</v>
      </c>
      <c r="S68" s="23">
        <v>1245</v>
      </c>
      <c r="T68" s="28">
        <v>22.8</v>
      </c>
      <c r="U68" s="16">
        <f t="shared" si="44"/>
        <v>3.1932773109243695E-2</v>
      </c>
      <c r="V68" s="28">
        <v>0.97099999999999997</v>
      </c>
      <c r="Z68" s="1">
        <v>6</v>
      </c>
      <c r="AA68" s="23">
        <v>2135</v>
      </c>
      <c r="AB68" s="17">
        <v>36.299999999999997</v>
      </c>
      <c r="AC68" s="16">
        <f t="shared" si="45"/>
        <v>5.0840336134453774E-2</v>
      </c>
      <c r="AD68" s="28">
        <v>0.95399999999999996</v>
      </c>
      <c r="AE68" s="17">
        <v>1900</v>
      </c>
      <c r="AF68" s="17">
        <v>27.7</v>
      </c>
      <c r="AG68" s="16">
        <f t="shared" si="46"/>
        <v>3.8795518207282914E-2</v>
      </c>
      <c r="AH68" s="28">
        <v>0.96699999999999997</v>
      </c>
      <c r="AI68" s="23">
        <v>1675</v>
      </c>
      <c r="AJ68" s="28">
        <v>26.5</v>
      </c>
      <c r="AK68" s="16">
        <f t="shared" si="47"/>
        <v>3.711484593837535E-2</v>
      </c>
      <c r="AL68" s="28">
        <v>0.96599999999999997</v>
      </c>
      <c r="AM68" s="23">
        <v>1455</v>
      </c>
      <c r="AN68" s="28">
        <v>25.6</v>
      </c>
      <c r="AO68" s="16">
        <f t="shared" si="48"/>
        <v>3.5854341736694682E-2</v>
      </c>
      <c r="AP68" s="28">
        <v>0.96699999999999997</v>
      </c>
      <c r="AQ68" s="23">
        <v>1245</v>
      </c>
      <c r="AR68" s="28">
        <v>24.7</v>
      </c>
      <c r="AS68" s="16">
        <f t="shared" si="49"/>
        <v>3.4593837535014008E-2</v>
      </c>
      <c r="AT68" s="28">
        <v>0.96799999999999997</v>
      </c>
    </row>
    <row r="69" spans="2:46" ht="15.75" customHeight="1" x14ac:dyDescent="0.2">
      <c r="B69" s="1">
        <v>7</v>
      </c>
      <c r="C69" s="23">
        <v>1175</v>
      </c>
      <c r="D69" s="17">
        <v>27.7</v>
      </c>
      <c r="E69" s="16">
        <f t="shared" si="40"/>
        <v>3.8795518207282914E-2</v>
      </c>
      <c r="F69" s="28">
        <v>0.96899999999999997</v>
      </c>
      <c r="G69" s="17">
        <v>1035</v>
      </c>
      <c r="H69" s="17">
        <v>23.2</v>
      </c>
      <c r="I69" s="16">
        <f t="shared" si="41"/>
        <v>3.2492997198879547E-2</v>
      </c>
      <c r="J69" s="28">
        <v>0.97599999999999998</v>
      </c>
      <c r="K69" s="23">
        <v>910</v>
      </c>
      <c r="L69" s="28">
        <v>22.2</v>
      </c>
      <c r="M69" s="16">
        <f t="shared" si="42"/>
        <v>3.1092436974789917E-2</v>
      </c>
      <c r="N69" s="28">
        <v>0.97799999999999998</v>
      </c>
      <c r="O69" s="23">
        <v>780</v>
      </c>
      <c r="P69" s="28">
        <v>22.4</v>
      </c>
      <c r="Q69" s="16">
        <f t="shared" si="43"/>
        <v>3.1372549019607843E-2</v>
      </c>
      <c r="R69" s="28">
        <v>0.97699999999999998</v>
      </c>
      <c r="S69" s="23">
        <v>635</v>
      </c>
      <c r="T69" s="28">
        <v>22.7</v>
      </c>
      <c r="U69" s="16">
        <f t="shared" si="44"/>
        <v>3.1792717086834732E-2</v>
      </c>
      <c r="V69" s="28">
        <v>0.97299999999999998</v>
      </c>
      <c r="Z69" s="1">
        <v>7</v>
      </c>
      <c r="AA69" s="23">
        <v>1175</v>
      </c>
      <c r="AB69" s="17">
        <v>36.9</v>
      </c>
      <c r="AC69" s="16">
        <f t="shared" si="45"/>
        <v>5.168067226890756E-2</v>
      </c>
      <c r="AD69" s="28">
        <v>0.95199999999999996</v>
      </c>
      <c r="AE69" s="17">
        <v>1035</v>
      </c>
      <c r="AF69" s="17">
        <v>28.3</v>
      </c>
      <c r="AG69" s="16">
        <f t="shared" si="46"/>
        <v>3.9635854341736693E-2</v>
      </c>
      <c r="AH69" s="28">
        <v>0.96899999999999997</v>
      </c>
      <c r="AI69" s="23">
        <v>910</v>
      </c>
      <c r="AJ69" s="28">
        <v>26</v>
      </c>
      <c r="AK69" s="16">
        <f t="shared" si="47"/>
        <v>3.6414565826330535E-2</v>
      </c>
      <c r="AL69" s="28">
        <v>0.97199999999999998</v>
      </c>
      <c r="AM69" s="23">
        <v>780</v>
      </c>
      <c r="AN69" s="28">
        <v>26.7</v>
      </c>
      <c r="AO69" s="16">
        <f t="shared" si="48"/>
        <v>3.7394957983193276E-2</v>
      </c>
      <c r="AP69" s="28">
        <v>0.97099999999999997</v>
      </c>
      <c r="AQ69" s="23">
        <v>635</v>
      </c>
      <c r="AR69" s="28">
        <v>24.7</v>
      </c>
      <c r="AS69" s="16">
        <f t="shared" si="49"/>
        <v>3.4593837535014008E-2</v>
      </c>
      <c r="AT69" s="28">
        <v>0.97099999999999997</v>
      </c>
    </row>
    <row r="70" spans="2:46" ht="15.75" customHeight="1" x14ac:dyDescent="0.2">
      <c r="C70" s="23"/>
      <c r="D70" s="17"/>
      <c r="G70" s="17"/>
      <c r="H70" s="17"/>
      <c r="K70" s="23"/>
      <c r="O70" s="23"/>
      <c r="S70" s="23"/>
      <c r="AA70" s="23"/>
      <c r="AB70" s="17"/>
      <c r="AE70" s="17"/>
      <c r="AF70" s="17"/>
      <c r="AI70" s="23"/>
      <c r="AM70" s="23"/>
      <c r="AQ70" s="23"/>
    </row>
    <row r="71" spans="2:46" ht="15.75" customHeight="1" x14ac:dyDescent="0.2">
      <c r="B71" s="1" t="s">
        <v>11</v>
      </c>
      <c r="C71" s="23"/>
      <c r="D71" s="9">
        <f>SUMPRODUCT(C62:C69,D62:D69)/SUM(C62:C69)</f>
        <v>27.949600304529881</v>
      </c>
      <c r="E71" s="20">
        <f>SUMPRODUCT(C62:C69,E62:E69)/SUM(C62:C69)</f>
        <v>3.9145098465728126E-2</v>
      </c>
      <c r="F71" s="20">
        <f>SUMPRODUCT(C62:C69,F62:F69)/SUM(C62:C69)</f>
        <v>0.94655196041111545</v>
      </c>
      <c r="G71" s="17"/>
      <c r="H71" s="9">
        <f>SUMPRODUCT(G62:G69,H62:H69)/SUM(G62:G69)</f>
        <v>23.671734475374734</v>
      </c>
      <c r="I71" s="20">
        <f>SUMPRODUCT(G62:G69,I62:I69)/SUM(G62:G69)</f>
        <v>3.3153689741421188E-2</v>
      </c>
      <c r="J71" s="20">
        <f>SUMPRODUCT(G62:G69,J62:J69)/SUM(G62:G69)</f>
        <v>0.95819785867237683</v>
      </c>
      <c r="K71" s="23"/>
      <c r="L71" s="9">
        <f>SUMPRODUCT(K62:K69,L62:L69)/SUM(K62:K69)</f>
        <v>22.656485560450317</v>
      </c>
      <c r="M71" s="20">
        <f>SUMPRODUCT(K62:K69,M62:M69)/SUM(K62:K69)</f>
        <v>3.1731772493627894E-2</v>
      </c>
      <c r="N71" s="20">
        <f>SUMPRODUCT(K62:K69,N62:N69)/SUM(K62:K69)</f>
        <v>0.96164121390112567</v>
      </c>
      <c r="O71" s="23"/>
      <c r="P71" s="9">
        <f>SUMPRODUCT(O62:O69,P62:P69)/SUM(O62:O69)</f>
        <v>22.337064534551686</v>
      </c>
      <c r="Q71" s="20">
        <f>SUMPRODUCT(O62:O69,Q62:Q69)/SUM(O62:O69)</f>
        <v>3.1284404110016366E-2</v>
      </c>
      <c r="R71" s="20">
        <f>SUMPRODUCT(O62:O69,R62:R69)/SUM(O62:O69)</f>
        <v>0.96284294688749272</v>
      </c>
      <c r="S71" s="23"/>
      <c r="T71" s="9">
        <f>SUMPRODUCT(S62:S69,T62:T69)/SUM(S62:S69)</f>
        <v>22.024947880472549</v>
      </c>
      <c r="U71" s="20">
        <f>SUMPRODUCT(S62:S69,U62:U69)/SUM(S62:S69)</f>
        <v>3.0847265939037184E-2</v>
      </c>
      <c r="V71" s="20">
        <f>SUMPRODUCT(S62:S69,V62:V69)/SUM(S62:S69)</f>
        <v>0.96641556636553172</v>
      </c>
      <c r="Z71" s="1" t="s">
        <v>11</v>
      </c>
      <c r="AA71" s="23"/>
      <c r="AB71" s="9">
        <f>SUMPRODUCT(AA62:AA69,AB62:AB69)/SUM(AA62:AA69)</f>
        <v>34.997259231062046</v>
      </c>
      <c r="AC71" s="20">
        <f>SUMPRODUCT(AA62:AA69,AC62:AC69)/SUM(AA62:AA69)</f>
        <v>4.9015769231179347E-2</v>
      </c>
      <c r="AD71" s="20">
        <f>SUMPRODUCT(AA62:AA69,AD62:AD69)/SUM(AA62:AA69)</f>
        <v>0.93072173582032747</v>
      </c>
      <c r="AE71" s="17"/>
      <c r="AF71" s="9">
        <f>SUMPRODUCT(AE62:AE69,AF62:AF69)/SUM(AE62:AE69)</f>
        <v>27.954561027837258</v>
      </c>
      <c r="AG71" s="20">
        <f>SUMPRODUCT(AE62:AE69,AG62:AG69)/SUM(AE62:AE69)</f>
        <v>3.9152046257475148E-2</v>
      </c>
      <c r="AH71" s="20">
        <f>SUMPRODUCT(AE62:AE69,AH62:AH69)/SUM(AE62:AE69)</f>
        <v>0.94874175588865073</v>
      </c>
      <c r="AI71" s="23"/>
      <c r="AJ71" s="9">
        <f>SUMPRODUCT(AI62:AI69,AJ62:AJ69)/SUM(AI62:AI69)</f>
        <v>25.85066079295154</v>
      </c>
      <c r="AK71" s="20">
        <f>SUMPRODUCT(AI62:AI69,AK62:AK69)/SUM(AI62:AI69)</f>
        <v>3.6205407273041376E-2</v>
      </c>
      <c r="AL71" s="20">
        <f>SUMPRODUCT(AI62:AI69,AL62:AL69)/SUM(AI62:AI69)</f>
        <v>0.95594811551639747</v>
      </c>
      <c r="AM71" s="23"/>
      <c r="AN71" s="9">
        <f>SUMPRODUCT(AM62:AM69,AN62:AN69)/SUM(AM62:AM69)</f>
        <v>24.148543689320388</v>
      </c>
      <c r="AO71" s="20">
        <f>SUMPRODUCT(AM62:AM69,AO62:AO69)/SUM(AM62:AM69)</f>
        <v>3.3821489760952922E-2</v>
      </c>
      <c r="AP71" s="20">
        <f>SUMPRODUCT(AM62:AM69,AP62:AP69)/SUM(AM62:AM69)</f>
        <v>0.96051456310679617</v>
      </c>
      <c r="AQ71" s="23"/>
      <c r="AR71" s="9">
        <f>SUMPRODUCT(AQ62:AQ69,AR62:AR69)/SUM(AQ62:AQ69)</f>
        <v>23.873940236275192</v>
      </c>
      <c r="AS71" s="20">
        <f>SUMPRODUCT(AQ62:AQ69,AS62:AS69)/SUM(AQ62:AQ69)</f>
        <v>3.3436891087220158E-2</v>
      </c>
      <c r="AT71" s="20">
        <f>SUMPRODUCT(AQ62:AQ69,AT62:AT69)/SUM(AQ62:AQ69)</f>
        <v>0.96314384989576085</v>
      </c>
    </row>
    <row r="72" spans="2:46" ht="15.75" customHeight="1" x14ac:dyDescent="0.2">
      <c r="D72" s="29">
        <v>35.700000000000003</v>
      </c>
      <c r="H72" s="28">
        <v>28.9</v>
      </c>
      <c r="L72">
        <v>26.6</v>
      </c>
      <c r="P72">
        <v>25.2</v>
      </c>
      <c r="T72">
        <v>24.6</v>
      </c>
    </row>
    <row r="73" spans="2:46" ht="15.75" customHeight="1" x14ac:dyDescent="0.2">
      <c r="C73" s="1">
        <f>SUM(C62:C69)</f>
        <v>13135</v>
      </c>
      <c r="G73" s="1">
        <f>SUM(G62:G69)</f>
        <v>11675</v>
      </c>
      <c r="K73" s="1">
        <f>SUM(K62:K69)</f>
        <v>10215</v>
      </c>
      <c r="O73" s="1">
        <f>SUM(O62:O69)</f>
        <v>8755</v>
      </c>
      <c r="S73" s="1">
        <f>SUM(S62:S69)</f>
        <v>7195</v>
      </c>
    </row>
    <row r="74" spans="2:46" ht="15.75" customHeight="1" x14ac:dyDescent="0.2"/>
    <row r="75" spans="2:46" ht="15.75" customHeight="1" x14ac:dyDescent="0.2"/>
    <row r="76" spans="2:46" ht="15.75" customHeight="1" x14ac:dyDescent="0.2"/>
    <row r="77" spans="2:46" ht="15.75" customHeight="1" x14ac:dyDescent="0.2"/>
    <row r="78" spans="2:46" ht="15.75" customHeight="1" x14ac:dyDescent="0.2"/>
    <row r="79" spans="2:46" ht="15.75" customHeight="1" x14ac:dyDescent="0.2"/>
    <row r="80" spans="2:4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</sheetData>
  <mergeCells count="40">
    <mergeCell ref="T7:V7"/>
    <mergeCell ref="AN29:AP29"/>
    <mergeCell ref="AJ7:AL7"/>
    <mergeCell ref="AN7:AP7"/>
    <mergeCell ref="L29:N29"/>
    <mergeCell ref="P29:R29"/>
    <mergeCell ref="H7:J7"/>
    <mergeCell ref="L7:N7"/>
    <mergeCell ref="P7:R7"/>
    <mergeCell ref="AR7:AT7"/>
    <mergeCell ref="AB60:AD60"/>
    <mergeCell ref="AF60:AH60"/>
    <mergeCell ref="AJ60:AL60"/>
    <mergeCell ref="AN60:AP60"/>
    <mergeCell ref="AR60:AT60"/>
    <mergeCell ref="AB44:AD44"/>
    <mergeCell ref="AF44:AH44"/>
    <mergeCell ref="AJ44:AL44"/>
    <mergeCell ref="AN44:AP44"/>
    <mergeCell ref="AR44:AT44"/>
    <mergeCell ref="AB29:AD29"/>
    <mergeCell ref="AF29:AH29"/>
    <mergeCell ref="AJ29:AL29"/>
    <mergeCell ref="AR29:AT29"/>
    <mergeCell ref="AB7:AD7"/>
    <mergeCell ref="AF7:AH7"/>
    <mergeCell ref="D60:F60"/>
    <mergeCell ref="H60:J60"/>
    <mergeCell ref="L60:N60"/>
    <mergeCell ref="P60:R60"/>
    <mergeCell ref="T60:V60"/>
    <mergeCell ref="D44:F44"/>
    <mergeCell ref="H44:J44"/>
    <mergeCell ref="L44:N44"/>
    <mergeCell ref="P44:R44"/>
    <mergeCell ref="T44:V44"/>
    <mergeCell ref="D7:F7"/>
    <mergeCell ref="D29:F29"/>
    <mergeCell ref="H29:J29"/>
    <mergeCell ref="T29:V29"/>
  </mergeCells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Source Results</vt:lpstr>
      <vt:lpstr>TL-Baseline Comparison</vt:lpstr>
      <vt:lpstr>Horns Rev</vt:lpstr>
      <vt:lpstr>Seagreen</vt:lpstr>
      <vt:lpstr>Gemini</vt:lpstr>
      <vt:lpstr>Hollandse_Noord</vt:lpstr>
      <vt:lpstr>Dieppe</vt:lpstr>
      <vt:lpstr>Moray Firth</vt:lpstr>
      <vt:lpstr>Kriegers</vt:lpstr>
      <vt:lpstr>East Anglia 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2025-12-10T08:14:19Z</dcterms:created>
  <dcterms:modified xsi:type="dcterms:W3CDTF">2026-01-22T20:42:36Z</dcterms:modified>
</cp:coreProperties>
</file>