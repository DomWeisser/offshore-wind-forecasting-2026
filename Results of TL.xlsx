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emeru\data\Dominic\Personal\UCL\Research Project\"/>
    </mc:Choice>
  </mc:AlternateContent>
  <xr:revisionPtr revIDLastSave="0" documentId="13_ncr:1_{E4991DF5-C030-447A-A61B-DFC21AC61571}" xr6:coauthVersionLast="47" xr6:coauthVersionMax="47" xr10:uidLastSave="{00000000-0000-0000-0000-000000000000}"/>
  <bookViews>
    <workbookView xWindow="28680" yWindow="-120" windowWidth="29040" windowHeight="17640" activeTab="9" xr2:uid="{00000000-000D-0000-FFFF-FFFF00000000}"/>
  </bookViews>
  <sheets>
    <sheet name="Source Results" sheetId="10" r:id="rId1"/>
    <sheet name="Overall" sheetId="1" r:id="rId2"/>
    <sheet name="Horns Rev" sheetId="2" r:id="rId3"/>
    <sheet name="Seagreen" sheetId="3" r:id="rId4"/>
    <sheet name="Gemini" sheetId="4" r:id="rId5"/>
    <sheet name="Hollandse_Noord" sheetId="5" r:id="rId6"/>
    <sheet name="Dieppe" sheetId="6" r:id="rId7"/>
    <sheet name="Moray Firth" sheetId="7" r:id="rId8"/>
    <sheet name="Kriegers" sheetId="8" r:id="rId9"/>
    <sheet name="East Anglia One" sheetId="9" r:id="rId10"/>
  </sheets>
  <calcPr calcId="191029"/>
  <extLst>
    <ext uri="GoogleSheetsCustomDataVersion2">
      <go:sheetsCustomData xmlns:go="http://customooxmlschemas.google.com/" r:id="rId13" roundtripDataChecksum="xB2H8IZBX3rCC3jIbK81lBAguKXPhvCOOgaYmq+KYQY="/>
    </ext>
  </extLst>
</workbook>
</file>

<file path=xl/calcChain.xml><?xml version="1.0" encoding="utf-8"?>
<calcChain xmlns="http://schemas.openxmlformats.org/spreadsheetml/2006/main">
  <c r="E51" i="8" l="1"/>
  <c r="Q35" i="8"/>
  <c r="T35" i="8"/>
  <c r="F18" i="2"/>
  <c r="E17" i="10"/>
  <c r="D17" i="10"/>
  <c r="E15" i="10"/>
  <c r="D15" i="10"/>
  <c r="E14" i="10"/>
  <c r="D14" i="10"/>
  <c r="E13" i="10"/>
  <c r="D13" i="10"/>
  <c r="E12" i="10"/>
  <c r="D12" i="10"/>
  <c r="E11" i="10"/>
  <c r="D11" i="10"/>
  <c r="E10" i="10"/>
  <c r="D10" i="10"/>
  <c r="E9" i="10"/>
  <c r="D9" i="10"/>
  <c r="E8" i="10"/>
  <c r="D8" i="10"/>
  <c r="S68" i="9"/>
  <c r="O68" i="9"/>
  <c r="K68" i="9"/>
  <c r="G68" i="9"/>
  <c r="C68" i="9"/>
  <c r="T66" i="9"/>
  <c r="P66" i="9"/>
  <c r="L66" i="9"/>
  <c r="H66" i="9"/>
  <c r="D66" i="9"/>
  <c r="U64" i="9"/>
  <c r="Q64" i="9"/>
  <c r="M64" i="9"/>
  <c r="I64" i="9"/>
  <c r="E64" i="9"/>
  <c r="U63" i="9"/>
  <c r="Q63" i="9"/>
  <c r="M63" i="9"/>
  <c r="I63" i="9"/>
  <c r="E63" i="9"/>
  <c r="U62" i="9"/>
  <c r="Q62" i="9"/>
  <c r="M62" i="9"/>
  <c r="I62" i="9"/>
  <c r="E62" i="9"/>
  <c r="U61" i="9"/>
  <c r="Q61" i="9"/>
  <c r="M61" i="9"/>
  <c r="I61" i="9"/>
  <c r="E61" i="9"/>
  <c r="U60" i="9"/>
  <c r="Q60" i="9"/>
  <c r="M60" i="9"/>
  <c r="I60" i="9"/>
  <c r="E60" i="9"/>
  <c r="U59" i="9"/>
  <c r="Q59" i="9"/>
  <c r="M59" i="9"/>
  <c r="I59" i="9"/>
  <c r="E59" i="9"/>
  <c r="U58" i="9"/>
  <c r="Q58" i="9"/>
  <c r="M58" i="9"/>
  <c r="I58" i="9"/>
  <c r="E58" i="9"/>
  <c r="U57" i="9"/>
  <c r="Q57" i="9"/>
  <c r="M57" i="9"/>
  <c r="I57" i="9"/>
  <c r="E57" i="9"/>
  <c r="S52" i="9"/>
  <c r="O52" i="9"/>
  <c r="K52" i="9"/>
  <c r="G52" i="9"/>
  <c r="C52" i="9"/>
  <c r="T50" i="9"/>
  <c r="P50" i="9"/>
  <c r="L50" i="9"/>
  <c r="H50" i="9"/>
  <c r="D50" i="9"/>
  <c r="U48" i="9"/>
  <c r="Q48" i="9"/>
  <c r="M48" i="9"/>
  <c r="I48" i="9"/>
  <c r="E48" i="9"/>
  <c r="U47" i="9"/>
  <c r="Q47" i="9"/>
  <c r="M47" i="9"/>
  <c r="I47" i="9"/>
  <c r="E47" i="9"/>
  <c r="U46" i="9"/>
  <c r="Q46" i="9"/>
  <c r="M46" i="9"/>
  <c r="I46" i="9"/>
  <c r="E46" i="9"/>
  <c r="U45" i="9"/>
  <c r="Q45" i="9"/>
  <c r="M45" i="9"/>
  <c r="I45" i="9"/>
  <c r="E45" i="9"/>
  <c r="U44" i="9"/>
  <c r="Q44" i="9"/>
  <c r="M44" i="9"/>
  <c r="I44" i="9"/>
  <c r="E44" i="9"/>
  <c r="U43" i="9"/>
  <c r="U11" i="9" s="1"/>
  <c r="AP25" i="1" s="1"/>
  <c r="Q43" i="9"/>
  <c r="M43" i="9"/>
  <c r="I43" i="9"/>
  <c r="E43" i="9"/>
  <c r="U42" i="9"/>
  <c r="Q42" i="9"/>
  <c r="M42" i="9"/>
  <c r="I42" i="9"/>
  <c r="E42" i="9"/>
  <c r="U41" i="9"/>
  <c r="Q41" i="9"/>
  <c r="M41" i="9"/>
  <c r="I41" i="9"/>
  <c r="E41" i="9"/>
  <c r="S37" i="9"/>
  <c r="O37" i="9"/>
  <c r="K37" i="9"/>
  <c r="G37" i="9"/>
  <c r="C37" i="9"/>
  <c r="T35" i="9"/>
  <c r="P35" i="9"/>
  <c r="L35" i="9"/>
  <c r="H35" i="9"/>
  <c r="D35" i="9"/>
  <c r="U33" i="9"/>
  <c r="Q33" i="9"/>
  <c r="M33" i="9"/>
  <c r="I33" i="9"/>
  <c r="E33" i="9"/>
  <c r="U32" i="9"/>
  <c r="U15" i="9" s="1"/>
  <c r="Q32" i="9"/>
  <c r="M32" i="9"/>
  <c r="I32" i="9"/>
  <c r="E32" i="9"/>
  <c r="U31" i="9"/>
  <c r="Q31" i="9"/>
  <c r="M31" i="9"/>
  <c r="I31" i="9"/>
  <c r="E31" i="9"/>
  <c r="U30" i="9"/>
  <c r="Q30" i="9"/>
  <c r="M30" i="9"/>
  <c r="I30" i="9"/>
  <c r="E30" i="9"/>
  <c r="U29" i="9"/>
  <c r="Q29" i="9"/>
  <c r="M29" i="9"/>
  <c r="M12" i="9" s="1"/>
  <c r="Z26" i="1" s="1"/>
  <c r="I29" i="9"/>
  <c r="E29" i="9"/>
  <c r="U28" i="9"/>
  <c r="Q28" i="9"/>
  <c r="M28" i="9"/>
  <c r="I28" i="9"/>
  <c r="E28" i="9"/>
  <c r="E11" i="9" s="1"/>
  <c r="U27" i="9"/>
  <c r="Q27" i="9"/>
  <c r="M27" i="9"/>
  <c r="I27" i="9"/>
  <c r="E27" i="9"/>
  <c r="U26" i="9"/>
  <c r="Q26" i="9"/>
  <c r="M26" i="9"/>
  <c r="I26" i="9"/>
  <c r="E26" i="9"/>
  <c r="V18" i="9"/>
  <c r="R18" i="9"/>
  <c r="N18" i="9"/>
  <c r="J18" i="9"/>
  <c r="F18" i="9"/>
  <c r="V16" i="9"/>
  <c r="T16" i="9"/>
  <c r="S16" i="9"/>
  <c r="R16" i="9"/>
  <c r="P16" i="9"/>
  <c r="O16" i="9"/>
  <c r="N16" i="9"/>
  <c r="L16" i="9"/>
  <c r="K16" i="9"/>
  <c r="J16" i="9"/>
  <c r="H16" i="9"/>
  <c r="G16" i="9"/>
  <c r="F16" i="9"/>
  <c r="D16" i="9"/>
  <c r="C16" i="9"/>
  <c r="V15" i="9"/>
  <c r="T15" i="9"/>
  <c r="S15" i="9"/>
  <c r="R15" i="9"/>
  <c r="P15" i="9"/>
  <c r="O15" i="9"/>
  <c r="N15" i="9"/>
  <c r="L15" i="9"/>
  <c r="K15" i="9"/>
  <c r="J15" i="9"/>
  <c r="H15" i="9"/>
  <c r="G15" i="9"/>
  <c r="F15" i="9"/>
  <c r="D15" i="9"/>
  <c r="C15" i="9"/>
  <c r="V14" i="9"/>
  <c r="T14" i="9"/>
  <c r="S14" i="9"/>
  <c r="R14" i="9"/>
  <c r="P14" i="9"/>
  <c r="O14" i="9"/>
  <c r="N14" i="9"/>
  <c r="L14" i="9"/>
  <c r="K14" i="9"/>
  <c r="J14" i="9"/>
  <c r="H14" i="9"/>
  <c r="G14" i="9"/>
  <c r="F14" i="9"/>
  <c r="D14" i="9"/>
  <c r="C14" i="9"/>
  <c r="V13" i="9"/>
  <c r="T13" i="9"/>
  <c r="S13" i="9"/>
  <c r="R13" i="9"/>
  <c r="P13" i="9"/>
  <c r="O13" i="9"/>
  <c r="N13" i="9"/>
  <c r="L13" i="9"/>
  <c r="K13" i="9"/>
  <c r="J13" i="9"/>
  <c r="H13" i="9"/>
  <c r="G13" i="9"/>
  <c r="F13" i="9"/>
  <c r="D13" i="9"/>
  <c r="C13" i="9"/>
  <c r="V12" i="9"/>
  <c r="T12" i="9"/>
  <c r="S12" i="9"/>
  <c r="R12" i="9"/>
  <c r="P12" i="9"/>
  <c r="O12" i="9"/>
  <c r="N12" i="9"/>
  <c r="L12" i="9"/>
  <c r="K12" i="9"/>
  <c r="J12" i="9"/>
  <c r="H12" i="9"/>
  <c r="G12" i="9"/>
  <c r="F12" i="9"/>
  <c r="D12" i="9"/>
  <c r="C12" i="9"/>
  <c r="V11" i="9"/>
  <c r="T11" i="9"/>
  <c r="S11" i="9"/>
  <c r="R11" i="9"/>
  <c r="P11" i="9"/>
  <c r="O11" i="9"/>
  <c r="N11" i="9"/>
  <c r="L11" i="9"/>
  <c r="K11" i="9"/>
  <c r="J11" i="9"/>
  <c r="H11" i="9"/>
  <c r="G11" i="9"/>
  <c r="F11" i="9"/>
  <c r="D11" i="9"/>
  <c r="C11" i="9"/>
  <c r="V10" i="9"/>
  <c r="T10" i="9"/>
  <c r="S10" i="9"/>
  <c r="R10" i="9"/>
  <c r="P10" i="9"/>
  <c r="O10" i="9"/>
  <c r="N10" i="9"/>
  <c r="L10" i="9"/>
  <c r="K10" i="9"/>
  <c r="J10" i="9"/>
  <c r="H10" i="9"/>
  <c r="G10" i="9"/>
  <c r="F10" i="9"/>
  <c r="D10" i="9"/>
  <c r="C10" i="9"/>
  <c r="V9" i="9"/>
  <c r="T9" i="9"/>
  <c r="S9" i="9"/>
  <c r="R9" i="9"/>
  <c r="P9" i="9"/>
  <c r="O9" i="9"/>
  <c r="N9" i="9"/>
  <c r="L9" i="9"/>
  <c r="K9" i="9"/>
  <c r="J9" i="9"/>
  <c r="H9" i="9"/>
  <c r="G9" i="9"/>
  <c r="F9" i="9"/>
  <c r="D9" i="9"/>
  <c r="C9" i="9"/>
  <c r="S69" i="8"/>
  <c r="O69" i="8"/>
  <c r="K69" i="8"/>
  <c r="G69" i="8"/>
  <c r="C69" i="8"/>
  <c r="T67" i="8"/>
  <c r="P67" i="8"/>
  <c r="L67" i="8"/>
  <c r="H67" i="8"/>
  <c r="D67" i="8"/>
  <c r="U65" i="8"/>
  <c r="Q65" i="8"/>
  <c r="M65" i="8"/>
  <c r="I65" i="8"/>
  <c r="E65" i="8"/>
  <c r="U64" i="8"/>
  <c r="Q64" i="8"/>
  <c r="M64" i="8"/>
  <c r="M15" i="8" s="1"/>
  <c r="Y29" i="1" s="1"/>
  <c r="I64" i="8"/>
  <c r="E64" i="8"/>
  <c r="U63" i="8"/>
  <c r="Q63" i="8"/>
  <c r="M63" i="8"/>
  <c r="I63" i="8"/>
  <c r="E63" i="8"/>
  <c r="U62" i="8"/>
  <c r="Q62" i="8"/>
  <c r="Q13" i="8" s="1"/>
  <c r="AG27" i="1" s="1"/>
  <c r="M62" i="8"/>
  <c r="I62" i="8"/>
  <c r="I13" i="8" s="1"/>
  <c r="Q27" i="1" s="1"/>
  <c r="E62" i="8"/>
  <c r="U61" i="8"/>
  <c r="Q61" i="8"/>
  <c r="M61" i="8"/>
  <c r="I61" i="8"/>
  <c r="E61" i="8"/>
  <c r="U60" i="8"/>
  <c r="Q60" i="8"/>
  <c r="M60" i="8"/>
  <c r="M11" i="8" s="1"/>
  <c r="Y25" i="1" s="1"/>
  <c r="I60" i="8"/>
  <c r="I11" i="8" s="1"/>
  <c r="Q25" i="1" s="1"/>
  <c r="E60" i="8"/>
  <c r="U59" i="8"/>
  <c r="Q59" i="8"/>
  <c r="M59" i="8"/>
  <c r="I59" i="8"/>
  <c r="E59" i="8"/>
  <c r="U58" i="8"/>
  <c r="Q58" i="8"/>
  <c r="M58" i="8"/>
  <c r="I58" i="8"/>
  <c r="E58" i="8"/>
  <c r="S53" i="8"/>
  <c r="O53" i="8"/>
  <c r="K53" i="8"/>
  <c r="G53" i="8"/>
  <c r="C53" i="8"/>
  <c r="T51" i="8"/>
  <c r="P51" i="8"/>
  <c r="L51" i="8"/>
  <c r="H51" i="8"/>
  <c r="D51" i="8"/>
  <c r="U49" i="8"/>
  <c r="Q49" i="8"/>
  <c r="M49" i="8"/>
  <c r="M16" i="8" s="1"/>
  <c r="Y30" i="1" s="1"/>
  <c r="I49" i="8"/>
  <c r="E49" i="8"/>
  <c r="U48" i="8"/>
  <c r="Q48" i="8"/>
  <c r="M48" i="8"/>
  <c r="I48" i="8"/>
  <c r="E48" i="8"/>
  <c r="E15" i="8" s="1"/>
  <c r="I29" i="1" s="1"/>
  <c r="U47" i="8"/>
  <c r="Q47" i="8"/>
  <c r="M47" i="8"/>
  <c r="I47" i="8"/>
  <c r="E47" i="8"/>
  <c r="U46" i="8"/>
  <c r="Q46" i="8"/>
  <c r="M46" i="8"/>
  <c r="I46" i="8"/>
  <c r="E46" i="8"/>
  <c r="U45" i="8"/>
  <c r="Q45" i="8"/>
  <c r="Q12" i="8" s="1"/>
  <c r="AG26" i="1" s="1"/>
  <c r="M45" i="8"/>
  <c r="I45" i="8"/>
  <c r="E45" i="8"/>
  <c r="E12" i="8" s="1"/>
  <c r="I26" i="1" s="1"/>
  <c r="U44" i="8"/>
  <c r="U51" i="8" s="1"/>
  <c r="Q44" i="8"/>
  <c r="M44" i="8"/>
  <c r="I44" i="8"/>
  <c r="E44" i="8"/>
  <c r="U43" i="8"/>
  <c r="Q43" i="8"/>
  <c r="M43" i="8"/>
  <c r="I43" i="8"/>
  <c r="E43" i="8"/>
  <c r="U42" i="8"/>
  <c r="Q42" i="8"/>
  <c r="M42" i="8"/>
  <c r="I42" i="8"/>
  <c r="E42" i="8"/>
  <c r="S37" i="8"/>
  <c r="O37" i="8"/>
  <c r="K37" i="8"/>
  <c r="G37" i="8"/>
  <c r="C37" i="8"/>
  <c r="P35" i="8"/>
  <c r="L35" i="8"/>
  <c r="H35" i="8"/>
  <c r="D35" i="8"/>
  <c r="U33" i="8"/>
  <c r="Q33" i="8"/>
  <c r="M33" i="8"/>
  <c r="I33" i="8"/>
  <c r="I16" i="8" s="1"/>
  <c r="Q30" i="1" s="1"/>
  <c r="E33" i="8"/>
  <c r="U32" i="8"/>
  <c r="Q32" i="8"/>
  <c r="M32" i="8"/>
  <c r="I32" i="8"/>
  <c r="E32" i="8"/>
  <c r="U31" i="8"/>
  <c r="Q31" i="8"/>
  <c r="M31" i="8"/>
  <c r="I31" i="8"/>
  <c r="E31" i="8"/>
  <c r="U30" i="8"/>
  <c r="Q30" i="8"/>
  <c r="M30" i="8"/>
  <c r="I30" i="8"/>
  <c r="E30" i="8"/>
  <c r="U29" i="8"/>
  <c r="Q29" i="8"/>
  <c r="M29" i="8"/>
  <c r="I29" i="8"/>
  <c r="E29" i="8"/>
  <c r="U28" i="8"/>
  <c r="Q28" i="8"/>
  <c r="M28" i="8"/>
  <c r="I28" i="8"/>
  <c r="E28" i="8"/>
  <c r="U27" i="8"/>
  <c r="Q27" i="8"/>
  <c r="M27" i="8"/>
  <c r="I27" i="8"/>
  <c r="E27" i="8"/>
  <c r="U26" i="8"/>
  <c r="U9" i="8" s="1"/>
  <c r="AO23" i="1" s="1"/>
  <c r="Q26" i="8"/>
  <c r="M26" i="8"/>
  <c r="I26" i="8"/>
  <c r="E26" i="8"/>
  <c r="V18" i="8"/>
  <c r="R18" i="8"/>
  <c r="N18" i="8"/>
  <c r="J18" i="8"/>
  <c r="F18" i="8"/>
  <c r="V16" i="8"/>
  <c r="U16" i="8"/>
  <c r="AO30" i="1" s="1"/>
  <c r="T16" i="8"/>
  <c r="S16" i="8"/>
  <c r="R16" i="8"/>
  <c r="P16" i="8"/>
  <c r="O16" i="8"/>
  <c r="N16" i="8"/>
  <c r="L16" i="8"/>
  <c r="K16" i="8"/>
  <c r="J16" i="8"/>
  <c r="H16" i="8"/>
  <c r="G16" i="8"/>
  <c r="F16" i="8"/>
  <c r="E16" i="8"/>
  <c r="I30" i="1" s="1"/>
  <c r="D16" i="8"/>
  <c r="C16" i="8"/>
  <c r="V15" i="8"/>
  <c r="T15" i="8"/>
  <c r="S15" i="8"/>
  <c r="R15" i="8"/>
  <c r="P15" i="8"/>
  <c r="O15" i="8"/>
  <c r="N15" i="8"/>
  <c r="L15" i="8"/>
  <c r="K15" i="8"/>
  <c r="J15" i="8"/>
  <c r="H15" i="8"/>
  <c r="G15" i="8"/>
  <c r="F15" i="8"/>
  <c r="D15" i="8"/>
  <c r="C15" i="8"/>
  <c r="V14" i="8"/>
  <c r="T14" i="8"/>
  <c r="S14" i="8"/>
  <c r="R14" i="8"/>
  <c r="P14" i="8"/>
  <c r="O14" i="8"/>
  <c r="N14" i="8"/>
  <c r="L14" i="8"/>
  <c r="K14" i="8"/>
  <c r="J14" i="8"/>
  <c r="H14" i="8"/>
  <c r="G14" i="8"/>
  <c r="F14" i="8"/>
  <c r="D14" i="8"/>
  <c r="C14" i="8"/>
  <c r="V13" i="8"/>
  <c r="T13" i="8"/>
  <c r="S13" i="8"/>
  <c r="R13" i="8"/>
  <c r="P13" i="8"/>
  <c r="O13" i="8"/>
  <c r="N13" i="8"/>
  <c r="L13" i="8"/>
  <c r="K13" i="8"/>
  <c r="J13" i="8"/>
  <c r="H13" i="8"/>
  <c r="G13" i="8"/>
  <c r="F13" i="8"/>
  <c r="D13" i="8"/>
  <c r="C13" i="8"/>
  <c r="V12" i="8"/>
  <c r="T12" i="8"/>
  <c r="S12" i="8"/>
  <c r="R12" i="8"/>
  <c r="P12" i="8"/>
  <c r="O12" i="8"/>
  <c r="N12" i="8"/>
  <c r="L12" i="8"/>
  <c r="K12" i="8"/>
  <c r="J12" i="8"/>
  <c r="H12" i="8"/>
  <c r="G12" i="8"/>
  <c r="F12" i="8"/>
  <c r="D12" i="8"/>
  <c r="C12" i="8"/>
  <c r="V11" i="8"/>
  <c r="T11" i="8"/>
  <c r="S11" i="8"/>
  <c r="R11" i="8"/>
  <c r="P11" i="8"/>
  <c r="O11" i="8"/>
  <c r="N11" i="8"/>
  <c r="L11" i="8"/>
  <c r="K11" i="8"/>
  <c r="J11" i="8"/>
  <c r="H11" i="8"/>
  <c r="G11" i="8"/>
  <c r="F11" i="8"/>
  <c r="D11" i="8"/>
  <c r="C11" i="8"/>
  <c r="V10" i="8"/>
  <c r="U10" i="8"/>
  <c r="AO24" i="1" s="1"/>
  <c r="T10" i="8"/>
  <c r="S10" i="8"/>
  <c r="R10" i="8"/>
  <c r="P10" i="8"/>
  <c r="O10" i="8"/>
  <c r="N10" i="8"/>
  <c r="L10" i="8"/>
  <c r="K10" i="8"/>
  <c r="J10" i="8"/>
  <c r="H10" i="8"/>
  <c r="G10" i="8"/>
  <c r="F10" i="8"/>
  <c r="D10" i="8"/>
  <c r="C10" i="8"/>
  <c r="V9" i="8"/>
  <c r="T9" i="8"/>
  <c r="S9" i="8"/>
  <c r="R9" i="8"/>
  <c r="P9" i="8"/>
  <c r="O9" i="8"/>
  <c r="N9" i="8"/>
  <c r="L9" i="8"/>
  <c r="K9" i="8"/>
  <c r="J9" i="8"/>
  <c r="H9" i="8"/>
  <c r="G9" i="8"/>
  <c r="F9" i="8"/>
  <c r="D9" i="8"/>
  <c r="C9" i="8"/>
  <c r="S69" i="7"/>
  <c r="O69" i="7"/>
  <c r="K69" i="7"/>
  <c r="G69" i="7"/>
  <c r="C69" i="7"/>
  <c r="T67" i="7"/>
  <c r="P67" i="7"/>
  <c r="L67" i="7"/>
  <c r="H67" i="7"/>
  <c r="D67" i="7"/>
  <c r="U65" i="7"/>
  <c r="Q65" i="7"/>
  <c r="M65" i="7"/>
  <c r="I65" i="7"/>
  <c r="E65" i="7"/>
  <c r="U64" i="7"/>
  <c r="Q64" i="7"/>
  <c r="M64" i="7"/>
  <c r="I64" i="7"/>
  <c r="E64" i="7"/>
  <c r="U63" i="7"/>
  <c r="Q63" i="7"/>
  <c r="M63" i="7"/>
  <c r="I63" i="7"/>
  <c r="E63" i="7"/>
  <c r="U62" i="7"/>
  <c r="Q62" i="7"/>
  <c r="M62" i="7"/>
  <c r="I62" i="7"/>
  <c r="E62" i="7"/>
  <c r="E13" i="7" s="1"/>
  <c r="H27" i="1" s="1"/>
  <c r="U61" i="7"/>
  <c r="Q61" i="7"/>
  <c r="M61" i="7"/>
  <c r="I61" i="7"/>
  <c r="E61" i="7"/>
  <c r="U60" i="7"/>
  <c r="Q60" i="7"/>
  <c r="M60" i="7"/>
  <c r="I60" i="7"/>
  <c r="E60" i="7"/>
  <c r="U59" i="7"/>
  <c r="Q59" i="7"/>
  <c r="Q10" i="7" s="1"/>
  <c r="AF24" i="1" s="1"/>
  <c r="M59" i="7"/>
  <c r="I59" i="7"/>
  <c r="E59" i="7"/>
  <c r="U58" i="7"/>
  <c r="Q58" i="7"/>
  <c r="M58" i="7"/>
  <c r="I58" i="7"/>
  <c r="E58" i="7"/>
  <c r="S53" i="7"/>
  <c r="O53" i="7"/>
  <c r="K53" i="7"/>
  <c r="G53" i="7"/>
  <c r="C53" i="7"/>
  <c r="T51" i="7"/>
  <c r="P51" i="7"/>
  <c r="L51" i="7"/>
  <c r="H51" i="7"/>
  <c r="D51" i="7"/>
  <c r="U49" i="7"/>
  <c r="Q49" i="7"/>
  <c r="M49" i="7"/>
  <c r="I49" i="7"/>
  <c r="I16" i="7" s="1"/>
  <c r="P30" i="1" s="1"/>
  <c r="E49" i="7"/>
  <c r="U48" i="7"/>
  <c r="Q48" i="7"/>
  <c r="M48" i="7"/>
  <c r="I48" i="7"/>
  <c r="E48" i="7"/>
  <c r="U47" i="7"/>
  <c r="Q47" i="7"/>
  <c r="M47" i="7"/>
  <c r="I47" i="7"/>
  <c r="E47" i="7"/>
  <c r="U46" i="7"/>
  <c r="Q46" i="7"/>
  <c r="M46" i="7"/>
  <c r="M13" i="7" s="1"/>
  <c r="I46" i="7"/>
  <c r="E46" i="7"/>
  <c r="U45" i="7"/>
  <c r="Q45" i="7"/>
  <c r="M45" i="7"/>
  <c r="I45" i="7"/>
  <c r="E45" i="7"/>
  <c r="U44" i="7"/>
  <c r="Q44" i="7"/>
  <c r="M44" i="7"/>
  <c r="I44" i="7"/>
  <c r="E44" i="7"/>
  <c r="U43" i="7"/>
  <c r="Q43" i="7"/>
  <c r="M43" i="7"/>
  <c r="I43" i="7"/>
  <c r="E43" i="7"/>
  <c r="U42" i="7"/>
  <c r="Q42" i="7"/>
  <c r="M42" i="7"/>
  <c r="I42" i="7"/>
  <c r="E42" i="7"/>
  <c r="S37" i="7"/>
  <c r="O37" i="7"/>
  <c r="K37" i="7"/>
  <c r="G37" i="7"/>
  <c r="C37" i="7"/>
  <c r="T35" i="7"/>
  <c r="P35" i="7"/>
  <c r="L35" i="7"/>
  <c r="H35" i="7"/>
  <c r="D35" i="7"/>
  <c r="U33" i="7"/>
  <c r="U16" i="7" s="1"/>
  <c r="AN30" i="1" s="1"/>
  <c r="Q33" i="7"/>
  <c r="Q16" i="7" s="1"/>
  <c r="AF30" i="1" s="1"/>
  <c r="M33" i="7"/>
  <c r="I33" i="7"/>
  <c r="E33" i="7"/>
  <c r="U32" i="7"/>
  <c r="Q32" i="7"/>
  <c r="M32" i="7"/>
  <c r="I32" i="7"/>
  <c r="E32" i="7"/>
  <c r="E15" i="7" s="1"/>
  <c r="H29" i="1" s="1"/>
  <c r="U31" i="7"/>
  <c r="Q31" i="7"/>
  <c r="M31" i="7"/>
  <c r="M14" i="7" s="1"/>
  <c r="X28" i="1" s="1"/>
  <c r="I31" i="7"/>
  <c r="E31" i="7"/>
  <c r="U30" i="7"/>
  <c r="Q30" i="7"/>
  <c r="Q13" i="7" s="1"/>
  <c r="AF27" i="1" s="1"/>
  <c r="M30" i="7"/>
  <c r="I30" i="7"/>
  <c r="E30" i="7"/>
  <c r="U29" i="7"/>
  <c r="Q29" i="7"/>
  <c r="M29" i="7"/>
  <c r="I29" i="7"/>
  <c r="E29" i="7"/>
  <c r="E12" i="7" s="1"/>
  <c r="H26" i="1" s="1"/>
  <c r="U28" i="7"/>
  <c r="U11" i="7" s="1"/>
  <c r="AN25" i="1" s="1"/>
  <c r="Q28" i="7"/>
  <c r="M28" i="7"/>
  <c r="I28" i="7"/>
  <c r="E28" i="7"/>
  <c r="U27" i="7"/>
  <c r="Q27" i="7"/>
  <c r="M27" i="7"/>
  <c r="I27" i="7"/>
  <c r="I10" i="7" s="1"/>
  <c r="E27" i="7"/>
  <c r="E10" i="7" s="1"/>
  <c r="H24" i="1" s="1"/>
  <c r="U26" i="7"/>
  <c r="Q26" i="7"/>
  <c r="Q9" i="7" s="1"/>
  <c r="AF23" i="1" s="1"/>
  <c r="M26" i="7"/>
  <c r="I26" i="7"/>
  <c r="E26" i="7"/>
  <c r="V18" i="7"/>
  <c r="R18" i="7"/>
  <c r="N18" i="7"/>
  <c r="J18" i="7"/>
  <c r="F18" i="7"/>
  <c r="V16" i="7"/>
  <c r="T16" i="7"/>
  <c r="S16" i="7"/>
  <c r="R16" i="7"/>
  <c r="P16" i="7"/>
  <c r="O16" i="7"/>
  <c r="N16" i="7"/>
  <c r="L16" i="7"/>
  <c r="K16" i="7"/>
  <c r="J16" i="7"/>
  <c r="H16" i="7"/>
  <c r="G16" i="7"/>
  <c r="F16" i="7"/>
  <c r="D16" i="7"/>
  <c r="C16" i="7"/>
  <c r="V15" i="7"/>
  <c r="T15" i="7"/>
  <c r="S15" i="7"/>
  <c r="R15" i="7"/>
  <c r="P15" i="7"/>
  <c r="O15" i="7"/>
  <c r="N15" i="7"/>
  <c r="L15" i="7"/>
  <c r="K15" i="7"/>
  <c r="J15" i="7"/>
  <c r="H15" i="7"/>
  <c r="G15" i="7"/>
  <c r="F15" i="7"/>
  <c r="D15" i="7"/>
  <c r="C15" i="7"/>
  <c r="V14" i="7"/>
  <c r="U14" i="7"/>
  <c r="AN28" i="1" s="1"/>
  <c r="T14" i="7"/>
  <c r="S14" i="7"/>
  <c r="R14" i="7"/>
  <c r="P14" i="7"/>
  <c r="O14" i="7"/>
  <c r="N14" i="7"/>
  <c r="L14" i="7"/>
  <c r="K14" i="7"/>
  <c r="J14" i="7"/>
  <c r="I14" i="7"/>
  <c r="P28" i="1" s="1"/>
  <c r="H14" i="7"/>
  <c r="G14" i="7"/>
  <c r="F14" i="7"/>
  <c r="D14" i="7"/>
  <c r="C14" i="7"/>
  <c r="V13" i="7"/>
  <c r="T13" i="7"/>
  <c r="S13" i="7"/>
  <c r="R13" i="7"/>
  <c r="P13" i="7"/>
  <c r="O13" i="7"/>
  <c r="N13" i="7"/>
  <c r="L13" i="7"/>
  <c r="K13" i="7"/>
  <c r="J13" i="7"/>
  <c r="H13" i="7"/>
  <c r="G13" i="7"/>
  <c r="F13" i="7"/>
  <c r="D13" i="7"/>
  <c r="C13" i="7"/>
  <c r="V12" i="7"/>
  <c r="T12" i="7"/>
  <c r="S12" i="7"/>
  <c r="R12" i="7"/>
  <c r="P12" i="7"/>
  <c r="O12" i="7"/>
  <c r="N12" i="7"/>
  <c r="M12" i="7"/>
  <c r="X26" i="1" s="1"/>
  <c r="L12" i="7"/>
  <c r="K12" i="7"/>
  <c r="J12" i="7"/>
  <c r="H12" i="7"/>
  <c r="G12" i="7"/>
  <c r="F12" i="7"/>
  <c r="D12" i="7"/>
  <c r="C12" i="7"/>
  <c r="V11" i="7"/>
  <c r="T11" i="7"/>
  <c r="S11" i="7"/>
  <c r="R11" i="7"/>
  <c r="P11" i="7"/>
  <c r="O11" i="7"/>
  <c r="N11" i="7"/>
  <c r="L11" i="7"/>
  <c r="K11" i="7"/>
  <c r="J11" i="7"/>
  <c r="H11" i="7"/>
  <c r="G11" i="7"/>
  <c r="F11" i="7"/>
  <c r="D11" i="7"/>
  <c r="C11" i="7"/>
  <c r="V10" i="7"/>
  <c r="T10" i="7"/>
  <c r="S10" i="7"/>
  <c r="R10" i="7"/>
  <c r="P10" i="7"/>
  <c r="O10" i="7"/>
  <c r="N10" i="7"/>
  <c r="L10" i="7"/>
  <c r="K10" i="7"/>
  <c r="J10" i="7"/>
  <c r="H10" i="7"/>
  <c r="G10" i="7"/>
  <c r="F10" i="7"/>
  <c r="D10" i="7"/>
  <c r="C10" i="7"/>
  <c r="V9" i="7"/>
  <c r="T9" i="7"/>
  <c r="S9" i="7"/>
  <c r="R9" i="7"/>
  <c r="P9" i="7"/>
  <c r="O9" i="7"/>
  <c r="N9" i="7"/>
  <c r="L9" i="7"/>
  <c r="K9" i="7"/>
  <c r="J9" i="7"/>
  <c r="H9" i="7"/>
  <c r="G9" i="7"/>
  <c r="F9" i="7"/>
  <c r="D9" i="7"/>
  <c r="C9" i="7"/>
  <c r="S69" i="6"/>
  <c r="S70" i="6" s="1"/>
  <c r="O69" i="6"/>
  <c r="O70" i="6" s="1"/>
  <c r="K69" i="6"/>
  <c r="K70" i="6" s="1"/>
  <c r="G69" i="6"/>
  <c r="G70" i="6" s="1"/>
  <c r="C69" i="6"/>
  <c r="C70" i="6" s="1"/>
  <c r="T67" i="6"/>
  <c r="P67" i="6"/>
  <c r="L67" i="6"/>
  <c r="H67" i="6"/>
  <c r="D67" i="6"/>
  <c r="U65" i="6"/>
  <c r="Q65" i="6"/>
  <c r="M65" i="6"/>
  <c r="I65" i="6"/>
  <c r="I16" i="6" s="1"/>
  <c r="O30" i="1" s="1"/>
  <c r="E65" i="6"/>
  <c r="U64" i="6"/>
  <c r="Q64" i="6"/>
  <c r="M64" i="6"/>
  <c r="I64" i="6"/>
  <c r="E64" i="6"/>
  <c r="E15" i="6" s="1"/>
  <c r="G29" i="1" s="1"/>
  <c r="U63" i="6"/>
  <c r="Q63" i="6"/>
  <c r="M63" i="6"/>
  <c r="I63" i="6"/>
  <c r="E63" i="6"/>
  <c r="U62" i="6"/>
  <c r="Q62" i="6"/>
  <c r="M62" i="6"/>
  <c r="I62" i="6"/>
  <c r="E62" i="6"/>
  <c r="U61" i="6"/>
  <c r="Q61" i="6"/>
  <c r="M61" i="6"/>
  <c r="I61" i="6"/>
  <c r="E61" i="6"/>
  <c r="U60" i="6"/>
  <c r="U11" i="6" s="1"/>
  <c r="AM25" i="1" s="1"/>
  <c r="Q60" i="6"/>
  <c r="M60" i="6"/>
  <c r="I60" i="6"/>
  <c r="E60" i="6"/>
  <c r="U59" i="6"/>
  <c r="Q59" i="6"/>
  <c r="M59" i="6"/>
  <c r="I59" i="6"/>
  <c r="E59" i="6"/>
  <c r="U58" i="6"/>
  <c r="Q58" i="6"/>
  <c r="M58" i="6"/>
  <c r="I58" i="6"/>
  <c r="E58" i="6"/>
  <c r="S53" i="6"/>
  <c r="S54" i="6" s="1"/>
  <c r="O53" i="6"/>
  <c r="O54" i="6" s="1"/>
  <c r="K53" i="6"/>
  <c r="K54" i="6" s="1"/>
  <c r="G53" i="6"/>
  <c r="G54" i="6" s="1"/>
  <c r="C53" i="6"/>
  <c r="C54" i="6" s="1"/>
  <c r="T51" i="6"/>
  <c r="P51" i="6"/>
  <c r="L51" i="6"/>
  <c r="H51" i="6"/>
  <c r="D51" i="6"/>
  <c r="U49" i="6"/>
  <c r="Q49" i="6"/>
  <c r="M49" i="6"/>
  <c r="I49" i="6"/>
  <c r="E49" i="6"/>
  <c r="U48" i="6"/>
  <c r="Q48" i="6"/>
  <c r="M48" i="6"/>
  <c r="M15" i="6" s="1"/>
  <c r="W29" i="1" s="1"/>
  <c r="I48" i="6"/>
  <c r="E48" i="6"/>
  <c r="U47" i="6"/>
  <c r="Q47" i="6"/>
  <c r="M47" i="6"/>
  <c r="I47" i="6"/>
  <c r="E47" i="6"/>
  <c r="U46" i="6"/>
  <c r="Q46" i="6"/>
  <c r="M46" i="6"/>
  <c r="I46" i="6"/>
  <c r="E46" i="6"/>
  <c r="U45" i="6"/>
  <c r="Q45" i="6"/>
  <c r="M45" i="6"/>
  <c r="I45" i="6"/>
  <c r="E45" i="6"/>
  <c r="U44" i="6"/>
  <c r="Q44" i="6"/>
  <c r="M44" i="6"/>
  <c r="I44" i="6"/>
  <c r="E44" i="6"/>
  <c r="U43" i="6"/>
  <c r="Q43" i="6"/>
  <c r="M43" i="6"/>
  <c r="I43" i="6"/>
  <c r="E43" i="6"/>
  <c r="U42" i="6"/>
  <c r="U9" i="6" s="1"/>
  <c r="AM23" i="1" s="1"/>
  <c r="Q42" i="6"/>
  <c r="M42" i="6"/>
  <c r="M9" i="6" s="1"/>
  <c r="W23" i="1" s="1"/>
  <c r="I42" i="6"/>
  <c r="E42" i="6"/>
  <c r="S37" i="6"/>
  <c r="S38" i="6" s="1"/>
  <c r="O37" i="6"/>
  <c r="O38" i="6" s="1"/>
  <c r="K37" i="6"/>
  <c r="K38" i="6" s="1"/>
  <c r="G37" i="6"/>
  <c r="G38" i="6" s="1"/>
  <c r="C37" i="6"/>
  <c r="C38" i="6" s="1"/>
  <c r="T35" i="6"/>
  <c r="P35" i="6"/>
  <c r="L35" i="6"/>
  <c r="H35" i="6"/>
  <c r="D35" i="6"/>
  <c r="U33" i="6"/>
  <c r="Q33" i="6"/>
  <c r="M33" i="6"/>
  <c r="I33" i="6"/>
  <c r="E33" i="6"/>
  <c r="E16" i="6" s="1"/>
  <c r="G30" i="1" s="1"/>
  <c r="U32" i="6"/>
  <c r="U15" i="6" s="1"/>
  <c r="AM29" i="1" s="1"/>
  <c r="Q32" i="6"/>
  <c r="M32" i="6"/>
  <c r="I32" i="6"/>
  <c r="E32" i="6"/>
  <c r="U31" i="6"/>
  <c r="Q31" i="6"/>
  <c r="M31" i="6"/>
  <c r="I31" i="6"/>
  <c r="E31" i="6"/>
  <c r="U30" i="6"/>
  <c r="Q30" i="6"/>
  <c r="M30" i="6"/>
  <c r="I30" i="6"/>
  <c r="E30" i="6"/>
  <c r="U29" i="6"/>
  <c r="Q29" i="6"/>
  <c r="M29" i="6"/>
  <c r="M12" i="6" s="1"/>
  <c r="W26" i="1" s="1"/>
  <c r="I29" i="6"/>
  <c r="E29" i="6"/>
  <c r="U28" i="6"/>
  <c r="Q28" i="6"/>
  <c r="Q11" i="6" s="1"/>
  <c r="AE25" i="1" s="1"/>
  <c r="M28" i="6"/>
  <c r="I28" i="6"/>
  <c r="E28" i="6"/>
  <c r="U27" i="6"/>
  <c r="Q27" i="6"/>
  <c r="M27" i="6"/>
  <c r="M10" i="6" s="1"/>
  <c r="W24" i="1" s="1"/>
  <c r="I27" i="6"/>
  <c r="E27" i="6"/>
  <c r="U26" i="6"/>
  <c r="Q26" i="6"/>
  <c r="M26" i="6"/>
  <c r="I26" i="6"/>
  <c r="E26" i="6"/>
  <c r="V18" i="6"/>
  <c r="R18" i="6"/>
  <c r="N18" i="6"/>
  <c r="J18" i="6"/>
  <c r="F18" i="6"/>
  <c r="V16" i="6"/>
  <c r="T16" i="6"/>
  <c r="S16" i="6"/>
  <c r="R16" i="6"/>
  <c r="P16" i="6"/>
  <c r="O16" i="6"/>
  <c r="N16" i="6"/>
  <c r="L16" i="6"/>
  <c r="K16" i="6"/>
  <c r="J16" i="6"/>
  <c r="H16" i="6"/>
  <c r="G16" i="6"/>
  <c r="F16" i="6"/>
  <c r="D16" i="6"/>
  <c r="C16" i="6"/>
  <c r="V15" i="6"/>
  <c r="T15" i="6"/>
  <c r="S15" i="6"/>
  <c r="R15" i="6"/>
  <c r="P15" i="6"/>
  <c r="O15" i="6"/>
  <c r="N15" i="6"/>
  <c r="L15" i="6"/>
  <c r="K15" i="6"/>
  <c r="J15" i="6"/>
  <c r="H15" i="6"/>
  <c r="G15" i="6"/>
  <c r="F15" i="6"/>
  <c r="D15" i="6"/>
  <c r="C15" i="6"/>
  <c r="V14" i="6"/>
  <c r="T14" i="6"/>
  <c r="S14" i="6"/>
  <c r="R14" i="6"/>
  <c r="Q14" i="6"/>
  <c r="AE28" i="1" s="1"/>
  <c r="P14" i="6"/>
  <c r="O14" i="6"/>
  <c r="N14" i="6"/>
  <c r="L14" i="6"/>
  <c r="K14" i="6"/>
  <c r="J14" i="6"/>
  <c r="I14" i="6"/>
  <c r="O28" i="1" s="1"/>
  <c r="H14" i="6"/>
  <c r="G14" i="6"/>
  <c r="F14" i="6"/>
  <c r="D14" i="6"/>
  <c r="C14" i="6"/>
  <c r="V13" i="6"/>
  <c r="U13" i="6"/>
  <c r="AM27" i="1" s="1"/>
  <c r="T13" i="6"/>
  <c r="S13" i="6"/>
  <c r="R13" i="6"/>
  <c r="P13" i="6"/>
  <c r="O13" i="6"/>
  <c r="N13" i="6"/>
  <c r="L13" i="6"/>
  <c r="K13" i="6"/>
  <c r="J13" i="6"/>
  <c r="H13" i="6"/>
  <c r="G13" i="6"/>
  <c r="F13" i="6"/>
  <c r="D13" i="6"/>
  <c r="C13" i="6"/>
  <c r="V12" i="6"/>
  <c r="T12" i="6"/>
  <c r="S12" i="6"/>
  <c r="R12" i="6"/>
  <c r="Q12" i="6"/>
  <c r="AE26" i="1" s="1"/>
  <c r="P12" i="6"/>
  <c r="O12" i="6"/>
  <c r="N12" i="6"/>
  <c r="L12" i="6"/>
  <c r="K12" i="6"/>
  <c r="J12" i="6"/>
  <c r="H12" i="6"/>
  <c r="G12" i="6"/>
  <c r="F12" i="6"/>
  <c r="D12" i="6"/>
  <c r="C12" i="6"/>
  <c r="V11" i="6"/>
  <c r="T11" i="6"/>
  <c r="S11" i="6"/>
  <c r="R11" i="6"/>
  <c r="P11" i="6"/>
  <c r="O11" i="6"/>
  <c r="N11" i="6"/>
  <c r="L11" i="6"/>
  <c r="K11" i="6"/>
  <c r="J11" i="6"/>
  <c r="H11" i="6"/>
  <c r="G11" i="6"/>
  <c r="F11" i="6"/>
  <c r="D11" i="6"/>
  <c r="C11" i="6"/>
  <c r="V10" i="6"/>
  <c r="T10" i="6"/>
  <c r="S10" i="6"/>
  <c r="R10" i="6"/>
  <c r="P10" i="6"/>
  <c r="O10" i="6"/>
  <c r="N10" i="6"/>
  <c r="L10" i="6"/>
  <c r="K10" i="6"/>
  <c r="J10" i="6"/>
  <c r="H10" i="6"/>
  <c r="G10" i="6"/>
  <c r="F10" i="6"/>
  <c r="D10" i="6"/>
  <c r="C10" i="6"/>
  <c r="V9" i="6"/>
  <c r="T9" i="6"/>
  <c r="S9" i="6"/>
  <c r="R9" i="6"/>
  <c r="P9" i="6"/>
  <c r="O9" i="6"/>
  <c r="N9" i="6"/>
  <c r="L9" i="6"/>
  <c r="K9" i="6"/>
  <c r="J9" i="6"/>
  <c r="H9" i="6"/>
  <c r="G9" i="6"/>
  <c r="F9" i="6"/>
  <c r="D9" i="6"/>
  <c r="C9" i="6"/>
  <c r="S68" i="5"/>
  <c r="O68" i="5"/>
  <c r="K68" i="5"/>
  <c r="G68" i="5"/>
  <c r="C68" i="5"/>
  <c r="T66" i="5"/>
  <c r="P66" i="5"/>
  <c r="L66" i="5"/>
  <c r="H66" i="5"/>
  <c r="D66" i="5"/>
  <c r="U64" i="5"/>
  <c r="Q64" i="5"/>
  <c r="M64" i="5"/>
  <c r="I64" i="5"/>
  <c r="E64" i="5"/>
  <c r="U63" i="5"/>
  <c r="Q63" i="5"/>
  <c r="M63" i="5"/>
  <c r="I63" i="5"/>
  <c r="E63" i="5"/>
  <c r="U62" i="5"/>
  <c r="Q62" i="5"/>
  <c r="Q14" i="5" s="1"/>
  <c r="AD28" i="1" s="1"/>
  <c r="M62" i="5"/>
  <c r="I62" i="5"/>
  <c r="E62" i="5"/>
  <c r="U61" i="5"/>
  <c r="Q61" i="5"/>
  <c r="M61" i="5"/>
  <c r="I61" i="5"/>
  <c r="E61" i="5"/>
  <c r="U60" i="5"/>
  <c r="Q60" i="5"/>
  <c r="M60" i="5"/>
  <c r="I60" i="5"/>
  <c r="E60" i="5"/>
  <c r="U59" i="5"/>
  <c r="Q59" i="5"/>
  <c r="M59" i="5"/>
  <c r="I59" i="5"/>
  <c r="E59" i="5"/>
  <c r="U58" i="5"/>
  <c r="Q58" i="5"/>
  <c r="M58" i="5"/>
  <c r="I58" i="5"/>
  <c r="E58" i="5"/>
  <c r="U57" i="5"/>
  <c r="Q57" i="5"/>
  <c r="M57" i="5"/>
  <c r="I57" i="5"/>
  <c r="E57" i="5"/>
  <c r="S53" i="5"/>
  <c r="O53" i="5"/>
  <c r="K53" i="5"/>
  <c r="G53" i="5"/>
  <c r="C53" i="5"/>
  <c r="T51" i="5"/>
  <c r="P51" i="5"/>
  <c r="L51" i="5"/>
  <c r="H51" i="5"/>
  <c r="D51" i="5"/>
  <c r="U49" i="5"/>
  <c r="Q49" i="5"/>
  <c r="Q16" i="5" s="1"/>
  <c r="AD30" i="1" s="1"/>
  <c r="M49" i="5"/>
  <c r="I49" i="5"/>
  <c r="E49" i="5"/>
  <c r="U48" i="5"/>
  <c r="Q48" i="5"/>
  <c r="M48" i="5"/>
  <c r="I48" i="5"/>
  <c r="E48" i="5"/>
  <c r="U47" i="5"/>
  <c r="Q47" i="5"/>
  <c r="M47" i="5"/>
  <c r="M14" i="5" s="1"/>
  <c r="V28" i="1" s="1"/>
  <c r="I47" i="5"/>
  <c r="E47" i="5"/>
  <c r="U46" i="5"/>
  <c r="Q46" i="5"/>
  <c r="M46" i="5"/>
  <c r="I46" i="5"/>
  <c r="E46" i="5"/>
  <c r="U45" i="5"/>
  <c r="Q45" i="5"/>
  <c r="M45" i="5"/>
  <c r="M12" i="5" s="1"/>
  <c r="V26" i="1" s="1"/>
  <c r="I45" i="5"/>
  <c r="E45" i="5"/>
  <c r="E12" i="5" s="1"/>
  <c r="F26" i="1" s="1"/>
  <c r="U44" i="5"/>
  <c r="Q44" i="5"/>
  <c r="M44" i="5"/>
  <c r="I44" i="5"/>
  <c r="E44" i="5"/>
  <c r="U43" i="5"/>
  <c r="Q43" i="5"/>
  <c r="M43" i="5"/>
  <c r="I43" i="5"/>
  <c r="E43" i="5"/>
  <c r="U42" i="5"/>
  <c r="Q42" i="5"/>
  <c r="M42" i="5"/>
  <c r="I42" i="5"/>
  <c r="E42" i="5"/>
  <c r="S37" i="5"/>
  <c r="O37" i="5"/>
  <c r="K37" i="5"/>
  <c r="G37" i="5"/>
  <c r="C37" i="5"/>
  <c r="Y35" i="5"/>
  <c r="T35" i="5"/>
  <c r="P35" i="5"/>
  <c r="L35" i="5"/>
  <c r="H35" i="5"/>
  <c r="D35" i="5"/>
  <c r="Z33" i="5"/>
  <c r="U33" i="5"/>
  <c r="Q33" i="5"/>
  <c r="M33" i="5"/>
  <c r="I33" i="5"/>
  <c r="E33" i="5"/>
  <c r="Z32" i="5"/>
  <c r="U32" i="5"/>
  <c r="Q32" i="5"/>
  <c r="M32" i="5"/>
  <c r="I32" i="5"/>
  <c r="E32" i="5"/>
  <c r="E15" i="5" s="1"/>
  <c r="F29" i="1" s="1"/>
  <c r="Z31" i="5"/>
  <c r="U31" i="5"/>
  <c r="Q31" i="5"/>
  <c r="M31" i="5"/>
  <c r="I31" i="5"/>
  <c r="E31" i="5"/>
  <c r="Z30" i="5"/>
  <c r="U30" i="5"/>
  <c r="Q30" i="5"/>
  <c r="M30" i="5"/>
  <c r="M13" i="5" s="1"/>
  <c r="V27" i="1" s="1"/>
  <c r="I30" i="5"/>
  <c r="I13" i="5" s="1"/>
  <c r="N27" i="1" s="1"/>
  <c r="E30" i="5"/>
  <c r="E13" i="5" s="1"/>
  <c r="F27" i="1" s="1"/>
  <c r="Z29" i="5"/>
  <c r="U29" i="5"/>
  <c r="Q29" i="5"/>
  <c r="Q12" i="5" s="1"/>
  <c r="AD26" i="1" s="1"/>
  <c r="M29" i="5"/>
  <c r="I29" i="5"/>
  <c r="E29" i="5"/>
  <c r="Z28" i="5"/>
  <c r="U28" i="5"/>
  <c r="Q28" i="5"/>
  <c r="M28" i="5"/>
  <c r="I28" i="5"/>
  <c r="E28" i="5"/>
  <c r="Z27" i="5"/>
  <c r="U27" i="5"/>
  <c r="U10" i="5" s="1"/>
  <c r="AL24" i="1" s="1"/>
  <c r="Q27" i="5"/>
  <c r="M27" i="5"/>
  <c r="I27" i="5"/>
  <c r="I10" i="5" s="1"/>
  <c r="N24" i="1" s="1"/>
  <c r="E27" i="5"/>
  <c r="E10" i="5" s="1"/>
  <c r="F24" i="1" s="1"/>
  <c r="Z26" i="5"/>
  <c r="Z35" i="5" s="1"/>
  <c r="U26" i="5"/>
  <c r="U9" i="5" s="1"/>
  <c r="AL23" i="1" s="1"/>
  <c r="Q26" i="5"/>
  <c r="Q9" i="5" s="1"/>
  <c r="AD23" i="1" s="1"/>
  <c r="M26" i="5"/>
  <c r="M35" i="5" s="1"/>
  <c r="I26" i="5"/>
  <c r="E26" i="5"/>
  <c r="E35" i="5" s="1"/>
  <c r="V18" i="5"/>
  <c r="R18" i="5"/>
  <c r="N18" i="5"/>
  <c r="J18" i="5"/>
  <c r="F18" i="5"/>
  <c r="V16" i="5"/>
  <c r="T16" i="5"/>
  <c r="S16" i="5"/>
  <c r="R16" i="5"/>
  <c r="P16" i="5"/>
  <c r="O16" i="5"/>
  <c r="N16" i="5"/>
  <c r="L16" i="5"/>
  <c r="K16" i="5"/>
  <c r="J16" i="5"/>
  <c r="H16" i="5"/>
  <c r="G16" i="5"/>
  <c r="F16" i="5"/>
  <c r="D16" i="5"/>
  <c r="C16" i="5"/>
  <c r="V15" i="5"/>
  <c r="T15" i="5"/>
  <c r="S15" i="5"/>
  <c r="R15" i="5"/>
  <c r="P15" i="5"/>
  <c r="O15" i="5"/>
  <c r="N15" i="5"/>
  <c r="L15" i="5"/>
  <c r="K15" i="5"/>
  <c r="J15" i="5"/>
  <c r="H15" i="5"/>
  <c r="G15" i="5"/>
  <c r="F15" i="5"/>
  <c r="D15" i="5"/>
  <c r="C15" i="5"/>
  <c r="V14" i="5"/>
  <c r="T14" i="5"/>
  <c r="S14" i="5"/>
  <c r="R14" i="5"/>
  <c r="P14" i="5"/>
  <c r="O14" i="5"/>
  <c r="N14" i="5"/>
  <c r="L14" i="5"/>
  <c r="K14" i="5"/>
  <c r="J14" i="5"/>
  <c r="H14" i="5"/>
  <c r="G14" i="5"/>
  <c r="F14" i="5"/>
  <c r="D14" i="5"/>
  <c r="C14" i="5"/>
  <c r="V13" i="5"/>
  <c r="T13" i="5"/>
  <c r="S13" i="5"/>
  <c r="R13" i="5"/>
  <c r="P13" i="5"/>
  <c r="O13" i="5"/>
  <c r="N13" i="5"/>
  <c r="L13" i="5"/>
  <c r="K13" i="5"/>
  <c r="J13" i="5"/>
  <c r="H13" i="5"/>
  <c r="G13" i="5"/>
  <c r="F13" i="5"/>
  <c r="D13" i="5"/>
  <c r="C13" i="5"/>
  <c r="V12" i="5"/>
  <c r="T12" i="5"/>
  <c r="S12" i="5"/>
  <c r="R12" i="5"/>
  <c r="P12" i="5"/>
  <c r="O12" i="5"/>
  <c r="N12" i="5"/>
  <c r="L12" i="5"/>
  <c r="K12" i="5"/>
  <c r="J12" i="5"/>
  <c r="H12" i="5"/>
  <c r="G12" i="5"/>
  <c r="F12" i="5"/>
  <c r="D12" i="5"/>
  <c r="C12" i="5"/>
  <c r="V11" i="5"/>
  <c r="T11" i="5"/>
  <c r="S11" i="5"/>
  <c r="R11" i="5"/>
  <c r="P11" i="5"/>
  <c r="O11" i="5"/>
  <c r="N11" i="5"/>
  <c r="L11" i="5"/>
  <c r="K11" i="5"/>
  <c r="J11" i="5"/>
  <c r="H11" i="5"/>
  <c r="G11" i="5"/>
  <c r="F11" i="5"/>
  <c r="D11" i="5"/>
  <c r="C11" i="5"/>
  <c r="V10" i="5"/>
  <c r="T10" i="5"/>
  <c r="S10" i="5"/>
  <c r="R10" i="5"/>
  <c r="P10" i="5"/>
  <c r="O10" i="5"/>
  <c r="N10" i="5"/>
  <c r="L10" i="5"/>
  <c r="K10" i="5"/>
  <c r="J10" i="5"/>
  <c r="H10" i="5"/>
  <c r="G10" i="5"/>
  <c r="F10" i="5"/>
  <c r="D10" i="5"/>
  <c r="C10" i="5"/>
  <c r="V9" i="5"/>
  <c r="T9" i="5"/>
  <c r="S9" i="5"/>
  <c r="R9" i="5"/>
  <c r="P9" i="5"/>
  <c r="O9" i="5"/>
  <c r="N9" i="5"/>
  <c r="L9" i="5"/>
  <c r="K9" i="5"/>
  <c r="J9" i="5"/>
  <c r="H9" i="5"/>
  <c r="G9" i="5"/>
  <c r="F9" i="5"/>
  <c r="D9" i="5"/>
  <c r="C9" i="5"/>
  <c r="S69" i="4"/>
  <c r="O69" i="4"/>
  <c r="K69" i="4"/>
  <c r="G69" i="4"/>
  <c r="C69" i="4"/>
  <c r="T67" i="4"/>
  <c r="P67" i="4"/>
  <c r="L67" i="4"/>
  <c r="H67" i="4"/>
  <c r="D67" i="4"/>
  <c r="U65" i="4"/>
  <c r="Q65" i="4"/>
  <c r="M65" i="4"/>
  <c r="I65" i="4"/>
  <c r="E65" i="4"/>
  <c r="U64" i="4"/>
  <c r="Q64" i="4"/>
  <c r="M64" i="4"/>
  <c r="I64" i="4"/>
  <c r="E64" i="4"/>
  <c r="U63" i="4"/>
  <c r="Q63" i="4"/>
  <c r="M63" i="4"/>
  <c r="I63" i="4"/>
  <c r="E63" i="4"/>
  <c r="U62" i="4"/>
  <c r="Q62" i="4"/>
  <c r="M62" i="4"/>
  <c r="I62" i="4"/>
  <c r="E62" i="4"/>
  <c r="U61" i="4"/>
  <c r="Q61" i="4"/>
  <c r="M61" i="4"/>
  <c r="I61" i="4"/>
  <c r="E61" i="4"/>
  <c r="U60" i="4"/>
  <c r="Q60" i="4"/>
  <c r="M60" i="4"/>
  <c r="I60" i="4"/>
  <c r="E60" i="4"/>
  <c r="U59" i="4"/>
  <c r="Q59" i="4"/>
  <c r="M59" i="4"/>
  <c r="I59" i="4"/>
  <c r="E59" i="4"/>
  <c r="U58" i="4"/>
  <c r="Q58" i="4"/>
  <c r="M58" i="4"/>
  <c r="I58" i="4"/>
  <c r="E58" i="4"/>
  <c r="S53" i="4"/>
  <c r="O53" i="4"/>
  <c r="K53" i="4"/>
  <c r="G53" i="4"/>
  <c r="C53" i="4"/>
  <c r="T51" i="4"/>
  <c r="P51" i="4"/>
  <c r="L51" i="4"/>
  <c r="H51" i="4"/>
  <c r="D51" i="4"/>
  <c r="U49" i="4"/>
  <c r="Q49" i="4"/>
  <c r="M49" i="4"/>
  <c r="I49" i="4"/>
  <c r="E49" i="4"/>
  <c r="U48" i="4"/>
  <c r="Q48" i="4"/>
  <c r="M48" i="4"/>
  <c r="I48" i="4"/>
  <c r="E48" i="4"/>
  <c r="U47" i="4"/>
  <c r="Q47" i="4"/>
  <c r="M47" i="4"/>
  <c r="I47" i="4"/>
  <c r="E47" i="4"/>
  <c r="U46" i="4"/>
  <c r="Q46" i="4"/>
  <c r="M46" i="4"/>
  <c r="M13" i="4" s="1"/>
  <c r="U27" i="1" s="1"/>
  <c r="I46" i="4"/>
  <c r="E46" i="4"/>
  <c r="U45" i="4"/>
  <c r="Q45" i="4"/>
  <c r="M45" i="4"/>
  <c r="I45" i="4"/>
  <c r="E45" i="4"/>
  <c r="U44" i="4"/>
  <c r="Q44" i="4"/>
  <c r="M44" i="4"/>
  <c r="I44" i="4"/>
  <c r="E44" i="4"/>
  <c r="E11" i="4" s="1"/>
  <c r="E25" i="1" s="1"/>
  <c r="U43" i="4"/>
  <c r="Q43" i="4"/>
  <c r="M43" i="4"/>
  <c r="I43" i="4"/>
  <c r="E43" i="4"/>
  <c r="U42" i="4"/>
  <c r="Q42" i="4"/>
  <c r="M42" i="4"/>
  <c r="I42" i="4"/>
  <c r="E42" i="4"/>
  <c r="S37" i="4"/>
  <c r="O37" i="4"/>
  <c r="K37" i="4"/>
  <c r="G37" i="4"/>
  <c r="C37" i="4"/>
  <c r="T35" i="4"/>
  <c r="P35" i="4"/>
  <c r="L35" i="4"/>
  <c r="H35" i="4"/>
  <c r="D35" i="4"/>
  <c r="U33" i="4"/>
  <c r="Q33" i="4"/>
  <c r="M33" i="4"/>
  <c r="I33" i="4"/>
  <c r="E33" i="4"/>
  <c r="U32" i="4"/>
  <c r="Q32" i="4"/>
  <c r="Q15" i="4" s="1"/>
  <c r="AC29" i="1" s="1"/>
  <c r="M32" i="4"/>
  <c r="I32" i="4"/>
  <c r="E32" i="4"/>
  <c r="E15" i="4" s="1"/>
  <c r="E29" i="1" s="1"/>
  <c r="U31" i="4"/>
  <c r="Q31" i="4"/>
  <c r="M31" i="4"/>
  <c r="I31" i="4"/>
  <c r="E31" i="4"/>
  <c r="U30" i="4"/>
  <c r="Q30" i="4"/>
  <c r="M30" i="4"/>
  <c r="I30" i="4"/>
  <c r="E30" i="4"/>
  <c r="U29" i="4"/>
  <c r="U12" i="4" s="1"/>
  <c r="AK26" i="1" s="1"/>
  <c r="Q29" i="4"/>
  <c r="Q12" i="4" s="1"/>
  <c r="AC26" i="1" s="1"/>
  <c r="M29" i="4"/>
  <c r="I29" i="4"/>
  <c r="E29" i="4"/>
  <c r="U28" i="4"/>
  <c r="Q28" i="4"/>
  <c r="M28" i="4"/>
  <c r="I28" i="4"/>
  <c r="E28" i="4"/>
  <c r="U27" i="4"/>
  <c r="U10" i="4" s="1"/>
  <c r="AK24" i="1" s="1"/>
  <c r="Q27" i="4"/>
  <c r="Q10" i="4" s="1"/>
  <c r="AC24" i="1" s="1"/>
  <c r="M27" i="4"/>
  <c r="I27" i="4"/>
  <c r="I10" i="4" s="1"/>
  <c r="M24" i="1" s="1"/>
  <c r="E27" i="4"/>
  <c r="U26" i="4"/>
  <c r="Q26" i="4"/>
  <c r="M26" i="4"/>
  <c r="I26" i="4"/>
  <c r="E26" i="4"/>
  <c r="V18" i="4"/>
  <c r="R18" i="4"/>
  <c r="N18" i="4"/>
  <c r="J18" i="4"/>
  <c r="F18" i="4"/>
  <c r="V16" i="4"/>
  <c r="U16" i="4"/>
  <c r="AK30" i="1" s="1"/>
  <c r="T16" i="4"/>
  <c r="S16" i="4"/>
  <c r="R16" i="4"/>
  <c r="Q16" i="4"/>
  <c r="AC30" i="1" s="1"/>
  <c r="P16" i="4"/>
  <c r="O16" i="4"/>
  <c r="N16" i="4"/>
  <c r="L16" i="4"/>
  <c r="K16" i="4"/>
  <c r="J16" i="4"/>
  <c r="H16" i="4"/>
  <c r="G16" i="4"/>
  <c r="F16" i="4"/>
  <c r="D16" i="4"/>
  <c r="C16" i="4"/>
  <c r="V15" i="4"/>
  <c r="T15" i="4"/>
  <c r="S15" i="4"/>
  <c r="R15" i="4"/>
  <c r="P15" i="4"/>
  <c r="O15" i="4"/>
  <c r="N15" i="4"/>
  <c r="M15" i="4"/>
  <c r="U29" i="1" s="1"/>
  <c r="L15" i="4"/>
  <c r="K15" i="4"/>
  <c r="J15" i="4"/>
  <c r="H15" i="4"/>
  <c r="G15" i="4"/>
  <c r="F15" i="4"/>
  <c r="D15" i="4"/>
  <c r="C15" i="4"/>
  <c r="V14" i="4"/>
  <c r="T14" i="4"/>
  <c r="S14" i="4"/>
  <c r="R14" i="4"/>
  <c r="P14" i="4"/>
  <c r="O14" i="4"/>
  <c r="N14" i="4"/>
  <c r="L14" i="4"/>
  <c r="K14" i="4"/>
  <c r="J14" i="4"/>
  <c r="H14" i="4"/>
  <c r="G14" i="4"/>
  <c r="F14" i="4"/>
  <c r="D14" i="4"/>
  <c r="C14" i="4"/>
  <c r="V13" i="4"/>
  <c r="T13" i="4"/>
  <c r="S13" i="4"/>
  <c r="R13" i="4"/>
  <c r="P13" i="4"/>
  <c r="O13" i="4"/>
  <c r="N13" i="4"/>
  <c r="L13" i="4"/>
  <c r="K13" i="4"/>
  <c r="J13" i="4"/>
  <c r="H13" i="4"/>
  <c r="G13" i="4"/>
  <c r="F13" i="4"/>
  <c r="E13" i="4"/>
  <c r="E27" i="1" s="1"/>
  <c r="D13" i="4"/>
  <c r="C13" i="4"/>
  <c r="V12" i="4"/>
  <c r="T12" i="4"/>
  <c r="S12" i="4"/>
  <c r="R12" i="4"/>
  <c r="P12" i="4"/>
  <c r="O12" i="4"/>
  <c r="N12" i="4"/>
  <c r="L12" i="4"/>
  <c r="K12" i="4"/>
  <c r="J12" i="4"/>
  <c r="H12" i="4"/>
  <c r="G12" i="4"/>
  <c r="F12" i="4"/>
  <c r="D12" i="4"/>
  <c r="C12" i="4"/>
  <c r="V11" i="4"/>
  <c r="U11" i="4"/>
  <c r="AK25" i="1" s="1"/>
  <c r="T11" i="4"/>
  <c r="S11" i="4"/>
  <c r="R11" i="4"/>
  <c r="P11" i="4"/>
  <c r="O11" i="4"/>
  <c r="N11" i="4"/>
  <c r="M11" i="4"/>
  <c r="U25" i="1" s="1"/>
  <c r="L11" i="4"/>
  <c r="K11" i="4"/>
  <c r="J11" i="4"/>
  <c r="H11" i="4"/>
  <c r="G11" i="4"/>
  <c r="F11" i="4"/>
  <c r="D11" i="4"/>
  <c r="C11" i="4"/>
  <c r="V10" i="4"/>
  <c r="T10" i="4"/>
  <c r="S10" i="4"/>
  <c r="R10" i="4"/>
  <c r="P10" i="4"/>
  <c r="O10" i="4"/>
  <c r="N10" i="4"/>
  <c r="L10" i="4"/>
  <c r="K10" i="4"/>
  <c r="J10" i="4"/>
  <c r="H10" i="4"/>
  <c r="G10" i="4"/>
  <c r="F10" i="4"/>
  <c r="D10" i="4"/>
  <c r="C10" i="4"/>
  <c r="V9" i="4"/>
  <c r="T9" i="4"/>
  <c r="S9" i="4"/>
  <c r="R9" i="4"/>
  <c r="P9" i="4"/>
  <c r="O9" i="4"/>
  <c r="N9" i="4"/>
  <c r="L9" i="4"/>
  <c r="K9" i="4"/>
  <c r="J9" i="4"/>
  <c r="H9" i="4"/>
  <c r="G9" i="4"/>
  <c r="F9" i="4"/>
  <c r="D9" i="4"/>
  <c r="C9" i="4"/>
  <c r="S68" i="3"/>
  <c r="O68" i="3"/>
  <c r="K68" i="3"/>
  <c r="G68" i="3"/>
  <c r="C68" i="3"/>
  <c r="T66" i="3"/>
  <c r="P66" i="3"/>
  <c r="L66" i="3"/>
  <c r="H66" i="3"/>
  <c r="D66" i="3"/>
  <c r="U64" i="3"/>
  <c r="Q64" i="3"/>
  <c r="M64" i="3"/>
  <c r="I64" i="3"/>
  <c r="E64" i="3"/>
  <c r="U63" i="3"/>
  <c r="Q63" i="3"/>
  <c r="Q15" i="3" s="1"/>
  <c r="AB29" i="1" s="1"/>
  <c r="M63" i="3"/>
  <c r="I63" i="3"/>
  <c r="E63" i="3"/>
  <c r="U62" i="3"/>
  <c r="Q62" i="3"/>
  <c r="M62" i="3"/>
  <c r="M14" i="3" s="1"/>
  <c r="T28" i="1" s="1"/>
  <c r="I62" i="3"/>
  <c r="E62" i="3"/>
  <c r="U61" i="3"/>
  <c r="Q61" i="3"/>
  <c r="M61" i="3"/>
  <c r="I61" i="3"/>
  <c r="E61" i="3"/>
  <c r="E13" i="3" s="1"/>
  <c r="D27" i="1" s="1"/>
  <c r="U60" i="3"/>
  <c r="Q60" i="3"/>
  <c r="M60" i="3"/>
  <c r="I60" i="3"/>
  <c r="E60" i="3"/>
  <c r="E12" i="3" s="1"/>
  <c r="D26" i="1" s="1"/>
  <c r="U59" i="3"/>
  <c r="Q59" i="3"/>
  <c r="M59" i="3"/>
  <c r="I59" i="3"/>
  <c r="E59" i="3"/>
  <c r="U58" i="3"/>
  <c r="Q58" i="3"/>
  <c r="M58" i="3"/>
  <c r="I58" i="3"/>
  <c r="E58" i="3"/>
  <c r="U57" i="3"/>
  <c r="Q57" i="3"/>
  <c r="M57" i="3"/>
  <c r="I57" i="3"/>
  <c r="E57" i="3"/>
  <c r="S52" i="3"/>
  <c r="O52" i="3"/>
  <c r="K52" i="3"/>
  <c r="G52" i="3"/>
  <c r="C52" i="3"/>
  <c r="T50" i="3"/>
  <c r="P50" i="3"/>
  <c r="L50" i="3"/>
  <c r="H50" i="3"/>
  <c r="D50" i="3"/>
  <c r="U48" i="3"/>
  <c r="Q48" i="3"/>
  <c r="M48" i="3"/>
  <c r="I48" i="3"/>
  <c r="I16" i="3" s="1"/>
  <c r="L30" i="1" s="1"/>
  <c r="E48" i="3"/>
  <c r="U47" i="3"/>
  <c r="U15" i="3" s="1"/>
  <c r="AJ29" i="1" s="1"/>
  <c r="Q47" i="3"/>
  <c r="M47" i="3"/>
  <c r="I47" i="3"/>
  <c r="E47" i="3"/>
  <c r="U46" i="3"/>
  <c r="Q46" i="3"/>
  <c r="M46" i="3"/>
  <c r="I46" i="3"/>
  <c r="E46" i="3"/>
  <c r="U45" i="3"/>
  <c r="Q45" i="3"/>
  <c r="M45" i="3"/>
  <c r="I45" i="3"/>
  <c r="E45" i="3"/>
  <c r="U44" i="3"/>
  <c r="Q44" i="3"/>
  <c r="M44" i="3"/>
  <c r="I44" i="3"/>
  <c r="E44" i="3"/>
  <c r="U43" i="3"/>
  <c r="Q43" i="3"/>
  <c r="M43" i="3"/>
  <c r="I43" i="3"/>
  <c r="E43" i="3"/>
  <c r="U42" i="3"/>
  <c r="Q42" i="3"/>
  <c r="M42" i="3"/>
  <c r="I42" i="3"/>
  <c r="E42" i="3"/>
  <c r="U41" i="3"/>
  <c r="Q41" i="3"/>
  <c r="M41" i="3"/>
  <c r="I41" i="3"/>
  <c r="E41" i="3"/>
  <c r="S37" i="3"/>
  <c r="O37" i="3"/>
  <c r="K37" i="3"/>
  <c r="G37" i="3"/>
  <c r="C37" i="3"/>
  <c r="T35" i="3"/>
  <c r="P35" i="3"/>
  <c r="L35" i="3"/>
  <c r="H35" i="3"/>
  <c r="D35" i="3"/>
  <c r="U33" i="3"/>
  <c r="Q33" i="3"/>
  <c r="M33" i="3"/>
  <c r="I33" i="3"/>
  <c r="E33" i="3"/>
  <c r="U32" i="3"/>
  <c r="Q32" i="3"/>
  <c r="M32" i="3"/>
  <c r="I32" i="3"/>
  <c r="E32" i="3"/>
  <c r="U31" i="3"/>
  <c r="Q31" i="3"/>
  <c r="M31" i="3"/>
  <c r="I31" i="3"/>
  <c r="E31" i="3"/>
  <c r="U30" i="3"/>
  <c r="Q30" i="3"/>
  <c r="M30" i="3"/>
  <c r="I30" i="3"/>
  <c r="I13" i="3" s="1"/>
  <c r="L27" i="1" s="1"/>
  <c r="E30" i="3"/>
  <c r="U29" i="3"/>
  <c r="Q29" i="3"/>
  <c r="M29" i="3"/>
  <c r="I29" i="3"/>
  <c r="E29" i="3"/>
  <c r="U28" i="3"/>
  <c r="Q28" i="3"/>
  <c r="M28" i="3"/>
  <c r="I28" i="3"/>
  <c r="E28" i="3"/>
  <c r="U27" i="3"/>
  <c r="Q27" i="3"/>
  <c r="M27" i="3"/>
  <c r="I27" i="3"/>
  <c r="E27" i="3"/>
  <c r="U26" i="3"/>
  <c r="Q26" i="3"/>
  <c r="M26" i="3"/>
  <c r="I26" i="3"/>
  <c r="E26" i="3"/>
  <c r="E9" i="3" s="1"/>
  <c r="D23" i="1" s="1"/>
  <c r="V18" i="3"/>
  <c r="R18" i="3"/>
  <c r="N18" i="3"/>
  <c r="J18" i="3"/>
  <c r="F18" i="3"/>
  <c r="V16" i="3"/>
  <c r="T16" i="3"/>
  <c r="S16" i="3"/>
  <c r="R16" i="3"/>
  <c r="P16" i="3"/>
  <c r="O16" i="3"/>
  <c r="N16" i="3"/>
  <c r="L16" i="3"/>
  <c r="K16" i="3"/>
  <c r="J16" i="3"/>
  <c r="H16" i="3"/>
  <c r="G16" i="3"/>
  <c r="F16" i="3"/>
  <c r="D16" i="3"/>
  <c r="C16" i="3"/>
  <c r="V15" i="3"/>
  <c r="T15" i="3"/>
  <c r="S15" i="3"/>
  <c r="R15" i="3"/>
  <c r="P15" i="3"/>
  <c r="O15" i="3"/>
  <c r="N15" i="3"/>
  <c r="L15" i="3"/>
  <c r="K15" i="3"/>
  <c r="J15" i="3"/>
  <c r="H15" i="3"/>
  <c r="G15" i="3"/>
  <c r="F15" i="3"/>
  <c r="D15" i="3"/>
  <c r="C15" i="3"/>
  <c r="V14" i="3"/>
  <c r="T14" i="3"/>
  <c r="S14" i="3"/>
  <c r="R14" i="3"/>
  <c r="P14" i="3"/>
  <c r="O14" i="3"/>
  <c r="N14" i="3"/>
  <c r="L14" i="3"/>
  <c r="K14" i="3"/>
  <c r="J14" i="3"/>
  <c r="H14" i="3"/>
  <c r="G14" i="3"/>
  <c r="F14" i="3"/>
  <c r="D14" i="3"/>
  <c r="C14" i="3"/>
  <c r="V13" i="3"/>
  <c r="U13" i="3"/>
  <c r="AJ27" i="1" s="1"/>
  <c r="T13" i="3"/>
  <c r="S13" i="3"/>
  <c r="R13" i="3"/>
  <c r="P13" i="3"/>
  <c r="O13" i="3"/>
  <c r="N13" i="3"/>
  <c r="L13" i="3"/>
  <c r="K13" i="3"/>
  <c r="J13" i="3"/>
  <c r="H13" i="3"/>
  <c r="G13" i="3"/>
  <c r="F13" i="3"/>
  <c r="D13" i="3"/>
  <c r="C13" i="3"/>
  <c r="V12" i="3"/>
  <c r="T12" i="3"/>
  <c r="S12" i="3"/>
  <c r="R12" i="3"/>
  <c r="P12" i="3"/>
  <c r="O12" i="3"/>
  <c r="N12" i="3"/>
  <c r="L12" i="3"/>
  <c r="K12" i="3"/>
  <c r="J12" i="3"/>
  <c r="H12" i="3"/>
  <c r="G12" i="3"/>
  <c r="F12" i="3"/>
  <c r="D12" i="3"/>
  <c r="C12" i="3"/>
  <c r="V11" i="3"/>
  <c r="T11" i="3"/>
  <c r="S11" i="3"/>
  <c r="R11" i="3"/>
  <c r="P11" i="3"/>
  <c r="O11" i="3"/>
  <c r="N11" i="3"/>
  <c r="L11" i="3"/>
  <c r="K11" i="3"/>
  <c r="J11" i="3"/>
  <c r="H11" i="3"/>
  <c r="G11" i="3"/>
  <c r="F11" i="3"/>
  <c r="D11" i="3"/>
  <c r="C11" i="3"/>
  <c r="V10" i="3"/>
  <c r="T10" i="3"/>
  <c r="S10" i="3"/>
  <c r="R10" i="3"/>
  <c r="Q10" i="3"/>
  <c r="AB24" i="1" s="1"/>
  <c r="P10" i="3"/>
  <c r="O10" i="3"/>
  <c r="N10" i="3"/>
  <c r="L10" i="3"/>
  <c r="K10" i="3"/>
  <c r="J10" i="3"/>
  <c r="H10" i="3"/>
  <c r="G10" i="3"/>
  <c r="F10" i="3"/>
  <c r="D10" i="3"/>
  <c r="C10" i="3"/>
  <c r="V9" i="3"/>
  <c r="T9" i="3"/>
  <c r="S9" i="3"/>
  <c r="R9" i="3"/>
  <c r="P9" i="3"/>
  <c r="O9" i="3"/>
  <c r="N9" i="3"/>
  <c r="L9" i="3"/>
  <c r="K9" i="3"/>
  <c r="J9" i="3"/>
  <c r="I9" i="3"/>
  <c r="L23" i="1" s="1"/>
  <c r="H9" i="3"/>
  <c r="G9" i="3"/>
  <c r="F9" i="3"/>
  <c r="D9" i="3"/>
  <c r="C9" i="3"/>
  <c r="S69" i="2"/>
  <c r="O69" i="2"/>
  <c r="K69" i="2"/>
  <c r="G69" i="2"/>
  <c r="C69" i="2"/>
  <c r="T67" i="2"/>
  <c r="P67" i="2"/>
  <c r="L67" i="2"/>
  <c r="H67" i="2"/>
  <c r="D67" i="2"/>
  <c r="U65" i="2"/>
  <c r="Q65" i="2"/>
  <c r="M65" i="2"/>
  <c r="I65" i="2"/>
  <c r="E65" i="2"/>
  <c r="U64" i="2"/>
  <c r="Q64" i="2"/>
  <c r="M64" i="2"/>
  <c r="I64" i="2"/>
  <c r="E64" i="2"/>
  <c r="U63" i="2"/>
  <c r="Q63" i="2"/>
  <c r="M63" i="2"/>
  <c r="I63" i="2"/>
  <c r="E63" i="2"/>
  <c r="U62" i="2"/>
  <c r="Q62" i="2"/>
  <c r="M62" i="2"/>
  <c r="I62" i="2"/>
  <c r="E62" i="2"/>
  <c r="U61" i="2"/>
  <c r="Q61" i="2"/>
  <c r="M61" i="2"/>
  <c r="I61" i="2"/>
  <c r="E61" i="2"/>
  <c r="U60" i="2"/>
  <c r="Q60" i="2"/>
  <c r="M60" i="2"/>
  <c r="I60" i="2"/>
  <c r="E60" i="2"/>
  <c r="U59" i="2"/>
  <c r="Q59" i="2"/>
  <c r="M59" i="2"/>
  <c r="I59" i="2"/>
  <c r="E59" i="2"/>
  <c r="U58" i="2"/>
  <c r="U67" i="2" s="1"/>
  <c r="Q58" i="2"/>
  <c r="M58" i="2"/>
  <c r="I58" i="2"/>
  <c r="E58" i="2"/>
  <c r="S53" i="2"/>
  <c r="O53" i="2"/>
  <c r="K53" i="2"/>
  <c r="G53" i="2"/>
  <c r="C53" i="2"/>
  <c r="T51" i="2"/>
  <c r="P51" i="2"/>
  <c r="L51" i="2"/>
  <c r="H51" i="2"/>
  <c r="D51" i="2"/>
  <c r="U49" i="2"/>
  <c r="Q49" i="2"/>
  <c r="M49" i="2"/>
  <c r="I49" i="2"/>
  <c r="E49" i="2"/>
  <c r="U48" i="2"/>
  <c r="Q48" i="2"/>
  <c r="M48" i="2"/>
  <c r="I48" i="2"/>
  <c r="E48" i="2"/>
  <c r="U47" i="2"/>
  <c r="Q47" i="2"/>
  <c r="M47" i="2"/>
  <c r="I47" i="2"/>
  <c r="E47" i="2"/>
  <c r="U46" i="2"/>
  <c r="Q46" i="2"/>
  <c r="M46" i="2"/>
  <c r="I46" i="2"/>
  <c r="E46" i="2"/>
  <c r="U45" i="2"/>
  <c r="Q45" i="2"/>
  <c r="M45" i="2"/>
  <c r="I45" i="2"/>
  <c r="I12" i="2" s="1"/>
  <c r="K26" i="1" s="1"/>
  <c r="E45" i="2"/>
  <c r="U44" i="2"/>
  <c r="Q44" i="2"/>
  <c r="M44" i="2"/>
  <c r="I44" i="2"/>
  <c r="E44" i="2"/>
  <c r="U43" i="2"/>
  <c r="Q43" i="2"/>
  <c r="M43" i="2"/>
  <c r="I43" i="2"/>
  <c r="E43" i="2"/>
  <c r="U42" i="2"/>
  <c r="Q42" i="2"/>
  <c r="M42" i="2"/>
  <c r="I42" i="2"/>
  <c r="E42" i="2"/>
  <c r="E9" i="2" s="1"/>
  <c r="S37" i="2"/>
  <c r="O37" i="2"/>
  <c r="K37" i="2"/>
  <c r="G37" i="2"/>
  <c r="C37" i="2"/>
  <c r="T35" i="2"/>
  <c r="P35" i="2"/>
  <c r="L35" i="2"/>
  <c r="H35" i="2"/>
  <c r="D35" i="2"/>
  <c r="U33" i="2"/>
  <c r="Q33" i="2"/>
  <c r="M33" i="2"/>
  <c r="I33" i="2"/>
  <c r="E33" i="2"/>
  <c r="U32" i="2"/>
  <c r="Q32" i="2"/>
  <c r="Q15" i="2" s="1"/>
  <c r="AA29" i="1" s="1"/>
  <c r="M32" i="2"/>
  <c r="I32" i="2"/>
  <c r="E32" i="2"/>
  <c r="U31" i="2"/>
  <c r="Q31" i="2"/>
  <c r="M31" i="2"/>
  <c r="M14" i="2" s="1"/>
  <c r="S28" i="1" s="1"/>
  <c r="I31" i="2"/>
  <c r="E31" i="2"/>
  <c r="U30" i="2"/>
  <c r="Q30" i="2"/>
  <c r="Q13" i="2" s="1"/>
  <c r="AA27" i="1" s="1"/>
  <c r="M30" i="2"/>
  <c r="I30" i="2"/>
  <c r="I13" i="2" s="1"/>
  <c r="K27" i="1" s="1"/>
  <c r="E30" i="2"/>
  <c r="U29" i="2"/>
  <c r="Q29" i="2"/>
  <c r="M29" i="2"/>
  <c r="I29" i="2"/>
  <c r="E29" i="2"/>
  <c r="U28" i="2"/>
  <c r="Q28" i="2"/>
  <c r="M28" i="2"/>
  <c r="I28" i="2"/>
  <c r="I11" i="2" s="1"/>
  <c r="K25" i="1" s="1"/>
  <c r="E28" i="2"/>
  <c r="U27" i="2"/>
  <c r="Q27" i="2"/>
  <c r="M27" i="2"/>
  <c r="M35" i="2" s="1"/>
  <c r="I27" i="2"/>
  <c r="E27" i="2"/>
  <c r="U26" i="2"/>
  <c r="Q26" i="2"/>
  <c r="M26" i="2"/>
  <c r="I26" i="2"/>
  <c r="E26" i="2"/>
  <c r="V18" i="2"/>
  <c r="S18" i="2"/>
  <c r="R18" i="2"/>
  <c r="O18" i="2"/>
  <c r="N18" i="2"/>
  <c r="K18" i="2"/>
  <c r="J18" i="2"/>
  <c r="G18" i="2"/>
  <c r="V16" i="2"/>
  <c r="T16" i="2"/>
  <c r="S16" i="2"/>
  <c r="R16" i="2"/>
  <c r="P16" i="2"/>
  <c r="O16" i="2"/>
  <c r="N16" i="2"/>
  <c r="L16" i="2"/>
  <c r="K16" i="2"/>
  <c r="J16" i="2"/>
  <c r="H16" i="2"/>
  <c r="G16" i="2"/>
  <c r="F16" i="2"/>
  <c r="D16" i="2"/>
  <c r="C16" i="2"/>
  <c r="V15" i="2"/>
  <c r="T15" i="2"/>
  <c r="S15" i="2"/>
  <c r="R15" i="2"/>
  <c r="P15" i="2"/>
  <c r="O15" i="2"/>
  <c r="N15" i="2"/>
  <c r="L15" i="2"/>
  <c r="K15" i="2"/>
  <c r="J15" i="2"/>
  <c r="H15" i="2"/>
  <c r="G15" i="2"/>
  <c r="F15" i="2"/>
  <c r="D15" i="2"/>
  <c r="C15" i="2"/>
  <c r="V14" i="2"/>
  <c r="T14" i="2"/>
  <c r="S14" i="2"/>
  <c r="R14" i="2"/>
  <c r="P14" i="2"/>
  <c r="O14" i="2"/>
  <c r="N14" i="2"/>
  <c r="L14" i="2"/>
  <c r="K14" i="2"/>
  <c r="J14" i="2"/>
  <c r="H14" i="2"/>
  <c r="G14" i="2"/>
  <c r="F14" i="2"/>
  <c r="D14" i="2"/>
  <c r="C14" i="2"/>
  <c r="V13" i="2"/>
  <c r="T13" i="2"/>
  <c r="S13" i="2"/>
  <c r="R13" i="2"/>
  <c r="P13" i="2"/>
  <c r="O13" i="2"/>
  <c r="N13" i="2"/>
  <c r="L13" i="2"/>
  <c r="K13" i="2"/>
  <c r="J13" i="2"/>
  <c r="H13" i="2"/>
  <c r="G13" i="2"/>
  <c r="F13" i="2"/>
  <c r="D13" i="2"/>
  <c r="C13" i="2"/>
  <c r="V12" i="2"/>
  <c r="T12" i="2"/>
  <c r="S12" i="2"/>
  <c r="R12" i="2"/>
  <c r="P12" i="2"/>
  <c r="O12" i="2"/>
  <c r="N12" i="2"/>
  <c r="L12" i="2"/>
  <c r="K12" i="2"/>
  <c r="J12" i="2"/>
  <c r="H12" i="2"/>
  <c r="G12" i="2"/>
  <c r="F12" i="2"/>
  <c r="D12" i="2"/>
  <c r="C12" i="2"/>
  <c r="V11" i="2"/>
  <c r="T11" i="2"/>
  <c r="S11" i="2"/>
  <c r="R11" i="2"/>
  <c r="P11" i="2"/>
  <c r="O11" i="2"/>
  <c r="N11" i="2"/>
  <c r="M11" i="2"/>
  <c r="S25" i="1" s="1"/>
  <c r="L11" i="2"/>
  <c r="K11" i="2"/>
  <c r="J11" i="2"/>
  <c r="H11" i="2"/>
  <c r="G11" i="2"/>
  <c r="F11" i="2"/>
  <c r="D11" i="2"/>
  <c r="C11" i="2"/>
  <c r="V10" i="2"/>
  <c r="T10" i="2"/>
  <c r="S10" i="2"/>
  <c r="R10" i="2"/>
  <c r="P10" i="2"/>
  <c r="O10" i="2"/>
  <c r="N10" i="2"/>
  <c r="L10" i="2"/>
  <c r="K10" i="2"/>
  <c r="J10" i="2"/>
  <c r="H10" i="2"/>
  <c r="G10" i="2"/>
  <c r="F10" i="2"/>
  <c r="D10" i="2"/>
  <c r="C10" i="2"/>
  <c r="V9" i="2"/>
  <c r="T9" i="2"/>
  <c r="S9" i="2"/>
  <c r="R9" i="2"/>
  <c r="P9" i="2"/>
  <c r="O9" i="2"/>
  <c r="N9" i="2"/>
  <c r="L9" i="2"/>
  <c r="K9" i="2"/>
  <c r="J9" i="2"/>
  <c r="H9" i="2"/>
  <c r="G9" i="2"/>
  <c r="F9" i="2"/>
  <c r="D9" i="2"/>
  <c r="C9" i="2"/>
  <c r="AP29" i="1"/>
  <c r="X27" i="1"/>
  <c r="J25" i="1"/>
  <c r="P24" i="1"/>
  <c r="O18" i="1"/>
  <c r="L18" i="1"/>
  <c r="I18" i="1"/>
  <c r="F18" i="1"/>
  <c r="I11" i="9" l="1"/>
  <c r="R25" i="1" s="1"/>
  <c r="U14" i="9"/>
  <c r="AP28" i="1" s="1"/>
  <c r="T18" i="9"/>
  <c r="P18" i="9"/>
  <c r="I13" i="9"/>
  <c r="R27" i="1" s="1"/>
  <c r="D18" i="9"/>
  <c r="Q14" i="9"/>
  <c r="AH28" i="1" s="1"/>
  <c r="L18" i="9"/>
  <c r="I12" i="9"/>
  <c r="R26" i="1" s="1"/>
  <c r="E13" i="9"/>
  <c r="J27" i="1" s="1"/>
  <c r="Q15" i="9"/>
  <c r="AH29" i="1" s="1"/>
  <c r="I14" i="9"/>
  <c r="R28" i="1" s="1"/>
  <c r="E14" i="9"/>
  <c r="J28" i="1" s="1"/>
  <c r="M66" i="9"/>
  <c r="M15" i="9"/>
  <c r="Z29" i="1" s="1"/>
  <c r="U66" i="9"/>
  <c r="U10" i="9"/>
  <c r="AP24" i="1" s="1"/>
  <c r="U13" i="9"/>
  <c r="AP27" i="1" s="1"/>
  <c r="Q16" i="9"/>
  <c r="AH30" i="1" s="1"/>
  <c r="Q66" i="9"/>
  <c r="M16" i="9"/>
  <c r="Z30" i="1" s="1"/>
  <c r="M9" i="9"/>
  <c r="Z23" i="1" s="1"/>
  <c r="E10" i="9"/>
  <c r="J24" i="1" s="1"/>
  <c r="E16" i="9"/>
  <c r="J30" i="1" s="1"/>
  <c r="U50" i="9"/>
  <c r="U18" i="9" s="1"/>
  <c r="AP32" i="1" s="1"/>
  <c r="U16" i="9"/>
  <c r="AP30" i="1" s="1"/>
  <c r="Q13" i="9"/>
  <c r="AH27" i="1" s="1"/>
  <c r="Q9" i="9"/>
  <c r="AH23" i="1" s="1"/>
  <c r="M14" i="9"/>
  <c r="Z28" i="1" s="1"/>
  <c r="E12" i="9"/>
  <c r="J26" i="1" s="1"/>
  <c r="U35" i="9"/>
  <c r="S20" i="9"/>
  <c r="U12" i="9"/>
  <c r="AP26" i="1" s="1"/>
  <c r="Q12" i="9"/>
  <c r="AH26" i="1" s="1"/>
  <c r="Q10" i="9"/>
  <c r="AH24" i="1" s="1"/>
  <c r="M10" i="9"/>
  <c r="Z24" i="1" s="1"/>
  <c r="M11" i="9"/>
  <c r="Z25" i="1" s="1"/>
  <c r="H18" i="9"/>
  <c r="I10" i="9"/>
  <c r="R24" i="1" s="1"/>
  <c r="G20" i="9"/>
  <c r="G21" i="9" s="1"/>
  <c r="I15" i="9"/>
  <c r="R29" i="1" s="1"/>
  <c r="I16" i="9"/>
  <c r="R30" i="1" s="1"/>
  <c r="E15" i="9"/>
  <c r="J29" i="1" s="1"/>
  <c r="Q16" i="8"/>
  <c r="AG30" i="1" s="1"/>
  <c r="I67" i="8"/>
  <c r="U13" i="8"/>
  <c r="AO27" i="1" s="1"/>
  <c r="T18" i="8"/>
  <c r="Q14" i="8"/>
  <c r="AG28" i="1" s="1"/>
  <c r="M9" i="8"/>
  <c r="Y23" i="1" s="1"/>
  <c r="I14" i="8"/>
  <c r="Q28" i="1" s="1"/>
  <c r="I12" i="8"/>
  <c r="Q26" i="1" s="1"/>
  <c r="H18" i="8"/>
  <c r="D18" i="8"/>
  <c r="E14" i="8"/>
  <c r="I28" i="1" s="1"/>
  <c r="E9" i="8"/>
  <c r="I23" i="1" s="1"/>
  <c r="I10" i="8"/>
  <c r="Q24" i="1" s="1"/>
  <c r="Q11" i="8"/>
  <c r="AG25" i="1" s="1"/>
  <c r="Q15" i="8"/>
  <c r="AG29" i="1" s="1"/>
  <c r="U11" i="8"/>
  <c r="AO25" i="1" s="1"/>
  <c r="I51" i="8"/>
  <c r="M14" i="8"/>
  <c r="Y28" i="1" s="1"/>
  <c r="M51" i="8"/>
  <c r="Q9" i="8"/>
  <c r="AG23" i="1" s="1"/>
  <c r="S20" i="8"/>
  <c r="U14" i="8"/>
  <c r="AO28" i="1" s="1"/>
  <c r="O20" i="8"/>
  <c r="Q10" i="8"/>
  <c r="AG24" i="1" s="1"/>
  <c r="M12" i="8"/>
  <c r="Y26" i="1" s="1"/>
  <c r="L18" i="8"/>
  <c r="I9" i="8"/>
  <c r="Q23" i="1" s="1"/>
  <c r="E10" i="8"/>
  <c r="I24" i="1" s="1"/>
  <c r="E13" i="8"/>
  <c r="I27" i="1" s="1"/>
  <c r="M67" i="7"/>
  <c r="I15" i="7"/>
  <c r="P29" i="1" s="1"/>
  <c r="Q12" i="7"/>
  <c r="AF26" i="1" s="1"/>
  <c r="P18" i="7"/>
  <c r="L18" i="7"/>
  <c r="I13" i="7"/>
  <c r="P27" i="1" s="1"/>
  <c r="U13" i="7"/>
  <c r="AN27" i="1" s="1"/>
  <c r="M15" i="7"/>
  <c r="X29" i="1" s="1"/>
  <c r="I11" i="7"/>
  <c r="P25" i="1" s="1"/>
  <c r="U12" i="7"/>
  <c r="AN26" i="1" s="1"/>
  <c r="U10" i="7"/>
  <c r="AN24" i="1" s="1"/>
  <c r="Q67" i="7"/>
  <c r="Q15" i="7"/>
  <c r="AF29" i="1" s="1"/>
  <c r="M9" i="7"/>
  <c r="X23" i="1" s="1"/>
  <c r="M11" i="7"/>
  <c r="X25" i="1" s="1"/>
  <c r="M10" i="7"/>
  <c r="X24" i="1" s="1"/>
  <c r="I67" i="7"/>
  <c r="E67" i="7"/>
  <c r="S20" i="7"/>
  <c r="Q11" i="7"/>
  <c r="AF25" i="1" s="1"/>
  <c r="O20" i="7"/>
  <c r="M16" i="7"/>
  <c r="X30" i="1" s="1"/>
  <c r="K20" i="7"/>
  <c r="E14" i="7"/>
  <c r="H28" i="1" s="1"/>
  <c r="E16" i="7"/>
  <c r="H30" i="1" s="1"/>
  <c r="U9" i="7"/>
  <c r="AN23" i="1" s="1"/>
  <c r="T18" i="7"/>
  <c r="U15" i="7"/>
  <c r="AN29" i="1" s="1"/>
  <c r="Q14" i="7"/>
  <c r="AF28" i="1" s="1"/>
  <c r="Q35" i="7"/>
  <c r="G20" i="7"/>
  <c r="G21" i="7" s="1"/>
  <c r="I12" i="7"/>
  <c r="P26" i="1" s="1"/>
  <c r="C20" i="7"/>
  <c r="C21" i="7" s="1"/>
  <c r="D18" i="7"/>
  <c r="E11" i="7"/>
  <c r="H25" i="1" s="1"/>
  <c r="U67" i="6"/>
  <c r="Q16" i="6"/>
  <c r="AE30" i="1" s="1"/>
  <c r="Q67" i="6"/>
  <c r="M67" i="6"/>
  <c r="T18" i="6"/>
  <c r="L18" i="6"/>
  <c r="H18" i="6"/>
  <c r="E13" i="6"/>
  <c r="G27" i="1" s="1"/>
  <c r="E10" i="6"/>
  <c r="G24" i="1" s="1"/>
  <c r="D18" i="6"/>
  <c r="I12" i="6"/>
  <c r="O26" i="1" s="1"/>
  <c r="I10" i="6"/>
  <c r="O24" i="1" s="1"/>
  <c r="U12" i="6"/>
  <c r="AM26" i="1" s="1"/>
  <c r="Q10" i="6"/>
  <c r="AE24" i="1" s="1"/>
  <c r="Q15" i="6"/>
  <c r="AE29" i="1" s="1"/>
  <c r="Q13" i="6"/>
  <c r="AE27" i="1" s="1"/>
  <c r="I15" i="6"/>
  <c r="O29" i="1" s="1"/>
  <c r="I67" i="6"/>
  <c r="I13" i="6"/>
  <c r="O27" i="1" s="1"/>
  <c r="E11" i="6"/>
  <c r="G25" i="1" s="1"/>
  <c r="E9" i="6"/>
  <c r="G23" i="1" s="1"/>
  <c r="E14" i="6"/>
  <c r="G28" i="1" s="1"/>
  <c r="I11" i="6"/>
  <c r="O25" i="1" s="1"/>
  <c r="M11" i="6"/>
  <c r="W25" i="1" s="1"/>
  <c r="M16" i="6"/>
  <c r="W30" i="1" s="1"/>
  <c r="Q51" i="6"/>
  <c r="U14" i="6"/>
  <c r="AM28" i="1" s="1"/>
  <c r="U10" i="6"/>
  <c r="AM24" i="1" s="1"/>
  <c r="U51" i="6"/>
  <c r="U35" i="6"/>
  <c r="O20" i="6"/>
  <c r="P18" i="6"/>
  <c r="K20" i="6"/>
  <c r="Q13" i="5"/>
  <c r="AD27" i="1" s="1"/>
  <c r="I11" i="5"/>
  <c r="N25" i="1" s="1"/>
  <c r="I66" i="5"/>
  <c r="T18" i="5"/>
  <c r="H18" i="5"/>
  <c r="D18" i="5"/>
  <c r="Q35" i="5"/>
  <c r="I16" i="5"/>
  <c r="N30" i="1" s="1"/>
  <c r="E51" i="5"/>
  <c r="E14" i="5"/>
  <c r="F28" i="1" s="1"/>
  <c r="E16" i="5"/>
  <c r="F30" i="1" s="1"/>
  <c r="I12" i="5"/>
  <c r="N26" i="1" s="1"/>
  <c r="I51" i="5"/>
  <c r="M51" i="5"/>
  <c r="Q15" i="5"/>
  <c r="AD29" i="1" s="1"/>
  <c r="U51" i="5"/>
  <c r="U12" i="5"/>
  <c r="AL26" i="1" s="1"/>
  <c r="U14" i="5"/>
  <c r="AL28" i="1" s="1"/>
  <c r="U16" i="5"/>
  <c r="AL30" i="1" s="1"/>
  <c r="U13" i="5"/>
  <c r="AL27" i="1" s="1"/>
  <c r="Q66" i="5"/>
  <c r="M16" i="5"/>
  <c r="V30" i="1" s="1"/>
  <c r="M11" i="5"/>
  <c r="V25" i="1" s="1"/>
  <c r="I14" i="5"/>
  <c r="N28" i="1" s="1"/>
  <c r="S20" i="5"/>
  <c r="U15" i="5"/>
  <c r="AL29" i="1" s="1"/>
  <c r="O20" i="5"/>
  <c r="Q10" i="5"/>
  <c r="AD24" i="1" s="1"/>
  <c r="Q11" i="5"/>
  <c r="AD25" i="1" s="1"/>
  <c r="L18" i="5"/>
  <c r="M15" i="5"/>
  <c r="V29" i="1" s="1"/>
  <c r="K20" i="5"/>
  <c r="G20" i="5"/>
  <c r="G21" i="5" s="1"/>
  <c r="I9" i="5"/>
  <c r="N23" i="1" s="1"/>
  <c r="M67" i="4"/>
  <c r="M16" i="4"/>
  <c r="U30" i="1" s="1"/>
  <c r="I67" i="4"/>
  <c r="I9" i="4"/>
  <c r="M23" i="1" s="1"/>
  <c r="Q9" i="4"/>
  <c r="AC23" i="1" s="1"/>
  <c r="M14" i="4"/>
  <c r="U28" i="1" s="1"/>
  <c r="E12" i="4"/>
  <c r="E26" i="1" s="1"/>
  <c r="Q13" i="4"/>
  <c r="AC27" i="1" s="1"/>
  <c r="Q11" i="4"/>
  <c r="AC25" i="1" s="1"/>
  <c r="M9" i="4"/>
  <c r="U23" i="1" s="1"/>
  <c r="M10" i="4"/>
  <c r="U24" i="1" s="1"/>
  <c r="I15" i="4"/>
  <c r="M29" i="1" s="1"/>
  <c r="I14" i="4"/>
  <c r="M28" i="1" s="1"/>
  <c r="I16" i="4"/>
  <c r="M30" i="1" s="1"/>
  <c r="E67" i="4"/>
  <c r="U14" i="4"/>
  <c r="AK28" i="1" s="1"/>
  <c r="Q51" i="4"/>
  <c r="L18" i="4"/>
  <c r="I13" i="4"/>
  <c r="M27" i="1" s="1"/>
  <c r="H18" i="4"/>
  <c r="E14" i="4"/>
  <c r="E28" i="1" s="1"/>
  <c r="E10" i="4"/>
  <c r="E24" i="1" s="1"/>
  <c r="I11" i="4"/>
  <c r="M25" i="1" s="1"/>
  <c r="G20" i="4"/>
  <c r="G21" i="4" s="1"/>
  <c r="T18" i="4"/>
  <c r="S20" i="4"/>
  <c r="U15" i="4"/>
  <c r="AK29" i="1" s="1"/>
  <c r="U13" i="4"/>
  <c r="AK27" i="1" s="1"/>
  <c r="P18" i="4"/>
  <c r="K20" i="4"/>
  <c r="M35" i="4"/>
  <c r="E9" i="4"/>
  <c r="E23" i="1" s="1"/>
  <c r="E16" i="4"/>
  <c r="E30" i="1" s="1"/>
  <c r="D20" i="4"/>
  <c r="U11" i="3"/>
  <c r="AJ25" i="1" s="1"/>
  <c r="I66" i="3"/>
  <c r="E66" i="3"/>
  <c r="M15" i="3"/>
  <c r="T29" i="1" s="1"/>
  <c r="M16" i="3"/>
  <c r="T30" i="1" s="1"/>
  <c r="Q66" i="3"/>
  <c r="Q16" i="3"/>
  <c r="AB30" i="1" s="1"/>
  <c r="U12" i="3"/>
  <c r="AJ26" i="1" s="1"/>
  <c r="L18" i="3"/>
  <c r="T18" i="3"/>
  <c r="U10" i="3"/>
  <c r="AJ24" i="1" s="1"/>
  <c r="U14" i="3"/>
  <c r="AJ28" i="1" s="1"/>
  <c r="Q14" i="3"/>
  <c r="AB28" i="1" s="1"/>
  <c r="M12" i="3"/>
  <c r="T26" i="1" s="1"/>
  <c r="I15" i="3"/>
  <c r="L29" i="1" s="1"/>
  <c r="H18" i="3"/>
  <c r="E15" i="3"/>
  <c r="D29" i="1" s="1"/>
  <c r="D18" i="3"/>
  <c r="E10" i="3"/>
  <c r="D24" i="1" s="1"/>
  <c r="Q12" i="3"/>
  <c r="AB26" i="1" s="1"/>
  <c r="I10" i="3"/>
  <c r="L24" i="1" s="1"/>
  <c r="U16" i="3"/>
  <c r="AJ30" i="1" s="1"/>
  <c r="U35" i="3"/>
  <c r="P18" i="3"/>
  <c r="Q35" i="3"/>
  <c r="M10" i="3"/>
  <c r="T24" i="1" s="1"/>
  <c r="M13" i="3"/>
  <c r="T27" i="1" s="1"/>
  <c r="M11" i="3"/>
  <c r="T25" i="1" s="1"/>
  <c r="I35" i="3"/>
  <c r="I14" i="3"/>
  <c r="L28" i="1" s="1"/>
  <c r="E35" i="3"/>
  <c r="E11" i="3"/>
  <c r="D25" i="1" s="1"/>
  <c r="Q12" i="2"/>
  <c r="AA26" i="1" s="1"/>
  <c r="H18" i="2"/>
  <c r="E15" i="2"/>
  <c r="C29" i="1" s="1"/>
  <c r="C23" i="1"/>
  <c r="I10" i="2"/>
  <c r="K24" i="1" s="1"/>
  <c r="I16" i="2"/>
  <c r="K30" i="1" s="1"/>
  <c r="I67" i="2"/>
  <c r="M67" i="2"/>
  <c r="Q67" i="2"/>
  <c r="U13" i="2"/>
  <c r="AI27" i="1" s="1"/>
  <c r="U16" i="2"/>
  <c r="AI30" i="1" s="1"/>
  <c r="U15" i="2"/>
  <c r="AI29" i="1" s="1"/>
  <c r="U14" i="2"/>
  <c r="AI28" i="1" s="1"/>
  <c r="P18" i="2"/>
  <c r="Q10" i="2"/>
  <c r="AA24" i="1" s="1"/>
  <c r="M15" i="2"/>
  <c r="S29" i="1" s="1"/>
  <c r="M12" i="2"/>
  <c r="S26" i="1" s="1"/>
  <c r="U35" i="2"/>
  <c r="S20" i="2"/>
  <c r="T18" i="2"/>
  <c r="U10" i="2"/>
  <c r="AI24" i="1" s="1"/>
  <c r="O20" i="2"/>
  <c r="Q14" i="2"/>
  <c r="AA28" i="1" s="1"/>
  <c r="K20" i="2"/>
  <c r="E12" i="2"/>
  <c r="C26" i="1" s="1"/>
  <c r="D18" i="2"/>
  <c r="E10" i="2"/>
  <c r="C24" i="1" s="1"/>
  <c r="C20" i="2"/>
  <c r="C21" i="2" s="1"/>
  <c r="E13" i="2"/>
  <c r="C27" i="1" s="1"/>
  <c r="E11" i="2"/>
  <c r="C25" i="1" s="1"/>
  <c r="E16" i="2"/>
  <c r="C30" i="1" s="1"/>
  <c r="Q51" i="2"/>
  <c r="G20" i="6"/>
  <c r="G21" i="6" s="1"/>
  <c r="M13" i="2"/>
  <c r="S27" i="1" s="1"/>
  <c r="Q35" i="2"/>
  <c r="U51" i="2"/>
  <c r="U9" i="2"/>
  <c r="AI23" i="1" s="1"/>
  <c r="Q50" i="3"/>
  <c r="O20" i="4"/>
  <c r="I35" i="4"/>
  <c r="I51" i="4"/>
  <c r="E11" i="5"/>
  <c r="F25" i="1" s="1"/>
  <c r="U35" i="7"/>
  <c r="C20" i="4"/>
  <c r="C21" i="4" s="1"/>
  <c r="M51" i="4"/>
  <c r="U11" i="5"/>
  <c r="AL25" i="1" s="1"/>
  <c r="I35" i="5"/>
  <c r="I35" i="6"/>
  <c r="I9" i="6"/>
  <c r="O23" i="1" s="1"/>
  <c r="E51" i="6"/>
  <c r="U35" i="8"/>
  <c r="I35" i="8"/>
  <c r="M13" i="9"/>
  <c r="Z27" i="1" s="1"/>
  <c r="M35" i="9"/>
  <c r="U66" i="3"/>
  <c r="I35" i="2"/>
  <c r="I9" i="2"/>
  <c r="K23" i="1" s="1"/>
  <c r="Q11" i="2"/>
  <c r="AA25" i="1" s="1"/>
  <c r="E14" i="2"/>
  <c r="C28" i="1" s="1"/>
  <c r="M16" i="2"/>
  <c r="S30" i="1" s="1"/>
  <c r="E67" i="2"/>
  <c r="U9" i="4"/>
  <c r="AK23" i="1" s="1"/>
  <c r="U51" i="4"/>
  <c r="I12" i="4"/>
  <c r="M26" i="1" s="1"/>
  <c r="Q14" i="4"/>
  <c r="AC28" i="1" s="1"/>
  <c r="D18" i="4"/>
  <c r="P18" i="5"/>
  <c r="Q51" i="5"/>
  <c r="S20" i="6"/>
  <c r="Q9" i="6"/>
  <c r="AE23" i="1" s="1"/>
  <c r="E12" i="6"/>
  <c r="G26" i="1" s="1"/>
  <c r="M14" i="6"/>
  <c r="W28" i="1" s="1"/>
  <c r="U16" i="6"/>
  <c r="AM30" i="1" s="1"/>
  <c r="U51" i="7"/>
  <c r="K20" i="8"/>
  <c r="Q51" i="8"/>
  <c r="M51" i="2"/>
  <c r="M18" i="2" s="1"/>
  <c r="S32" i="1" s="1"/>
  <c r="M9" i="2"/>
  <c r="S23" i="1" s="1"/>
  <c r="U11" i="2"/>
  <c r="AI25" i="1" s="1"/>
  <c r="I14" i="2"/>
  <c r="K28" i="1" s="1"/>
  <c r="Q16" i="2"/>
  <c r="AA30" i="1" s="1"/>
  <c r="E14" i="3"/>
  <c r="D28" i="1" s="1"/>
  <c r="E50" i="3"/>
  <c r="M66" i="3"/>
  <c r="Q35" i="4"/>
  <c r="M9" i="5"/>
  <c r="V23" i="1" s="1"/>
  <c r="U35" i="5"/>
  <c r="E66" i="5"/>
  <c r="M35" i="8"/>
  <c r="E67" i="8"/>
  <c r="O20" i="9"/>
  <c r="I35" i="9"/>
  <c r="I9" i="9"/>
  <c r="R23" i="1" s="1"/>
  <c r="Q11" i="9"/>
  <c r="AH25" i="1" s="1"/>
  <c r="Q35" i="9"/>
  <c r="Q9" i="2"/>
  <c r="AA23" i="1" s="1"/>
  <c r="Q9" i="3"/>
  <c r="AB23" i="1" s="1"/>
  <c r="I50" i="3"/>
  <c r="M12" i="4"/>
  <c r="U26" i="1" s="1"/>
  <c r="Q67" i="4"/>
  <c r="P18" i="8"/>
  <c r="I9" i="7"/>
  <c r="P23" i="1" s="1"/>
  <c r="I35" i="7"/>
  <c r="I12" i="3"/>
  <c r="L26" i="1" s="1"/>
  <c r="M35" i="3"/>
  <c r="M50" i="3"/>
  <c r="M9" i="3"/>
  <c r="T23" i="1" s="1"/>
  <c r="U67" i="4"/>
  <c r="M66" i="5"/>
  <c r="M51" i="6"/>
  <c r="E35" i="7"/>
  <c r="H18" i="7"/>
  <c r="E51" i="7"/>
  <c r="U67" i="7"/>
  <c r="G20" i="8"/>
  <c r="G21" i="8" s="1"/>
  <c r="M67" i="8"/>
  <c r="E50" i="9"/>
  <c r="U35" i="4"/>
  <c r="C20" i="8"/>
  <c r="C21" i="8" s="1"/>
  <c r="E35" i="2"/>
  <c r="Q11" i="3"/>
  <c r="AB25" i="1" s="1"/>
  <c r="C20" i="5"/>
  <c r="C21" i="5" s="1"/>
  <c r="I15" i="5"/>
  <c r="N29" i="1" s="1"/>
  <c r="C20" i="6"/>
  <c r="C21" i="6" s="1"/>
  <c r="I51" i="7"/>
  <c r="E11" i="8"/>
  <c r="I25" i="1" s="1"/>
  <c r="M13" i="8"/>
  <c r="Y27" i="1" s="1"/>
  <c r="U15" i="8"/>
  <c r="AO29" i="1" s="1"/>
  <c r="M10" i="8"/>
  <c r="Y24" i="1" s="1"/>
  <c r="U12" i="8"/>
  <c r="AO26" i="1" s="1"/>
  <c r="I15" i="8"/>
  <c r="Q29" i="1" s="1"/>
  <c r="Q67" i="8"/>
  <c r="C20" i="9"/>
  <c r="C21" i="9" s="1"/>
  <c r="K20" i="9"/>
  <c r="I50" i="9"/>
  <c r="I11" i="3"/>
  <c r="L25" i="1" s="1"/>
  <c r="Q13" i="3"/>
  <c r="AB27" i="1" s="1"/>
  <c r="E16" i="3"/>
  <c r="D30" i="1" s="1"/>
  <c r="U50" i="3"/>
  <c r="M10" i="5"/>
  <c r="V24" i="1" s="1"/>
  <c r="U66" i="5"/>
  <c r="Q35" i="6"/>
  <c r="M35" i="7"/>
  <c r="M51" i="7"/>
  <c r="U67" i="8"/>
  <c r="E66" i="9"/>
  <c r="E35" i="4"/>
  <c r="M13" i="6"/>
  <c r="W27" i="1" s="1"/>
  <c r="M35" i="6"/>
  <c r="E51" i="4"/>
  <c r="Q51" i="7"/>
  <c r="G20" i="2"/>
  <c r="G21" i="2" s="1"/>
  <c r="E51" i="2"/>
  <c r="M10" i="2"/>
  <c r="S24" i="1" s="1"/>
  <c r="U12" i="2"/>
  <c r="AI26" i="1" s="1"/>
  <c r="I15" i="2"/>
  <c r="K29" i="1" s="1"/>
  <c r="L18" i="2"/>
  <c r="I51" i="2"/>
  <c r="U9" i="3"/>
  <c r="AJ23" i="1" s="1"/>
  <c r="E9" i="5"/>
  <c r="F23" i="1" s="1"/>
  <c r="I51" i="6"/>
  <c r="E67" i="6"/>
  <c r="E35" i="8"/>
  <c r="Q50" i="9"/>
  <c r="I66" i="9"/>
  <c r="E9" i="9"/>
  <c r="J23" i="1" s="1"/>
  <c r="E9" i="7"/>
  <c r="H23" i="1" s="1"/>
  <c r="U9" i="9"/>
  <c r="AP23" i="1" s="1"/>
  <c r="M50" i="9"/>
  <c r="E35" i="6"/>
  <c r="E35" i="9"/>
  <c r="Q18" i="9" l="1"/>
  <c r="AH32" i="1" s="1"/>
  <c r="U18" i="8"/>
  <c r="AO32" i="1" s="1"/>
  <c r="P18" i="1" s="1"/>
  <c r="M16" i="1"/>
  <c r="I18" i="8"/>
  <c r="Q32" i="1" s="1"/>
  <c r="E18" i="8"/>
  <c r="I32" i="1" s="1"/>
  <c r="J14" i="1"/>
  <c r="E18" i="7"/>
  <c r="H32" i="1" s="1"/>
  <c r="U18" i="7"/>
  <c r="AN32" i="1" s="1"/>
  <c r="M18" i="7"/>
  <c r="X32" i="1" s="1"/>
  <c r="I18" i="7"/>
  <c r="P32" i="1" s="1"/>
  <c r="Q18" i="7"/>
  <c r="AF32" i="1" s="1"/>
  <c r="D13" i="1"/>
  <c r="U18" i="6"/>
  <c r="AM32" i="1" s="1"/>
  <c r="Q18" i="6"/>
  <c r="AE32" i="1" s="1"/>
  <c r="M18" i="6"/>
  <c r="W32" i="1" s="1"/>
  <c r="M15" i="1"/>
  <c r="G13" i="1"/>
  <c r="M18" i="5"/>
  <c r="V32" i="1" s="1"/>
  <c r="I18" i="5"/>
  <c r="N32" i="1" s="1"/>
  <c r="E18" i="5"/>
  <c r="F32" i="1" s="1"/>
  <c r="Q18" i="5"/>
  <c r="AD32" i="1" s="1"/>
  <c r="M10" i="1"/>
  <c r="D9" i="1"/>
  <c r="J11" i="1"/>
  <c r="J16" i="1"/>
  <c r="G9" i="1"/>
  <c r="P11" i="1"/>
  <c r="M13" i="1"/>
  <c r="G16" i="1"/>
  <c r="G11" i="1"/>
  <c r="U18" i="4"/>
  <c r="AK32" i="1" s="1"/>
  <c r="I18" i="4"/>
  <c r="M32" i="1" s="1"/>
  <c r="P13" i="1"/>
  <c r="M18" i="4"/>
  <c r="U32" i="1" s="1"/>
  <c r="G12" i="1"/>
  <c r="P10" i="1"/>
  <c r="J15" i="1"/>
  <c r="D11" i="1"/>
  <c r="P14" i="1"/>
  <c r="M12" i="1"/>
  <c r="G10" i="1"/>
  <c r="D15" i="1"/>
  <c r="D10" i="1"/>
  <c r="G15" i="1"/>
  <c r="U18" i="3"/>
  <c r="AJ32" i="1" s="1"/>
  <c r="M9" i="1"/>
  <c r="Q18" i="3"/>
  <c r="AB32" i="1" s="1"/>
  <c r="G14" i="1"/>
  <c r="I18" i="3"/>
  <c r="L32" i="1" s="1"/>
  <c r="E18" i="3"/>
  <c r="D32" i="1" s="1"/>
  <c r="J10" i="1"/>
  <c r="U18" i="2"/>
  <c r="AI32" i="1" s="1"/>
  <c r="P16" i="1"/>
  <c r="J12" i="1"/>
  <c r="P15" i="1"/>
  <c r="D12" i="1"/>
  <c r="M14" i="1"/>
  <c r="D16" i="1"/>
  <c r="M18" i="3"/>
  <c r="T32" i="1" s="1"/>
  <c r="D14" i="1"/>
  <c r="M11" i="1"/>
  <c r="I18" i="6"/>
  <c r="O32" i="1" s="1"/>
  <c r="I18" i="2"/>
  <c r="K32" i="1" s="1"/>
  <c r="E18" i="9"/>
  <c r="J32" i="1" s="1"/>
  <c r="E18" i="4"/>
  <c r="E32" i="1" s="1"/>
  <c r="M18" i="8"/>
  <c r="Y32" i="1" s="1"/>
  <c r="J9" i="1"/>
  <c r="P9" i="1"/>
  <c r="U18" i="5"/>
  <c r="AL32" i="1" s="1"/>
  <c r="M18" i="9"/>
  <c r="Z32" i="1" s="1"/>
  <c r="Q18" i="2"/>
  <c r="AA32" i="1" s="1"/>
  <c r="I18" i="9"/>
  <c r="R32" i="1" s="1"/>
  <c r="E18" i="6"/>
  <c r="G32" i="1" s="1"/>
  <c r="E18" i="2"/>
  <c r="C32" i="1" s="1"/>
  <c r="J13" i="1"/>
  <c r="P12" i="1"/>
  <c r="Q18" i="4"/>
  <c r="AC32" i="1" s="1"/>
  <c r="Q18" i="8"/>
  <c r="AG32" i="1" s="1"/>
  <c r="J18" i="1" l="1"/>
  <c r="G18" i="1"/>
  <c r="M18" i="1"/>
  <c r="D18" i="1"/>
</calcChain>
</file>

<file path=xl/sharedStrings.xml><?xml version="1.0" encoding="utf-8"?>
<sst xmlns="http://schemas.openxmlformats.org/spreadsheetml/2006/main" count="836" uniqueCount="31">
  <si>
    <t>Clusters</t>
  </si>
  <si>
    <t>MAE</t>
  </si>
  <si>
    <t>As Capacity</t>
  </si>
  <si>
    <t>R-Squared</t>
  </si>
  <si>
    <t>Average</t>
  </si>
  <si>
    <t>Horns</t>
  </si>
  <si>
    <t>Seagreen</t>
  </si>
  <si>
    <t>Gemini</t>
  </si>
  <si>
    <t>Hollandse</t>
  </si>
  <si>
    <t>Dieppe</t>
  </si>
  <si>
    <t>Moray</t>
  </si>
  <si>
    <t>Kriegers</t>
  </si>
  <si>
    <t>East.Anglia</t>
  </si>
  <si>
    <t>Overall</t>
  </si>
  <si>
    <t>hours</t>
  </si>
  <si>
    <t>removed</t>
  </si>
  <si>
    <t>Horns Rev</t>
  </si>
  <si>
    <t>Test Points</t>
  </si>
  <si>
    <t>Seed - 42</t>
  </si>
  <si>
    <t>Seed - 63</t>
  </si>
  <si>
    <t>Seed - 84</t>
  </si>
  <si>
    <t>Hollandse Noord</t>
  </si>
  <si>
    <t>East Anglia One</t>
  </si>
  <si>
    <t>Cluster</t>
  </si>
  <si>
    <t>Test Samples</t>
  </si>
  <si>
    <t>GP</t>
  </si>
  <si>
    <t>RF</t>
  </si>
  <si>
    <t>Seed 42</t>
  </si>
  <si>
    <t>Seed 63</t>
  </si>
  <si>
    <t>Seed 84</t>
  </si>
  <si>
    <t>Moray Firth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</si>
</sst>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7" formatCode="0.000"/>
  </numFmts>
  <fonts count="4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7">
    <xf numFmtId="0" fontId="0" fillId="0" borderId="0" xfId="0"/>
    <xf numFmtId="9" fontId="1" fillId="0" borderId="0" xfId="0" applyNumberFormat="1" applyFont="1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0" xfId="0" applyFont="1"/>
    <xf numFmtId="164" fontId="1" fillId="0" borderId="4" xfId="0" applyNumberFormat="1" applyFont="1" applyBorder="1"/>
    <xf numFmtId="164" fontId="1" fillId="0" borderId="0" xfId="0" applyNumberFormat="1" applyFont="1"/>
    <xf numFmtId="0" fontId="1" fillId="0" borderId="4" xfId="0" applyFont="1" applyBorder="1"/>
    <xf numFmtId="0" fontId="1" fillId="0" borderId="5" xfId="0" applyFont="1" applyBorder="1"/>
    <xf numFmtId="10" fontId="1" fillId="0" borderId="4" xfId="0" applyNumberFormat="1" applyFont="1" applyBorder="1"/>
    <xf numFmtId="10" fontId="1" fillId="0" borderId="0" xfId="0" applyNumberFormat="1" applyFont="1"/>
    <xf numFmtId="2" fontId="1" fillId="0" borderId="4" xfId="0" applyNumberFormat="1" applyFont="1" applyBorder="1"/>
    <xf numFmtId="2" fontId="1" fillId="0" borderId="5" xfId="0" applyNumberFormat="1" applyFont="1" applyBorder="1"/>
    <xf numFmtId="2" fontId="1" fillId="0" borderId="0" xfId="0" applyNumberFormat="1" applyFont="1"/>
    <xf numFmtId="164" fontId="1" fillId="0" borderId="5" xfId="0" applyNumberFormat="1" applyFont="1" applyBorder="1"/>
    <xf numFmtId="10" fontId="1" fillId="0" borderId="5" xfId="0" applyNumberFormat="1" applyFont="1" applyBorder="1"/>
    <xf numFmtId="0" fontId="1" fillId="0" borderId="0" xfId="0" applyFont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164" fontId="1" fillId="0" borderId="7" xfId="0" applyNumberFormat="1" applyFont="1" applyBorder="1"/>
    <xf numFmtId="2" fontId="1" fillId="0" borderId="7" xfId="0" applyNumberFormat="1" applyFont="1" applyBorder="1"/>
    <xf numFmtId="10" fontId="1" fillId="0" borderId="7" xfId="0" applyNumberFormat="1" applyFont="1" applyBorder="1"/>
    <xf numFmtId="1" fontId="1" fillId="0" borderId="7" xfId="0" applyNumberFormat="1" applyFont="1" applyBorder="1"/>
    <xf numFmtId="165" fontId="1" fillId="0" borderId="7" xfId="0" applyNumberFormat="1" applyFont="1" applyBorder="1"/>
    <xf numFmtId="1" fontId="1" fillId="0" borderId="4" xfId="0" applyNumberFormat="1" applyFont="1" applyBorder="1"/>
    <xf numFmtId="165" fontId="1" fillId="0" borderId="0" xfId="0" applyNumberFormat="1" applyFont="1"/>
    <xf numFmtId="1" fontId="2" fillId="0" borderId="0" xfId="0" applyNumberFormat="1" applyFont="1"/>
    <xf numFmtId="9" fontId="1" fillId="0" borderId="4" xfId="0" applyNumberFormat="1" applyFont="1" applyBorder="1" applyAlignment="1">
      <alignment horizontal="center"/>
    </xf>
    <xf numFmtId="0" fontId="0" fillId="0" borderId="0" xfId="0"/>
    <xf numFmtId="0" fontId="3" fillId="0" borderId="5" xfId="0" applyFont="1" applyBorder="1"/>
    <xf numFmtId="9" fontId="1" fillId="0" borderId="0" xfId="0" applyNumberFormat="1" applyFont="1" applyAlignment="1">
      <alignment horizontal="center"/>
    </xf>
    <xf numFmtId="0" fontId="0" fillId="0" borderId="0" xfId="0" applyAlignment="1"/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165" fontId="0" fillId="0" borderId="0" xfId="0" applyNumberFormat="1"/>
    <xf numFmtId="2" fontId="0" fillId="0" borderId="0" xfId="0" applyNumberFormat="1"/>
    <xf numFmtId="167" fontId="1" fillId="0" borderId="7" xfId="0" applyNumberFormat="1" applyFont="1" applyBorder="1"/>
    <xf numFmtId="0" fontId="1" fillId="0" borderId="9" xfId="0" applyFont="1" applyFill="1" applyBorder="1"/>
    <xf numFmtId="10" fontId="0" fillId="0" borderId="0" xfId="1" applyNumberFormat="1" applyFont="1"/>
    <xf numFmtId="10" fontId="1" fillId="2" borderId="7" xfId="0" applyNumberFormat="1" applyFont="1" applyFill="1" applyBorder="1"/>
    <xf numFmtId="0" fontId="1" fillId="3" borderId="8" xfId="0" applyFont="1" applyFill="1" applyBorder="1"/>
    <xf numFmtId="164" fontId="1" fillId="3" borderId="9" xfId="0" applyNumberFormat="1" applyFont="1" applyFill="1" applyBorder="1"/>
    <xf numFmtId="2" fontId="1" fillId="4" borderId="7" xfId="0" applyNumberFormat="1" applyFont="1" applyFill="1" applyBorder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1B934-8F49-4044-939F-45A13C695BF9}">
  <dimension ref="B5:N17"/>
  <sheetViews>
    <sheetView workbookViewId="0">
      <selection activeCell="R26" sqref="R26"/>
    </sheetView>
  </sheetViews>
  <sheetFormatPr baseColWidth="10" defaultRowHeight="15"/>
  <cols>
    <col min="3" max="3" width="12.28515625" customWidth="1"/>
    <col min="6" max="6" width="13.85546875" customWidth="1"/>
    <col min="9" max="9" width="14.140625" customWidth="1"/>
    <col min="12" max="12" width="14" customWidth="1"/>
  </cols>
  <sheetData>
    <row r="5" spans="2:14">
      <c r="C5" s="33"/>
      <c r="D5" s="33"/>
      <c r="E5" s="33"/>
      <c r="F5" s="34" t="s">
        <v>27</v>
      </c>
      <c r="G5" s="34"/>
      <c r="H5" s="34"/>
      <c r="I5" s="34" t="s">
        <v>28</v>
      </c>
      <c r="J5" s="34"/>
      <c r="K5" s="34"/>
      <c r="L5" s="34" t="s">
        <v>29</v>
      </c>
      <c r="M5" s="34"/>
      <c r="N5" s="34"/>
    </row>
    <row r="6" spans="2:14"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</row>
    <row r="7" spans="2:14">
      <c r="B7" s="37" t="s">
        <v>23</v>
      </c>
      <c r="C7" s="36" t="s">
        <v>24</v>
      </c>
      <c r="D7" s="36" t="s">
        <v>25</v>
      </c>
      <c r="E7" s="37" t="s">
        <v>26</v>
      </c>
      <c r="F7" s="36" t="s">
        <v>24</v>
      </c>
      <c r="G7" s="36" t="s">
        <v>25</v>
      </c>
      <c r="H7" s="37" t="s">
        <v>26</v>
      </c>
      <c r="I7" s="36" t="s">
        <v>24</v>
      </c>
      <c r="J7" s="36" t="s">
        <v>25</v>
      </c>
      <c r="K7" s="37" t="s">
        <v>26</v>
      </c>
      <c r="L7" s="36" t="s">
        <v>24</v>
      </c>
      <c r="M7" s="36" t="s">
        <v>25</v>
      </c>
      <c r="N7" s="37" t="s">
        <v>26</v>
      </c>
    </row>
    <row r="8" spans="2:14">
      <c r="B8" s="35">
        <v>0</v>
      </c>
      <c r="D8" s="38">
        <f>AVERAGE(G8,J8,M8)</f>
        <v>3.3699999999999997</v>
      </c>
      <c r="E8" s="38">
        <f t="shared" ref="E8:E17" si="0">AVERAGE(H8,K8,N8)</f>
        <v>4.0133333333333328</v>
      </c>
      <c r="F8">
        <v>2295</v>
      </c>
      <c r="G8">
        <v>3.4</v>
      </c>
      <c r="H8" s="35">
        <v>4.0599999999999996</v>
      </c>
      <c r="I8">
        <v>2215</v>
      </c>
      <c r="J8">
        <v>3.76</v>
      </c>
      <c r="K8" s="35">
        <v>4.5599999999999996</v>
      </c>
      <c r="L8">
        <v>2205</v>
      </c>
      <c r="M8">
        <v>2.95</v>
      </c>
      <c r="N8" s="35">
        <v>3.42</v>
      </c>
    </row>
    <row r="9" spans="2:14">
      <c r="B9" s="35">
        <v>1</v>
      </c>
      <c r="D9" s="38">
        <f t="shared" ref="D9:D17" si="1">AVERAGE(G9,J9,M9)</f>
        <v>3.2866666666666666</v>
      </c>
      <c r="E9" s="38">
        <f t="shared" si="0"/>
        <v>3.7099999999999995</v>
      </c>
      <c r="F9">
        <v>2915</v>
      </c>
      <c r="G9">
        <v>3.09</v>
      </c>
      <c r="H9" s="35">
        <v>3.25</v>
      </c>
      <c r="I9">
        <v>2115</v>
      </c>
      <c r="J9">
        <v>3.17</v>
      </c>
      <c r="K9" s="35">
        <v>3.59</v>
      </c>
      <c r="L9">
        <v>2245</v>
      </c>
      <c r="M9">
        <v>3.6</v>
      </c>
      <c r="N9" s="35">
        <v>4.29</v>
      </c>
    </row>
    <row r="10" spans="2:14">
      <c r="B10" s="35">
        <v>2</v>
      </c>
      <c r="D10" s="38">
        <f t="shared" si="1"/>
        <v>3.7133333333333334</v>
      </c>
      <c r="E10" s="38">
        <f t="shared" si="0"/>
        <v>4.2</v>
      </c>
      <c r="F10">
        <v>1570</v>
      </c>
      <c r="G10">
        <v>3.3</v>
      </c>
      <c r="H10" s="35">
        <v>3.77</v>
      </c>
      <c r="I10">
        <v>2065</v>
      </c>
      <c r="J10">
        <v>3.53</v>
      </c>
      <c r="K10" s="35">
        <v>4.09</v>
      </c>
      <c r="L10">
        <v>2450</v>
      </c>
      <c r="M10">
        <v>4.3099999999999996</v>
      </c>
      <c r="N10" s="35">
        <v>4.74</v>
      </c>
    </row>
    <row r="11" spans="2:14">
      <c r="B11" s="35">
        <v>3</v>
      </c>
      <c r="D11" s="38">
        <f t="shared" si="1"/>
        <v>3.6966666666666668</v>
      </c>
      <c r="E11" s="38">
        <f t="shared" si="0"/>
        <v>4.25</v>
      </c>
      <c r="F11">
        <v>2460</v>
      </c>
      <c r="G11">
        <v>3.83</v>
      </c>
      <c r="H11" s="35">
        <v>4.5199999999999996</v>
      </c>
      <c r="I11">
        <v>2040</v>
      </c>
      <c r="J11">
        <v>4.04</v>
      </c>
      <c r="K11" s="35">
        <v>4.6900000000000004</v>
      </c>
      <c r="L11">
        <v>2445</v>
      </c>
      <c r="M11">
        <v>3.22</v>
      </c>
      <c r="N11" s="35">
        <v>3.54</v>
      </c>
    </row>
    <row r="12" spans="2:14">
      <c r="B12" s="35">
        <v>4</v>
      </c>
      <c r="D12" s="38">
        <f t="shared" si="1"/>
        <v>3.3866666666666667</v>
      </c>
      <c r="E12" s="38">
        <f t="shared" si="0"/>
        <v>3.8733333333333335</v>
      </c>
      <c r="F12">
        <v>3080</v>
      </c>
      <c r="G12">
        <v>3.26</v>
      </c>
      <c r="H12" s="35">
        <v>3.75</v>
      </c>
      <c r="I12">
        <v>3385</v>
      </c>
      <c r="J12">
        <v>3.27</v>
      </c>
      <c r="K12" s="35">
        <v>3.58</v>
      </c>
      <c r="L12">
        <v>2060</v>
      </c>
      <c r="M12">
        <v>3.63</v>
      </c>
      <c r="N12" s="35">
        <v>4.29</v>
      </c>
    </row>
    <row r="13" spans="2:14">
      <c r="B13" s="35">
        <v>5</v>
      </c>
      <c r="D13" s="38">
        <f t="shared" si="1"/>
        <v>3.9533333333333331</v>
      </c>
      <c r="E13" s="38">
        <f t="shared" si="0"/>
        <v>4.5566666666666666</v>
      </c>
      <c r="F13">
        <v>1495</v>
      </c>
      <c r="G13">
        <v>3.94</v>
      </c>
      <c r="H13" s="35">
        <v>4.26</v>
      </c>
      <c r="I13">
        <v>1395</v>
      </c>
      <c r="J13">
        <v>3.67</v>
      </c>
      <c r="K13" s="35">
        <v>4.59</v>
      </c>
      <c r="L13">
        <v>1975</v>
      </c>
      <c r="M13">
        <v>4.25</v>
      </c>
      <c r="N13" s="35">
        <v>4.82</v>
      </c>
    </row>
    <row r="14" spans="2:14">
      <c r="B14" s="35">
        <v>6</v>
      </c>
      <c r="D14" s="38">
        <f t="shared" si="1"/>
        <v>3.3766666666666669</v>
      </c>
      <c r="E14" s="38">
        <f t="shared" si="0"/>
        <v>3.9200000000000004</v>
      </c>
      <c r="F14">
        <v>1910</v>
      </c>
      <c r="G14">
        <v>3.39</v>
      </c>
      <c r="H14" s="35">
        <v>4.4000000000000004</v>
      </c>
      <c r="I14">
        <v>2960</v>
      </c>
      <c r="J14">
        <v>3.09</v>
      </c>
      <c r="K14" s="35">
        <v>3.22</v>
      </c>
      <c r="L14">
        <v>1955</v>
      </c>
      <c r="M14">
        <v>3.65</v>
      </c>
      <c r="N14" s="35">
        <v>4.1399999999999997</v>
      </c>
    </row>
    <row r="15" spans="2:14">
      <c r="B15" s="35">
        <v>7</v>
      </c>
      <c r="D15" s="38">
        <f t="shared" si="1"/>
        <v>3.0100000000000002</v>
      </c>
      <c r="E15" s="38">
        <f t="shared" si="0"/>
        <v>3.3133333333333339</v>
      </c>
      <c r="F15">
        <v>1760</v>
      </c>
      <c r="G15">
        <v>3.12</v>
      </c>
      <c r="H15" s="35">
        <v>3.49</v>
      </c>
      <c r="I15">
        <v>1310</v>
      </c>
      <c r="J15">
        <v>3</v>
      </c>
      <c r="K15" s="35">
        <v>3.56</v>
      </c>
      <c r="L15">
        <v>2150</v>
      </c>
      <c r="M15">
        <v>2.91</v>
      </c>
      <c r="N15" s="35">
        <v>2.89</v>
      </c>
    </row>
    <row r="16" spans="2:14">
      <c r="D16" s="38"/>
      <c r="E16" s="38"/>
    </row>
    <row r="17" spans="4:14">
      <c r="D17" s="39">
        <f t="shared" si="1"/>
        <v>3.456666666666667</v>
      </c>
      <c r="E17" s="39">
        <f t="shared" si="0"/>
        <v>3.9433333333333334</v>
      </c>
      <c r="G17">
        <v>3.39</v>
      </c>
      <c r="H17">
        <v>3.91</v>
      </c>
      <c r="J17">
        <v>3.42</v>
      </c>
      <c r="K17">
        <v>3.91</v>
      </c>
      <c r="M17">
        <v>3.56</v>
      </c>
      <c r="N17">
        <v>4.01</v>
      </c>
    </row>
  </sheetData>
  <mergeCells count="3">
    <mergeCell ref="F5:H5"/>
    <mergeCell ref="I5:K5"/>
    <mergeCell ref="L5:N5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7:AP1000"/>
  <sheetViews>
    <sheetView workbookViewId="0">
      <selection activeCell="M36" sqref="M36"/>
    </sheetView>
  </sheetViews>
  <sheetFormatPr baseColWidth="10" defaultColWidth="14.42578125" defaultRowHeight="15" customHeight="1"/>
  <cols>
    <col min="1" max="1" width="10.7109375" customWidth="1"/>
    <col min="2" max="2" width="12.5703125" customWidth="1"/>
    <col min="3" max="42" width="10.7109375" customWidth="1"/>
  </cols>
  <sheetData>
    <row r="7" spans="2:20">
      <c r="C7" s="32">
        <v>0.1</v>
      </c>
      <c r="D7" s="30"/>
      <c r="E7" s="30"/>
      <c r="F7" s="32">
        <v>0.2</v>
      </c>
      <c r="G7" s="30"/>
      <c r="H7" s="30"/>
      <c r="I7" s="32">
        <v>0.3</v>
      </c>
      <c r="J7" s="30"/>
      <c r="K7" s="30"/>
      <c r="L7" s="32">
        <v>0.4</v>
      </c>
      <c r="M7" s="30"/>
      <c r="N7" s="30"/>
      <c r="O7" s="32">
        <v>0.5</v>
      </c>
      <c r="P7" s="30"/>
      <c r="Q7" s="30"/>
      <c r="R7" s="1"/>
      <c r="S7" s="2"/>
      <c r="T7" s="2"/>
    </row>
    <row r="8" spans="2:20">
      <c r="B8" s="3" t="s">
        <v>0</v>
      </c>
      <c r="C8" s="4" t="s">
        <v>1</v>
      </c>
      <c r="D8" s="3" t="s">
        <v>2</v>
      </c>
      <c r="E8" s="3" t="s">
        <v>3</v>
      </c>
      <c r="F8" s="4" t="s">
        <v>1</v>
      </c>
      <c r="G8" s="3" t="s">
        <v>2</v>
      </c>
      <c r="H8" s="3" t="s">
        <v>3</v>
      </c>
      <c r="I8" s="5" t="s">
        <v>1</v>
      </c>
      <c r="J8" s="3" t="s">
        <v>2</v>
      </c>
      <c r="K8" s="5" t="s">
        <v>3</v>
      </c>
      <c r="L8" s="3" t="s">
        <v>1</v>
      </c>
      <c r="M8" s="3" t="s">
        <v>2</v>
      </c>
      <c r="N8" s="5" t="s">
        <v>3</v>
      </c>
      <c r="O8" s="3" t="s">
        <v>1</v>
      </c>
      <c r="P8" s="3" t="s">
        <v>2</v>
      </c>
      <c r="Q8" s="5" t="s">
        <v>3</v>
      </c>
    </row>
    <row r="9" spans="2:20">
      <c r="B9" s="6">
        <v>0</v>
      </c>
      <c r="C9" s="7"/>
      <c r="D9" s="8">
        <f>AVERAGE(C23:J23)</f>
        <v>5.1680957362641541E-2</v>
      </c>
      <c r="F9" s="9"/>
      <c r="G9" s="8">
        <f t="shared" ref="G9:G16" si="0">AVERAGE(K23:R23)</f>
        <v>4.3655292466441023E-2</v>
      </c>
      <c r="I9" s="10"/>
      <c r="J9" s="8">
        <f t="shared" ref="J9:J16" si="1">AVERAGE(S23:Z23)</f>
        <v>4.0528670754971061E-2</v>
      </c>
      <c r="K9" s="10"/>
      <c r="M9" s="8">
        <f t="shared" ref="M9:M16" si="2">AVERAGE(AA23:AH23)</f>
        <v>3.8720791492385047E-2</v>
      </c>
      <c r="N9" s="10"/>
      <c r="P9" s="8">
        <f t="shared" ref="P9:P16" si="3">AVERAGE(AI23:AP23)</f>
        <v>3.8003091883799932E-2</v>
      </c>
      <c r="Q9" s="10"/>
    </row>
    <row r="10" spans="2:20">
      <c r="B10" s="6">
        <v>1</v>
      </c>
      <c r="C10" s="7"/>
      <c r="D10" s="8">
        <f t="shared" ref="D9:D16" si="4">AVERAGE(C24:J24)</f>
        <v>3.9790524396519859E-2</v>
      </c>
      <c r="F10" s="9"/>
      <c r="G10" s="8">
        <f t="shared" si="0"/>
        <v>3.4114200545782507E-2</v>
      </c>
      <c r="I10" s="10"/>
      <c r="J10" s="8">
        <f t="shared" si="1"/>
        <v>3.1747974157598557E-2</v>
      </c>
      <c r="K10" s="10"/>
      <c r="M10" s="8">
        <f t="shared" si="2"/>
        <v>2.9429525715875406E-2</v>
      </c>
      <c r="N10" s="10"/>
      <c r="P10" s="8">
        <f t="shared" si="3"/>
        <v>2.880537547013241E-2</v>
      </c>
      <c r="Q10" s="10"/>
    </row>
    <row r="11" spans="2:20">
      <c r="B11" s="6">
        <v>2</v>
      </c>
      <c r="C11" s="7"/>
      <c r="D11" s="8">
        <f t="shared" si="4"/>
        <v>6.2654952386285143E-2</v>
      </c>
      <c r="F11" s="9"/>
      <c r="G11" s="8">
        <f t="shared" si="0"/>
        <v>4.6016492592068824E-2</v>
      </c>
      <c r="I11" s="10"/>
      <c r="J11" s="8">
        <f t="shared" si="1"/>
        <v>4.088299782449463E-2</v>
      </c>
      <c r="K11" s="10"/>
      <c r="M11" s="8">
        <f t="shared" si="2"/>
        <v>3.5956197543199064E-2</v>
      </c>
      <c r="N11" s="10"/>
      <c r="P11" s="8">
        <f t="shared" si="3"/>
        <v>3.4567224459619905E-2</v>
      </c>
      <c r="Q11" s="10"/>
    </row>
    <row r="12" spans="2:20">
      <c r="B12" s="6">
        <v>3</v>
      </c>
      <c r="C12" s="7"/>
      <c r="D12" s="8">
        <f t="shared" si="4"/>
        <v>5.1816313100266048E-2</v>
      </c>
      <c r="F12" s="9"/>
      <c r="G12" s="8">
        <f t="shared" si="0"/>
        <v>4.284273551247765E-2</v>
      </c>
      <c r="I12" s="10"/>
      <c r="J12" s="8">
        <f t="shared" si="1"/>
        <v>4.0703251675488578E-2</v>
      </c>
      <c r="K12" s="10"/>
      <c r="M12" s="8">
        <f t="shared" si="2"/>
        <v>3.7331015608658924E-2</v>
      </c>
      <c r="N12" s="10"/>
      <c r="P12" s="8">
        <f t="shared" si="3"/>
        <v>3.5883800570116198E-2</v>
      </c>
      <c r="Q12" s="10"/>
    </row>
    <row r="13" spans="2:20">
      <c r="B13" s="6">
        <v>4</v>
      </c>
      <c r="C13" s="7"/>
      <c r="D13" s="8">
        <f t="shared" si="4"/>
        <v>5.2969338167604588E-2</v>
      </c>
      <c r="F13" s="9"/>
      <c r="G13" s="8">
        <f t="shared" si="0"/>
        <v>4.3841671655240735E-2</v>
      </c>
      <c r="I13" s="10"/>
      <c r="J13" s="8">
        <f t="shared" si="1"/>
        <v>3.9366513070179063E-2</v>
      </c>
      <c r="K13" s="10"/>
      <c r="M13" s="8">
        <f t="shared" si="2"/>
        <v>3.5831307139805785E-2</v>
      </c>
      <c r="N13" s="10"/>
      <c r="P13" s="8">
        <f t="shared" si="3"/>
        <v>3.4805425752718708E-2</v>
      </c>
      <c r="Q13" s="10"/>
    </row>
    <row r="14" spans="2:20">
      <c r="B14" s="6">
        <v>5</v>
      </c>
      <c r="C14" s="7"/>
      <c r="D14" s="8">
        <f t="shared" si="4"/>
        <v>6.1100207983647299E-2</v>
      </c>
      <c r="F14" s="9"/>
      <c r="G14" s="8">
        <f t="shared" si="0"/>
        <v>4.5816060616167706E-2</v>
      </c>
      <c r="I14" s="10"/>
      <c r="J14" s="8">
        <f t="shared" si="1"/>
        <v>4.2916948839087248E-2</v>
      </c>
      <c r="K14" s="10"/>
      <c r="M14" s="8">
        <f t="shared" si="2"/>
        <v>3.8279872816279259E-2</v>
      </c>
      <c r="N14" s="10"/>
      <c r="P14" s="8">
        <f t="shared" si="3"/>
        <v>3.6637480844561879E-2</v>
      </c>
      <c r="Q14" s="10"/>
    </row>
    <row r="15" spans="2:20">
      <c r="B15" s="6">
        <v>6</v>
      </c>
      <c r="C15" s="7"/>
      <c r="D15" s="8">
        <f t="shared" si="4"/>
        <v>7.4109732599766956E-2</v>
      </c>
      <c r="F15" s="9"/>
      <c r="G15" s="8">
        <f t="shared" si="0"/>
        <v>5.2640971171263547E-2</v>
      </c>
      <c r="I15" s="10"/>
      <c r="J15" s="8">
        <f t="shared" si="1"/>
        <v>4.6361457086884723E-2</v>
      </c>
      <c r="K15" s="10"/>
      <c r="M15" s="8">
        <f t="shared" si="2"/>
        <v>4.1447977961651457E-2</v>
      </c>
      <c r="N15" s="10"/>
      <c r="P15" s="8">
        <f t="shared" si="3"/>
        <v>3.9980013468048782E-2</v>
      </c>
      <c r="Q15" s="10"/>
    </row>
    <row r="16" spans="2:20">
      <c r="B16" s="6">
        <v>7</v>
      </c>
      <c r="C16" s="7"/>
      <c r="D16" s="8">
        <f t="shared" si="4"/>
        <v>5.8621437276789382E-2</v>
      </c>
      <c r="F16" s="9"/>
      <c r="G16" s="8">
        <f t="shared" si="0"/>
        <v>4.3968825499478538E-2</v>
      </c>
      <c r="I16" s="10"/>
      <c r="J16" s="8">
        <f t="shared" si="1"/>
        <v>3.9835712600455958E-2</v>
      </c>
      <c r="K16" s="10"/>
      <c r="M16" s="8">
        <f t="shared" si="2"/>
        <v>3.5445868699797822E-2</v>
      </c>
      <c r="N16" s="10"/>
      <c r="P16" s="8">
        <f t="shared" si="3"/>
        <v>3.4806339965968422E-2</v>
      </c>
      <c r="Q16" s="10"/>
    </row>
    <row r="17" spans="2:42">
      <c r="C17" s="9"/>
      <c r="F17" s="9"/>
      <c r="I17" s="10"/>
      <c r="K17" s="10"/>
      <c r="N17" s="10"/>
      <c r="Q17" s="10"/>
    </row>
    <row r="18" spans="2:42">
      <c r="B18" s="6" t="s">
        <v>4</v>
      </c>
      <c r="C18" s="11"/>
      <c r="D18" s="12">
        <f>AVERAGE(C32:J32)</f>
        <v>5.3247875946922457E-2</v>
      </c>
      <c r="F18" s="13" t="e">
        <f>AVERAGE(F9:F16)</f>
        <v>#DIV/0!</v>
      </c>
      <c r="G18" s="12">
        <f>AVERAGE(K32:R32)</f>
        <v>4.2418983364386598E-2</v>
      </c>
      <c r="I18" s="14" t="e">
        <f>AVERAGE(I9:I16)</f>
        <v>#DIV/0!</v>
      </c>
      <c r="J18" s="12">
        <f>AVERAGE(S32:Z32)</f>
        <v>3.8949852921132636E-2</v>
      </c>
      <c r="K18" s="10"/>
      <c r="L18" s="15" t="e">
        <f>AVERAGE(L9:L16)</f>
        <v>#DIV/0!</v>
      </c>
      <c r="M18" s="12" t="e">
        <f>AVERAGE(AA32:AH32)</f>
        <v>#DIV/0!</v>
      </c>
      <c r="N18" s="10"/>
      <c r="O18" s="15" t="e">
        <f>AVERAGE(O9:O16)</f>
        <v>#DIV/0!</v>
      </c>
      <c r="P18" s="12" t="e">
        <f>AVERAGE(AI32:AP32)</f>
        <v>#DIV/0!</v>
      </c>
      <c r="Q18" s="10"/>
    </row>
    <row r="21" spans="2:42" ht="15.75" customHeight="1">
      <c r="C21" s="32">
        <v>0.1</v>
      </c>
      <c r="D21" s="30"/>
      <c r="E21" s="30"/>
      <c r="F21" s="30"/>
      <c r="G21" s="30"/>
      <c r="H21" s="30"/>
      <c r="I21" s="30"/>
      <c r="J21" s="31"/>
      <c r="K21" s="29">
        <v>0.2</v>
      </c>
      <c r="L21" s="30"/>
      <c r="M21" s="30"/>
      <c r="N21" s="30"/>
      <c r="O21" s="30"/>
      <c r="P21" s="30"/>
      <c r="Q21" s="30"/>
      <c r="R21" s="31"/>
      <c r="S21" s="29">
        <v>0.3</v>
      </c>
      <c r="T21" s="30"/>
      <c r="U21" s="30"/>
      <c r="V21" s="30"/>
      <c r="W21" s="30"/>
      <c r="X21" s="30"/>
      <c r="Y21" s="30"/>
      <c r="Z21" s="31"/>
      <c r="AA21" s="29">
        <v>0.4</v>
      </c>
      <c r="AB21" s="30"/>
      <c r="AC21" s="30"/>
      <c r="AD21" s="30"/>
      <c r="AE21" s="30"/>
      <c r="AF21" s="30"/>
      <c r="AG21" s="30"/>
      <c r="AH21" s="31"/>
      <c r="AI21" s="29">
        <v>0.5</v>
      </c>
      <c r="AJ21" s="30"/>
      <c r="AK21" s="30"/>
      <c r="AL21" s="30"/>
      <c r="AM21" s="30"/>
      <c r="AN21" s="30"/>
      <c r="AO21" s="30"/>
      <c r="AP21" s="31"/>
    </row>
    <row r="22" spans="2:42" ht="15.75" customHeight="1">
      <c r="B22" s="5" t="s">
        <v>0</v>
      </c>
      <c r="C22" s="3" t="s">
        <v>5</v>
      </c>
      <c r="D22" s="3" t="s">
        <v>6</v>
      </c>
      <c r="E22" s="3" t="s">
        <v>7</v>
      </c>
      <c r="F22" s="3" t="s">
        <v>8</v>
      </c>
      <c r="G22" s="3" t="s">
        <v>9</v>
      </c>
      <c r="H22" s="3" t="s">
        <v>10</v>
      </c>
      <c r="I22" s="3" t="s">
        <v>11</v>
      </c>
      <c r="J22" s="5" t="s">
        <v>12</v>
      </c>
      <c r="K22" s="3" t="s">
        <v>5</v>
      </c>
      <c r="L22" s="3" t="s">
        <v>6</v>
      </c>
      <c r="M22" s="3" t="s">
        <v>7</v>
      </c>
      <c r="N22" s="3" t="s">
        <v>8</v>
      </c>
      <c r="O22" s="3" t="s">
        <v>9</v>
      </c>
      <c r="P22" s="3" t="s">
        <v>10</v>
      </c>
      <c r="Q22" s="3" t="s">
        <v>11</v>
      </c>
      <c r="R22" s="5" t="s">
        <v>12</v>
      </c>
      <c r="S22" s="3" t="s">
        <v>5</v>
      </c>
      <c r="T22" s="3" t="s">
        <v>6</v>
      </c>
      <c r="U22" s="3" t="s">
        <v>7</v>
      </c>
      <c r="V22" s="3" t="s">
        <v>8</v>
      </c>
      <c r="W22" s="3" t="s">
        <v>9</v>
      </c>
      <c r="X22" s="3" t="s">
        <v>10</v>
      </c>
      <c r="Y22" s="3" t="s">
        <v>11</v>
      </c>
      <c r="Z22" s="5" t="s">
        <v>12</v>
      </c>
      <c r="AA22" s="3" t="s">
        <v>5</v>
      </c>
      <c r="AB22" s="3" t="s">
        <v>6</v>
      </c>
      <c r="AC22" s="3" t="s">
        <v>7</v>
      </c>
      <c r="AD22" s="3" t="s">
        <v>8</v>
      </c>
      <c r="AE22" s="3" t="s">
        <v>9</v>
      </c>
      <c r="AF22" s="3" t="s">
        <v>10</v>
      </c>
      <c r="AG22" s="3" t="s">
        <v>11</v>
      </c>
      <c r="AH22" s="5" t="s">
        <v>12</v>
      </c>
      <c r="AI22" s="3" t="s">
        <v>5</v>
      </c>
      <c r="AJ22" s="3" t="s">
        <v>6</v>
      </c>
      <c r="AK22" s="3" t="s">
        <v>7</v>
      </c>
      <c r="AL22" s="3" t="s">
        <v>8</v>
      </c>
      <c r="AM22" s="3" t="s">
        <v>9</v>
      </c>
      <c r="AN22" s="3" t="s">
        <v>10</v>
      </c>
      <c r="AO22" s="3" t="s">
        <v>11</v>
      </c>
      <c r="AP22" s="5" t="s">
        <v>12</v>
      </c>
    </row>
    <row r="23" spans="2:42" ht="15.75" customHeight="1">
      <c r="B23" s="10">
        <v>0</v>
      </c>
      <c r="C23" s="8">
        <f>'Horns Rev'!E9</f>
        <v>5.5869346293620559E-2</v>
      </c>
      <c r="D23" s="8">
        <f>Seagreen!E9</f>
        <v>5.0608974358974358E-2</v>
      </c>
      <c r="E23" s="8">
        <f>Gemini!E9</f>
        <v>7.1500000000000008E-2</v>
      </c>
      <c r="F23" s="8">
        <f>Hollandse_Noord!E9</f>
        <v>4.5849802371541508E-2</v>
      </c>
      <c r="G23" s="8">
        <f>Dieppe!E9</f>
        <v>4.8252688172043014E-2</v>
      </c>
      <c r="H23" s="8">
        <f>'Moray Firth'!E9</f>
        <v>4.9381650848432553E-2</v>
      </c>
      <c r="I23" s="8">
        <f>Kriegers!E9</f>
        <v>5.5150462962962964E-2</v>
      </c>
      <c r="J23" s="16">
        <f>'East Anglia One'!E9</f>
        <v>3.6834733893557424E-2</v>
      </c>
      <c r="K23" s="8">
        <f>'Horns Rev'!I9</f>
        <v>4.6805902184859229E-2</v>
      </c>
      <c r="L23" s="8">
        <f>Seagreen!I9</f>
        <v>4.2884615384615382E-2</v>
      </c>
      <c r="M23" s="8">
        <f>Gemini!I9</f>
        <v>5.8277777777777783E-2</v>
      </c>
      <c r="N23" s="8">
        <f>Hollandse_Noord!I9</f>
        <v>3.8427755819060168E-2</v>
      </c>
      <c r="O23" s="8">
        <f>Dieppe!I9</f>
        <v>3.8508064516129037E-2</v>
      </c>
      <c r="P23" s="8">
        <f>'Moray Firth'!I9</f>
        <v>4.4003451251078511E-2</v>
      </c>
      <c r="Q23" s="8">
        <f>Kriegers!I9</f>
        <v>4.8495370370370376E-2</v>
      </c>
      <c r="R23" s="16">
        <f>'East Anglia One'!I9</f>
        <v>3.183940242763772E-2</v>
      </c>
      <c r="S23" s="8">
        <f>'Horns Rev'!M9</f>
        <v>4.3828538902754066E-2</v>
      </c>
      <c r="T23" s="8">
        <f>Seagreen!M9</f>
        <v>3.8974358974358976E-2</v>
      </c>
      <c r="U23" s="8">
        <f>Gemini!M9</f>
        <v>5.2333333333333336E-2</v>
      </c>
      <c r="V23" s="8">
        <f>Hollandse_Noord!M9</f>
        <v>3.5792709705753184E-2</v>
      </c>
      <c r="W23" s="8">
        <f>Dieppe!M9</f>
        <v>3.7768817204301079E-2</v>
      </c>
      <c r="X23" s="8">
        <f>'Moray Firth'!M9</f>
        <v>3.9459303997699167E-2</v>
      </c>
      <c r="Y23" s="8">
        <f>Kriegers!M9</f>
        <v>4.6006944444444448E-2</v>
      </c>
      <c r="Z23" s="16">
        <f>'East Anglia One'!M9</f>
        <v>3.0065359477124184E-2</v>
      </c>
      <c r="AA23" s="8">
        <f>'Horns Rev'!Q9</f>
        <v>4.1902009720215426E-2</v>
      </c>
      <c r="AB23" s="8">
        <f>Seagreen!Q9</f>
        <v>3.7916666666666668E-2</v>
      </c>
      <c r="AC23" s="8">
        <f>Gemini!Q9</f>
        <v>5.1222222222222225E-2</v>
      </c>
      <c r="AD23" s="8">
        <f>Hollandse_Noord!Q9</f>
        <v>3.5177865612648219E-2</v>
      </c>
      <c r="AE23" s="8">
        <f>Dieppe!Q9</f>
        <v>4.0255376344086026E-2</v>
      </c>
      <c r="AF23" s="8">
        <f>'Moray Firth'!Q9</f>
        <v>3.7791199309749786E-2</v>
      </c>
      <c r="AG23" s="8">
        <f>Kriegers!Q9</f>
        <v>4.5659722222222227E-2</v>
      </c>
      <c r="AH23" s="16">
        <f>'East Anglia One'!Q9</f>
        <v>1.984126984126984E-2</v>
      </c>
      <c r="AI23" s="8">
        <f>'Horns Rev'!U9</f>
        <v>4.1289023162134945E-2</v>
      </c>
      <c r="AJ23" s="8">
        <f>Seagreen!U9</f>
        <v>3.6634615384615384E-2</v>
      </c>
      <c r="AK23" s="8">
        <f>Gemini!U9</f>
        <v>5.2055555555555556E-2</v>
      </c>
      <c r="AL23" s="8">
        <f>Hollandse_Noord!U9</f>
        <v>3.4079929732103643E-2</v>
      </c>
      <c r="AM23" s="8">
        <f>Dieppe!U9</f>
        <v>3.9650537634408602E-2</v>
      </c>
      <c r="AN23" s="8">
        <f>'Moray Firth'!U9</f>
        <v>3.6583261432269198E-2</v>
      </c>
      <c r="AO23" s="8">
        <f>Kriegers!U9</f>
        <v>4.2303240740740738E-2</v>
      </c>
      <c r="AP23" s="16">
        <f>'East Anglia One'!U9</f>
        <v>2.1428571428571425E-2</v>
      </c>
    </row>
    <row r="24" spans="2:42" ht="15.75" customHeight="1">
      <c r="B24" s="10">
        <v>1</v>
      </c>
      <c r="C24" s="8">
        <f>'Horns Rev'!E10</f>
        <v>4.5842637593589919E-2</v>
      </c>
      <c r="D24" s="8">
        <f>Seagreen!E10</f>
        <v>4.0673076923076923E-2</v>
      </c>
      <c r="E24" s="8">
        <f>Gemini!E10</f>
        <v>2.1944444444444444E-2</v>
      </c>
      <c r="F24" s="8">
        <f>Hollandse_Noord!E10</f>
        <v>4.0799297321036453E-2</v>
      </c>
      <c r="G24" s="8">
        <f>Dieppe!E10</f>
        <v>4.4018817204301071E-2</v>
      </c>
      <c r="H24" s="8">
        <f>'Moray Firth'!E10</f>
        <v>4.9985619787172843E-2</v>
      </c>
      <c r="I24" s="8">
        <f>Kriegers!E10</f>
        <v>3.4490740740740738E-2</v>
      </c>
      <c r="J24" s="16">
        <f>'East Anglia One'!E10</f>
        <v>4.0569561157796453E-2</v>
      </c>
      <c r="K24" s="8">
        <f>'Horns Rev'!I10</f>
        <v>4.3346906607119408E-2</v>
      </c>
      <c r="L24" s="8">
        <f>Seagreen!I10</f>
        <v>3.487179487179487E-2</v>
      </c>
      <c r="M24" s="8">
        <f>Gemini!I10</f>
        <v>1.8944444444444448E-2</v>
      </c>
      <c r="N24" s="8">
        <f>Hollandse_Noord!I10</f>
        <v>3.6012296881862103E-2</v>
      </c>
      <c r="O24" s="8">
        <f>Dieppe!I10</f>
        <v>3.400537634408602E-2</v>
      </c>
      <c r="P24" s="8">
        <f>'Moray Firth'!I10</f>
        <v>4.0580960598216857E-2</v>
      </c>
      <c r="Q24" s="8">
        <f>Kriegers!I10</f>
        <v>2.8877314814814814E-2</v>
      </c>
      <c r="R24" s="16">
        <f>'East Anglia One'!I10</f>
        <v>3.6274509803921572E-2</v>
      </c>
      <c r="S24" s="8">
        <f>'Horns Rev'!M10</f>
        <v>3.8749507421515832E-2</v>
      </c>
      <c r="T24" s="8">
        <f>Seagreen!M10</f>
        <v>3.282051282051282E-2</v>
      </c>
      <c r="U24" s="8">
        <f>Gemini!M10</f>
        <v>1.861111111111111E-2</v>
      </c>
      <c r="V24" s="8">
        <f>Hollandse_Noord!M10</f>
        <v>3.3069828722002634E-2</v>
      </c>
      <c r="W24" s="8">
        <f>Dieppe!M10</f>
        <v>2.9233870967741937E-2</v>
      </c>
      <c r="X24" s="8">
        <f>'Moray Firth'!M10</f>
        <v>3.8107563991947084E-2</v>
      </c>
      <c r="Y24" s="8">
        <f>Kriegers!M10</f>
        <v>2.7256944444444445E-2</v>
      </c>
      <c r="Z24" s="16">
        <f>'East Anglia One'!M10</f>
        <v>3.6134453781512609E-2</v>
      </c>
      <c r="AA24" s="8">
        <f>'Horns Rev'!Q10</f>
        <v>3.9099785454704668E-2</v>
      </c>
      <c r="AB24" s="8">
        <f>Seagreen!Q10</f>
        <v>3.1955128205128205E-2</v>
      </c>
      <c r="AC24" s="8">
        <f>Gemini!Q10</f>
        <v>1.7444444444444446E-2</v>
      </c>
      <c r="AD24" s="8">
        <f>Hollandse_Noord!Q10</f>
        <v>3.1313131313131314E-2</v>
      </c>
      <c r="AE24" s="8">
        <f>Dieppe!Q10</f>
        <v>2.7419354838709678E-2</v>
      </c>
      <c r="AF24" s="8">
        <f>'Moray Firth'!Q10</f>
        <v>3.7503595053206787E-2</v>
      </c>
      <c r="AG24" s="8">
        <f>Kriegers!Q10</f>
        <v>2.6331018518518521E-2</v>
      </c>
      <c r="AH24" s="16">
        <f>'East Anglia One'!Q10</f>
        <v>2.4369747899159661E-2</v>
      </c>
      <c r="AI24" s="8">
        <f>'Horns Rev'!U10</f>
        <v>3.7961381846840926E-2</v>
      </c>
      <c r="AJ24" s="8">
        <f>Seagreen!U10</f>
        <v>3.0673076923076924E-2</v>
      </c>
      <c r="AK24" s="8">
        <f>Gemini!U10</f>
        <v>1.7888888888888888E-2</v>
      </c>
      <c r="AL24" s="8">
        <f>Hollandse_Noord!U10</f>
        <v>3.1620553359683799E-2</v>
      </c>
      <c r="AM24" s="8">
        <f>Dieppe!U10</f>
        <v>2.7419354838709678E-2</v>
      </c>
      <c r="AN24" s="8">
        <f>'Moray Firth'!U10</f>
        <v>3.6180615473109003E-2</v>
      </c>
      <c r="AO24" s="8">
        <f>Kriegers!U10</f>
        <v>2.5636574074074076E-2</v>
      </c>
      <c r="AP24" s="16">
        <f>'East Anglia One'!U10</f>
        <v>2.3062558356676005E-2</v>
      </c>
    </row>
    <row r="25" spans="2:42" ht="15.75" customHeight="1">
      <c r="B25" s="10">
        <v>2</v>
      </c>
      <c r="C25" s="8">
        <f>'Horns Rev'!E11</f>
        <v>5.8365077280091077E-2</v>
      </c>
      <c r="D25" s="8">
        <f>Seagreen!E11</f>
        <v>7.2307692307692295E-2</v>
      </c>
      <c r="E25" s="8">
        <f>Gemini!E11</f>
        <v>5.1444444444444452E-2</v>
      </c>
      <c r="F25" s="8">
        <f>Hollandse_Noord!E11</f>
        <v>5.7180500658761534E-2</v>
      </c>
      <c r="G25" s="8">
        <f>Dieppe!E11</f>
        <v>9.3077956989247312E-2</v>
      </c>
      <c r="H25" s="8">
        <f>'Moray Firth'!E11</f>
        <v>6.6321541558815075E-2</v>
      </c>
      <c r="I25" s="8">
        <f>Kriegers!E11</f>
        <v>4.7453703703703699E-2</v>
      </c>
      <c r="J25" s="16">
        <f>'East Anglia One'!E11</f>
        <v>5.5088702147525676E-2</v>
      </c>
      <c r="K25" s="8">
        <f>'Horns Rev'!I11</f>
        <v>4.0150619554271204E-2</v>
      </c>
      <c r="L25" s="8">
        <f>Seagreen!I11</f>
        <v>5.0961538461538454E-2</v>
      </c>
      <c r="M25" s="8">
        <f>Gemini!I11</f>
        <v>3.3777777777777775E-2</v>
      </c>
      <c r="N25" s="8">
        <f>Hollandse_Noord!I11</f>
        <v>4.0711462450592879E-2</v>
      </c>
      <c r="O25" s="8">
        <f>Dieppe!I11</f>
        <v>6.6532258064516125E-2</v>
      </c>
      <c r="P25" s="8">
        <f>'Moray Firth'!I11</f>
        <v>5.0100661489790053E-2</v>
      </c>
      <c r="Q25" s="8">
        <f>Kriegers!I11</f>
        <v>3.7905092592592594E-2</v>
      </c>
      <c r="R25" s="16">
        <f>'East Anglia One'!I11</f>
        <v>4.7992530345471525E-2</v>
      </c>
      <c r="S25" s="8">
        <f>'Horns Rev'!M11</f>
        <v>3.437103200665529E-2</v>
      </c>
      <c r="T25" s="8">
        <f>Seagreen!M11</f>
        <v>4.3301282051282051E-2</v>
      </c>
      <c r="U25" s="8">
        <f>Gemini!M11</f>
        <v>2.9611111111111112E-2</v>
      </c>
      <c r="V25" s="8">
        <f>Hollandse_Noord!M11</f>
        <v>3.7154150197628459E-2</v>
      </c>
      <c r="W25" s="8">
        <f>Dieppe!M11</f>
        <v>6.3911290322580652E-2</v>
      </c>
      <c r="X25" s="8">
        <f>'Moray Firth'!M11</f>
        <v>4.0954846131722754E-2</v>
      </c>
      <c r="Y25" s="8">
        <f>Kriegers!M11</f>
        <v>3.5416666666666673E-2</v>
      </c>
      <c r="Z25" s="16">
        <f>'East Anglia One'!M11</f>
        <v>4.2343604108309986E-2</v>
      </c>
      <c r="AA25" s="8">
        <f>'Horns Rev'!Q11</f>
        <v>3.3626691186128987E-2</v>
      </c>
      <c r="AB25" s="8">
        <f>Seagreen!Q11</f>
        <v>3.7532051282051282E-2</v>
      </c>
      <c r="AC25" s="8">
        <f>Gemini!Q11</f>
        <v>2.7333333333333334E-2</v>
      </c>
      <c r="AD25" s="8">
        <f>Hollandse_Noord!Q11</f>
        <v>3.5529205094422485E-2</v>
      </c>
      <c r="AE25" s="8">
        <f>Dieppe!Q11</f>
        <v>5.4569892473118276E-2</v>
      </c>
      <c r="AF25" s="8">
        <f>'Moray Firth'!Q11</f>
        <v>3.7992522289329887E-2</v>
      </c>
      <c r="AG25" s="8">
        <f>Kriegers!Q11</f>
        <v>3.4548611111111106E-2</v>
      </c>
      <c r="AH25" s="16">
        <f>'East Anglia One'!Q11</f>
        <v>2.6517273576097105E-2</v>
      </c>
      <c r="AI25" s="8">
        <f>'Horns Rev'!U11</f>
        <v>3.20942247909278E-2</v>
      </c>
      <c r="AJ25" s="8">
        <f>Seagreen!U11</f>
        <v>3.8461538461538464E-2</v>
      </c>
      <c r="AK25" s="8">
        <f>Gemini!U11</f>
        <v>2.5666666666666667E-2</v>
      </c>
      <c r="AL25" s="8">
        <f>Hollandse_Noord!U11</f>
        <v>3.4299516908212563E-2</v>
      </c>
      <c r="AM25" s="8">
        <f>Dieppe!U11</f>
        <v>5.2217741935483869E-2</v>
      </c>
      <c r="AN25" s="8">
        <f>'Moray Firth'!U11</f>
        <v>3.6180615473109003E-2</v>
      </c>
      <c r="AO25" s="8">
        <f>Kriegers!U11</f>
        <v>3.2407407407407406E-2</v>
      </c>
      <c r="AP25" s="16">
        <f>'East Anglia One'!U11</f>
        <v>2.5210084033613449E-2</v>
      </c>
    </row>
    <row r="26" spans="2:42" ht="15.75" customHeight="1">
      <c r="B26" s="10">
        <v>3</v>
      </c>
      <c r="C26" s="8">
        <f>'Horns Rev'!E12</f>
        <v>5.3723893340338898E-2</v>
      </c>
      <c r="D26" s="8">
        <f>Seagreen!E12</f>
        <v>5.2499999999999998E-2</v>
      </c>
      <c r="E26" s="8">
        <f>Gemini!E12</f>
        <v>3.7888888888888889E-2</v>
      </c>
      <c r="F26" s="8">
        <f>Hollandse_Noord!E12</f>
        <v>5.160298638559508E-2</v>
      </c>
      <c r="G26" s="8">
        <f>Dieppe!E12</f>
        <v>6.5860215053763452E-2</v>
      </c>
      <c r="H26" s="8">
        <f>'Moray Firth'!E12</f>
        <v>4.0580960598216857E-2</v>
      </c>
      <c r="I26" s="8">
        <f>Kriegers!E12</f>
        <v>6.0879629629629638E-2</v>
      </c>
      <c r="J26" s="16">
        <f>'East Anglia One'!E12</f>
        <v>5.1493930905695616E-2</v>
      </c>
      <c r="K26" s="8">
        <f>'Horns Rev'!I12</f>
        <v>4.6981041201453654E-2</v>
      </c>
      <c r="L26" s="8">
        <f>Seagreen!I12</f>
        <v>4.2884615384615382E-2</v>
      </c>
      <c r="M26" s="8">
        <f>Gemini!I12</f>
        <v>3.2111111111111111E-2</v>
      </c>
      <c r="N26" s="8">
        <f>Hollandse_Noord!I12</f>
        <v>4.0711462450592886E-2</v>
      </c>
      <c r="O26" s="8">
        <f>Dieppe!I12</f>
        <v>5.0940860215053764E-2</v>
      </c>
      <c r="P26" s="8">
        <f>'Moray Firth'!I12</f>
        <v>3.60368133448375E-2</v>
      </c>
      <c r="Q26" s="8">
        <f>Kriegers!I12</f>
        <v>4.8958333333333333E-2</v>
      </c>
      <c r="R26" s="16">
        <f>'East Anglia One'!I12</f>
        <v>4.4117647058823539E-2</v>
      </c>
      <c r="S26" s="8">
        <f>'Horns Rev'!M12</f>
        <v>4.4222601690091512E-2</v>
      </c>
      <c r="T26" s="8">
        <f>Seagreen!M12</f>
        <v>4.0865384615384616E-2</v>
      </c>
      <c r="U26" s="8">
        <f>Gemini!M12</f>
        <v>3.1166666666666665E-2</v>
      </c>
      <c r="V26" s="8">
        <f>Hollandse_Noord!M12</f>
        <v>3.9086517347386912E-2</v>
      </c>
      <c r="W26" s="8">
        <f>Dieppe!M12</f>
        <v>4.8118279569892473E-2</v>
      </c>
      <c r="X26" s="8">
        <f>'Moray Firth'!M12</f>
        <v>3.5490365257405808E-2</v>
      </c>
      <c r="Y26" s="8">
        <f>Kriegers!M12</f>
        <v>4.386574074074074E-2</v>
      </c>
      <c r="Z26" s="16">
        <f>'East Anglia One'!M12</f>
        <v>4.2810457516339863E-2</v>
      </c>
      <c r="AA26" s="8">
        <f>'Horns Rev'!Q12</f>
        <v>4.0763606112351684E-2</v>
      </c>
      <c r="AB26" s="8">
        <f>Seagreen!Q12</f>
        <v>3.9294871794871795E-2</v>
      </c>
      <c r="AC26" s="8">
        <f>Gemini!Q12</f>
        <v>2.944444444444444E-2</v>
      </c>
      <c r="AD26" s="8">
        <f>Hollandse_Noord!Q12</f>
        <v>3.8120333772507682E-2</v>
      </c>
      <c r="AE26" s="8">
        <f>Dieppe!Q12</f>
        <v>4.6236559139784951E-2</v>
      </c>
      <c r="AF26" s="8">
        <f>'Moray Firth'!Q12</f>
        <v>3.318953120506183E-2</v>
      </c>
      <c r="AG26" s="8">
        <f>Kriegers!Q12</f>
        <v>4.3634259259259262E-2</v>
      </c>
      <c r="AH26" s="16">
        <f>'East Anglia One'!Q12</f>
        <v>2.796451914098973E-2</v>
      </c>
      <c r="AI26" s="8">
        <f>'Horns Rev'!U12</f>
        <v>4.0325758570865629E-2</v>
      </c>
      <c r="AJ26" s="8">
        <f>Seagreen!U12</f>
        <v>3.7628205128205132E-2</v>
      </c>
      <c r="AK26" s="8">
        <f>Gemini!U12</f>
        <v>2.827777777777778E-2</v>
      </c>
      <c r="AL26" s="8">
        <f>Hollandse_Noord!U12</f>
        <v>3.6319718928414582E-2</v>
      </c>
      <c r="AM26" s="8">
        <f>Dieppe!U12</f>
        <v>4.4018817204301085E-2</v>
      </c>
      <c r="AN26" s="8">
        <f>'Moray Firth'!U12</f>
        <v>3.1578947368421054E-2</v>
      </c>
      <c r="AO26" s="8">
        <f>Kriegers!U12</f>
        <v>4.282407407407407E-2</v>
      </c>
      <c r="AP26" s="16">
        <f>'East Anglia One'!U12</f>
        <v>2.6097105508870216E-2</v>
      </c>
    </row>
    <row r="27" spans="2:42" ht="15.75" customHeight="1">
      <c r="B27" s="10">
        <v>4</v>
      </c>
      <c r="C27" s="8">
        <f>'Horns Rev'!E13</f>
        <v>5.4117956127676344E-2</v>
      </c>
      <c r="D27" s="8">
        <f>Seagreen!E13</f>
        <v>5.0833333333333335E-2</v>
      </c>
      <c r="E27" s="8">
        <f>Gemini!E13</f>
        <v>4.7722222222222221E-2</v>
      </c>
      <c r="F27" s="8">
        <f>Hollandse_Noord!E13</f>
        <v>4.5718050065876148E-2</v>
      </c>
      <c r="G27" s="8">
        <f>Dieppe!E13</f>
        <v>5.4166666666666669E-2</v>
      </c>
      <c r="H27" s="8">
        <f>'Moray Firth'!E13</f>
        <v>4.4118492953695708E-2</v>
      </c>
      <c r="I27" s="8">
        <f>Kriegers!E13</f>
        <v>7.0775462962962957E-2</v>
      </c>
      <c r="J27" s="16">
        <f>'East Anglia One'!E13</f>
        <v>5.6302521008403363E-2</v>
      </c>
      <c r="K27" s="8">
        <f>'Horns Rev'!I13</f>
        <v>4.3215552344673593E-2</v>
      </c>
      <c r="L27" s="8">
        <f>Seagreen!I13</f>
        <v>4.3173076923076925E-2</v>
      </c>
      <c r="M27" s="8">
        <f>Gemini!I13</f>
        <v>4.1388888888888892E-2</v>
      </c>
      <c r="N27" s="8">
        <f>Hollandse_Noord!I13</f>
        <v>4.0360122968818614E-2</v>
      </c>
      <c r="O27" s="8">
        <f>Dieppe!I13</f>
        <v>4.4489247311827962E-2</v>
      </c>
      <c r="P27" s="8">
        <f>'Moray Firth'!I13</f>
        <v>3.7244751222318094E-2</v>
      </c>
      <c r="Q27" s="8">
        <f>Kriegers!I13</f>
        <v>5.8564814814814813E-2</v>
      </c>
      <c r="R27" s="16">
        <f>'East Anglia One'!I13</f>
        <v>4.2296918767506998E-2</v>
      </c>
      <c r="S27" s="8">
        <f>'Horns Rev'!M13</f>
        <v>3.8355444634178386E-2</v>
      </c>
      <c r="T27" s="8">
        <f>Seagreen!M13</f>
        <v>3.9743589743589741E-2</v>
      </c>
      <c r="U27" s="8">
        <f>Gemini!M13</f>
        <v>3.783333333333333E-2</v>
      </c>
      <c r="V27" s="8">
        <f>Hollandse_Noord!M13</f>
        <v>3.4606938954765042E-2</v>
      </c>
      <c r="W27" s="8">
        <f>Dieppe!M13</f>
        <v>4.1599462365591401E-2</v>
      </c>
      <c r="X27" s="8">
        <f>'Moray Firth'!M13</f>
        <v>3.5662927811331603E-2</v>
      </c>
      <c r="Y27" s="8">
        <f>Kriegers!M13</f>
        <v>4.8148148148148141E-2</v>
      </c>
      <c r="Z27" s="16">
        <f>'East Anglia One'!M13</f>
        <v>3.8982259570494865E-2</v>
      </c>
      <c r="AA27" s="8">
        <f>'Horns Rev'!Q13</f>
        <v>3.7129471518017432E-2</v>
      </c>
      <c r="AB27" s="8">
        <f>Seagreen!Q13</f>
        <v>3.7884615384615385E-2</v>
      </c>
      <c r="AC27" s="8">
        <f>Gemini!Q13</f>
        <v>3.5388888888888893E-2</v>
      </c>
      <c r="AD27" s="8">
        <f>Hollandse_Noord!Q13</f>
        <v>3.2630654369784802E-2</v>
      </c>
      <c r="AE27" s="8">
        <f>Dieppe!Q13</f>
        <v>4.1465053763440861E-2</v>
      </c>
      <c r="AF27" s="8">
        <f>'Moray Firth'!Q13</f>
        <v>3.3074489502444633E-2</v>
      </c>
      <c r="AG27" s="8">
        <f>Kriegers!Q13</f>
        <v>4.5081018518518513E-2</v>
      </c>
      <c r="AH27" s="16">
        <f>'East Anglia One'!Q13</f>
        <v>2.3996265172735759E-2</v>
      </c>
      <c r="AI27" s="8">
        <f>'Horns Rev'!U13</f>
        <v>3.6735408730679979E-2</v>
      </c>
      <c r="AJ27" s="8">
        <f>Seagreen!U13</f>
        <v>3.4294871794871791E-2</v>
      </c>
      <c r="AK27" s="8">
        <f>Gemini!U13</f>
        <v>3.2888888888888884E-2</v>
      </c>
      <c r="AL27" s="8">
        <f>Hollandse_Noord!U13</f>
        <v>3.1708388230127359E-2</v>
      </c>
      <c r="AM27" s="8">
        <f>Dieppe!U13</f>
        <v>4.2271505376344082E-2</v>
      </c>
      <c r="AN27" s="8">
        <f>'Moray Firth'!U13</f>
        <v>3.258556226632154E-2</v>
      </c>
      <c r="AO27" s="8">
        <f>Kriegers!U13</f>
        <v>4.4849537037037035E-2</v>
      </c>
      <c r="AP27" s="16">
        <f>'East Anglia One'!U13</f>
        <v>2.3109243697478993E-2</v>
      </c>
    </row>
    <row r="28" spans="2:42" ht="15.75" customHeight="1">
      <c r="B28" s="10">
        <v>5</v>
      </c>
      <c r="C28" s="8">
        <f>'Horns Rev'!E14</f>
        <v>5.3592539077893082E-2</v>
      </c>
      <c r="D28" s="8">
        <f>Seagreen!E14</f>
        <v>6.8589743589743596E-2</v>
      </c>
      <c r="E28" s="8">
        <f>Gemini!E14</f>
        <v>7.9055555555555546E-2</v>
      </c>
      <c r="F28" s="8">
        <f>Hollandse_Noord!E14</f>
        <v>4.5718050065876148E-2</v>
      </c>
      <c r="G28" s="8">
        <f>Dieppe!E14</f>
        <v>6.1827956989247312E-2</v>
      </c>
      <c r="H28" s="8">
        <f>'Moray Firth'!E14</f>
        <v>4.6879493816508487E-2</v>
      </c>
      <c r="I28" s="8">
        <f>Kriegers!E14</f>
        <v>7.4594907407407415E-2</v>
      </c>
      <c r="J28" s="16">
        <f>'East Anglia One'!E14</f>
        <v>5.8543417366946772E-2</v>
      </c>
      <c r="K28" s="8">
        <f>'Horns Rev'!I14</f>
        <v>4.1376592670432158E-2</v>
      </c>
      <c r="L28" s="8">
        <f>Seagreen!I14</f>
        <v>4.416666666666666E-2</v>
      </c>
      <c r="M28" s="8">
        <f>Gemini!I14</f>
        <v>6.083333333333333E-2</v>
      </c>
      <c r="N28" s="8">
        <f>Hollandse_Noord!I14</f>
        <v>4.0491875274483974E-2</v>
      </c>
      <c r="O28" s="8">
        <f>Dieppe!I14</f>
        <v>4.7379032258064523E-2</v>
      </c>
      <c r="P28" s="8">
        <f>'Moray Firth'!I14</f>
        <v>4.0293356341673851E-2</v>
      </c>
      <c r="Q28" s="8">
        <f>Kriegers!I14</f>
        <v>5.347222222222222E-2</v>
      </c>
      <c r="R28" s="16">
        <f>'East Anglia One'!I14</f>
        <v>3.8515406162464988E-2</v>
      </c>
      <c r="S28" s="8">
        <f>'Horns Rev'!M14</f>
        <v>4.0544682341608657E-2</v>
      </c>
      <c r="T28" s="8">
        <f>Seagreen!M14</f>
        <v>4.2083333333333334E-2</v>
      </c>
      <c r="U28" s="8">
        <f>Gemini!M14</f>
        <v>5.4944444444444442E-2</v>
      </c>
      <c r="V28" s="8">
        <f>Hollandse_Noord!M14</f>
        <v>3.592446201141853E-2</v>
      </c>
      <c r="W28" s="8">
        <f>Dieppe!M14</f>
        <v>4.6975806451612902E-2</v>
      </c>
      <c r="X28" s="8">
        <f>'Moray Firth'!M14</f>
        <v>3.6065573770491799E-2</v>
      </c>
      <c r="Y28" s="8">
        <f>Kriegers!M14</f>
        <v>5.0289351851851849E-2</v>
      </c>
      <c r="Z28" s="16">
        <f>'East Anglia One'!M14</f>
        <v>3.650793650793651E-2</v>
      </c>
      <c r="AA28" s="8">
        <f>'Horns Rev'!Q14</f>
        <v>3.7698673321949296E-2</v>
      </c>
      <c r="AB28" s="8">
        <f>Seagreen!Q14</f>
        <v>3.7660256410256415E-2</v>
      </c>
      <c r="AC28" s="8">
        <f>Gemini!Q14</f>
        <v>4.766666666666667E-2</v>
      </c>
      <c r="AD28" s="8">
        <f>Hollandse_Noord!Q14</f>
        <v>3.5529205094422485E-2</v>
      </c>
      <c r="AE28" s="8">
        <f>Dieppe!Q14</f>
        <v>4.4758064516129036E-2</v>
      </c>
      <c r="AF28" s="8">
        <f>'Moray Firth'!Q14</f>
        <v>3.4771354616048321E-2</v>
      </c>
      <c r="AG28" s="8">
        <f>Kriegers!Q14</f>
        <v>4.5138888888888888E-2</v>
      </c>
      <c r="AH28" s="16">
        <f>'East Anglia One'!Q14</f>
        <v>2.3015873015873017E-2</v>
      </c>
      <c r="AI28" s="8">
        <f>'Horns Rev'!U14</f>
        <v>3.7917597092692323E-2</v>
      </c>
      <c r="AJ28" s="8">
        <f>Seagreen!U14</f>
        <v>3.6891025641025643E-2</v>
      </c>
      <c r="AK28" s="8">
        <f>Gemini!U14</f>
        <v>4.6000000000000006E-2</v>
      </c>
      <c r="AL28" s="8">
        <f>Hollandse_Noord!U14</f>
        <v>3.5090030742204653E-2</v>
      </c>
      <c r="AM28" s="8">
        <f>Dieppe!U14</f>
        <v>4.0927419354838714E-2</v>
      </c>
      <c r="AN28" s="8">
        <f>'Moray Firth'!U14</f>
        <v>3.1837791199309746E-2</v>
      </c>
      <c r="AO28" s="8">
        <f>Kriegers!U14</f>
        <v>4.1840277777777775E-2</v>
      </c>
      <c r="AP28" s="16">
        <f>'East Anglia One'!U14</f>
        <v>2.2595704948646128E-2</v>
      </c>
    </row>
    <row r="29" spans="2:42" ht="15.75" customHeight="1">
      <c r="B29" s="10">
        <v>6</v>
      </c>
      <c r="C29" s="8">
        <f>'Horns Rev'!E15</f>
        <v>6.6071194010245637E-2</v>
      </c>
      <c r="D29" s="8">
        <f>Seagreen!E15</f>
        <v>0.10346153846153845</v>
      </c>
      <c r="E29" s="8">
        <f>Gemini!E15</f>
        <v>7.6111111111111115E-2</v>
      </c>
      <c r="F29" s="8">
        <f>Hollandse_Noord!E15</f>
        <v>7.659200702678963E-2</v>
      </c>
      <c r="G29" s="8">
        <f>Dieppe!E15</f>
        <v>7.6948924731182797E-2</v>
      </c>
      <c r="H29" s="8">
        <f>'Moray Firth'!E15</f>
        <v>5.9706643658326147E-2</v>
      </c>
      <c r="I29" s="8">
        <f>Kriegers!E15</f>
        <v>6.2557870370370375E-2</v>
      </c>
      <c r="J29" s="16">
        <f>'East Anglia One'!E15</f>
        <v>7.1428571428571438E-2</v>
      </c>
      <c r="K29" s="8">
        <f>'Horns Rev'!I15</f>
        <v>4.4135032181794299E-2</v>
      </c>
      <c r="L29" s="8">
        <f>Seagreen!I15</f>
        <v>5.4583333333333338E-2</v>
      </c>
      <c r="M29" s="8">
        <f>Gemini!I15</f>
        <v>5.0777777777777776E-2</v>
      </c>
      <c r="N29" s="8">
        <f>Hollandse_Noord!I15</f>
        <v>5.827843653930611E-2</v>
      </c>
      <c r="O29" s="8">
        <f>Dieppe!I15</f>
        <v>5.9206989247311825E-2</v>
      </c>
      <c r="P29" s="8">
        <f>'Moray Firth'!I15</f>
        <v>5.1107276387690533E-2</v>
      </c>
      <c r="Q29" s="8">
        <f>Kriegers!I15</f>
        <v>4.809027777777778E-2</v>
      </c>
      <c r="R29" s="16">
        <f>'East Anglia One'!I15</f>
        <v>5.4948646125116705E-2</v>
      </c>
      <c r="S29" s="8">
        <f>'Horns Rev'!M15</f>
        <v>4.2471211524147297E-2</v>
      </c>
      <c r="T29" s="8">
        <f>Seagreen!M15</f>
        <v>4.96474358974359E-2</v>
      </c>
      <c r="U29" s="8">
        <f>Gemini!M15</f>
        <v>4.3000000000000003E-2</v>
      </c>
      <c r="V29" s="8">
        <f>Hollandse_Noord!M15</f>
        <v>4.9187527448397016E-2</v>
      </c>
      <c r="W29" s="8">
        <f>Dieppe!M15</f>
        <v>5.1209677419354838E-2</v>
      </c>
      <c r="X29" s="8">
        <f>'Moray Firth'!M15</f>
        <v>4.477998274374461E-2</v>
      </c>
      <c r="Y29" s="8">
        <f>Kriegers!M15</f>
        <v>4.4097222222222225E-2</v>
      </c>
      <c r="Z29" s="16">
        <f>'East Anglia One'!M15</f>
        <v>4.6498599439775912E-2</v>
      </c>
      <c r="AA29" s="8">
        <f>'Horns Rev'!Q15</f>
        <v>4.0938745128946102E-2</v>
      </c>
      <c r="AB29" s="8">
        <f>Seagreen!Q15</f>
        <v>4.7980769230769237E-2</v>
      </c>
      <c r="AC29" s="8">
        <f>Gemini!Q15</f>
        <v>4.094444444444445E-2</v>
      </c>
      <c r="AD29" s="8">
        <f>Hollandse_Noord!Q15</f>
        <v>4.4795783926218712E-2</v>
      </c>
      <c r="AE29" s="8">
        <f>Dieppe!Q15</f>
        <v>4.6505376344086025E-2</v>
      </c>
      <c r="AF29" s="8">
        <f>'Moray Firth'!Q15</f>
        <v>4.0120793787748063E-2</v>
      </c>
      <c r="AG29" s="8">
        <f>Kriegers!Q15</f>
        <v>4.1493055555555554E-2</v>
      </c>
      <c r="AH29" s="16">
        <f>'East Anglia One'!Q15</f>
        <v>2.8804855275443509E-2</v>
      </c>
      <c r="AI29" s="8">
        <f>'Horns Rev'!U15</f>
        <v>3.9318709225447702E-2</v>
      </c>
      <c r="AJ29" s="8">
        <f>Seagreen!U15</f>
        <v>4.4807692307692305E-2</v>
      </c>
      <c r="AK29" s="8">
        <f>Gemini!U15</f>
        <v>3.988888888888889E-2</v>
      </c>
      <c r="AL29" s="8">
        <f>Hollandse_Noord!U15</f>
        <v>4.259991216512956E-2</v>
      </c>
      <c r="AM29" s="8">
        <f>Dieppe!U15</f>
        <v>4.5094086021505379E-2</v>
      </c>
      <c r="AN29" s="8">
        <f>'Moray Firth'!U15</f>
        <v>4.0811044003451251E-2</v>
      </c>
      <c r="AO29" s="8">
        <f>Kriegers!U15</f>
        <v>4.0335648148148148E-2</v>
      </c>
      <c r="AP29" s="16">
        <f>'East Anglia One'!U15</f>
        <v>2.6984126984126982E-2</v>
      </c>
    </row>
    <row r="30" spans="2:42" ht="15.75" customHeight="1">
      <c r="B30" s="10">
        <v>7</v>
      </c>
      <c r="C30" s="8">
        <f>'Horns Rev'!E16</f>
        <v>6.2962476465694653E-2</v>
      </c>
      <c r="D30" s="8">
        <f>Seagreen!E16</f>
        <v>5.3493589743589746E-2</v>
      </c>
      <c r="E30" s="8">
        <f>Gemini!E16</f>
        <v>7.2388888888888878E-2</v>
      </c>
      <c r="F30" s="8">
        <f>Hollandse_Noord!E16</f>
        <v>5.4194115063680277E-2</v>
      </c>
      <c r="G30" s="8">
        <f>Dieppe!E16</f>
        <v>4.7782258064516137E-2</v>
      </c>
      <c r="H30" s="8">
        <f>'Moray Firth'!E16</f>
        <v>4.9439171699741158E-2</v>
      </c>
      <c r="I30" s="8">
        <f>Kriegers!E16</f>
        <v>6.8113425925925938E-2</v>
      </c>
      <c r="J30" s="16">
        <f>'East Anglia One'!E16</f>
        <v>6.0597572362278244E-2</v>
      </c>
      <c r="K30" s="8">
        <f>'Horns Rev'!I16</f>
        <v>4.505451201891502E-2</v>
      </c>
      <c r="L30" s="8">
        <f>Seagreen!I16</f>
        <v>4.1346153846153845E-2</v>
      </c>
      <c r="M30" s="8">
        <f>Gemini!I16</f>
        <v>5.7611111111111113E-2</v>
      </c>
      <c r="N30" s="8">
        <f>Hollandse_Noord!I16</f>
        <v>4.0272288098375054E-2</v>
      </c>
      <c r="O30" s="8">
        <f>Dieppe!I16</f>
        <v>4.0927419354838714E-2</v>
      </c>
      <c r="P30" s="8">
        <f>'Moray Firth'!I16</f>
        <v>3.4339948231233826E-2</v>
      </c>
      <c r="Q30" s="8">
        <f>Kriegers!I16</f>
        <v>4.6354166666666669E-2</v>
      </c>
      <c r="R30" s="16">
        <f>'East Anglia One'!I16</f>
        <v>4.5845004668534077E-2</v>
      </c>
      <c r="S30" s="8">
        <f>'Horns Rev'!M16</f>
        <v>3.8793292175664434E-2</v>
      </c>
      <c r="T30" s="8">
        <f>Seagreen!M16</f>
        <v>3.6570512820512824E-2</v>
      </c>
      <c r="U30" s="8">
        <f>Gemini!M16</f>
        <v>5.3999999999999992E-2</v>
      </c>
      <c r="V30" s="8">
        <f>Hollandse_Noord!M16</f>
        <v>3.5748792270531404E-2</v>
      </c>
      <c r="W30" s="8">
        <f>Dieppe!M16</f>
        <v>3.8104838709677423E-2</v>
      </c>
      <c r="X30" s="8">
        <f>'Moray Firth'!M16</f>
        <v>3.1636468219729652E-2</v>
      </c>
      <c r="Y30" s="8">
        <f>Kriegers!M16</f>
        <v>4.4849537037037035E-2</v>
      </c>
      <c r="Z30" s="16">
        <f>'East Anglia One'!M16</f>
        <v>3.8982259570494865E-2</v>
      </c>
      <c r="AA30" s="8">
        <f>'Horns Rev'!Q16</f>
        <v>3.8530583650772804E-2</v>
      </c>
      <c r="AB30" s="8">
        <f>Seagreen!Q16</f>
        <v>3.3878205128205129E-2</v>
      </c>
      <c r="AC30" s="8">
        <f>Gemini!Q16</f>
        <v>4.8055555555555553E-2</v>
      </c>
      <c r="AD30" s="8">
        <f>Hollandse_Noord!Q16</f>
        <v>3.3552920509442245E-2</v>
      </c>
      <c r="AE30" s="8">
        <f>Dieppe!Q16</f>
        <v>3.7163978494623655E-2</v>
      </c>
      <c r="AF30" s="8">
        <f>'Moray Firth'!Q16</f>
        <v>2.7725050330744894E-2</v>
      </c>
      <c r="AG30" s="8">
        <f>Kriegers!Q16</f>
        <v>4.0104166666666663E-2</v>
      </c>
      <c r="AH30" s="16">
        <f>'East Anglia One'!Q16</f>
        <v>2.4556489262371611E-2</v>
      </c>
      <c r="AI30" s="8">
        <f>'Horns Rev'!U16</f>
        <v>3.7961381846840933E-2</v>
      </c>
      <c r="AJ30" s="8">
        <f>Seagreen!U16</f>
        <v>3.2660256410256411E-2</v>
      </c>
      <c r="AK30" s="8">
        <f>Gemini!U16</f>
        <v>4.5833333333333337E-2</v>
      </c>
      <c r="AL30" s="8">
        <f>Hollandse_Noord!U16</f>
        <v>3.2586736934563022E-2</v>
      </c>
      <c r="AM30" s="8">
        <f>Dieppe!U16</f>
        <v>3.7634408602150532E-2</v>
      </c>
      <c r="AN30" s="8">
        <f>'Moray Firth'!U16</f>
        <v>2.8415300546448086E-2</v>
      </c>
      <c r="AO30" s="8">
        <f>Kriegers!U16</f>
        <v>3.9409722222222221E-2</v>
      </c>
      <c r="AP30" s="16">
        <f>'East Anglia One'!U16</f>
        <v>2.3949579831932771E-2</v>
      </c>
    </row>
    <row r="31" spans="2:42" ht="15.75" customHeight="1">
      <c r="B31" s="2"/>
      <c r="C31" s="2"/>
      <c r="D31" s="2"/>
      <c r="E31" s="2"/>
      <c r="F31" s="2"/>
      <c r="G31" s="2"/>
      <c r="H31" s="2"/>
      <c r="I31" s="2"/>
      <c r="J31" s="10"/>
      <c r="K31" s="9"/>
      <c r="L31" s="2"/>
      <c r="M31" s="2"/>
      <c r="N31" s="2"/>
      <c r="O31" s="2"/>
      <c r="P31" s="2"/>
      <c r="Q31" s="2"/>
      <c r="R31" s="10"/>
      <c r="S31" s="9"/>
      <c r="T31" s="2"/>
      <c r="U31" s="2"/>
      <c r="V31" s="2"/>
      <c r="W31" s="2"/>
      <c r="X31" s="2"/>
      <c r="Y31" s="2"/>
      <c r="Z31" s="10"/>
      <c r="AA31" s="9"/>
      <c r="AB31" s="2"/>
      <c r="AC31" s="2"/>
      <c r="AD31" s="2"/>
      <c r="AE31" s="2"/>
      <c r="AF31" s="2"/>
      <c r="AG31" s="2"/>
      <c r="AH31" s="10"/>
      <c r="AI31" s="9"/>
      <c r="AJ31" s="2"/>
      <c r="AK31" s="2"/>
      <c r="AL31" s="2"/>
      <c r="AM31" s="2"/>
      <c r="AN31" s="2"/>
      <c r="AO31" s="2"/>
      <c r="AP31" s="10"/>
    </row>
    <row r="32" spans="2:42" ht="15.75" customHeight="1">
      <c r="B32" s="2" t="s">
        <v>13</v>
      </c>
      <c r="C32" s="12">
        <f>'Horns Rev'!E18</f>
        <v>5.5322953912261157E-2</v>
      </c>
      <c r="D32" s="12">
        <f>Seagreen!E18</f>
        <v>5.5742722832722837E-2</v>
      </c>
      <c r="E32" s="12">
        <f>Gemini!E18</f>
        <v>5.1560174591067043E-2</v>
      </c>
      <c r="F32" s="12">
        <f>Hollandse_Noord!E18</f>
        <v>5.0243202208419602E-2</v>
      </c>
      <c r="G32" s="12">
        <f>Dieppe!E18</f>
        <v>5.7233358934971841E-2</v>
      </c>
      <c r="H32" s="12">
        <f>'Moray Firth'!E18</f>
        <v>4.8445191630057505E-2</v>
      </c>
      <c r="I32" s="12">
        <f>Kriegers!E18</f>
        <v>5.6222849849087465E-2</v>
      </c>
      <c r="J32" s="17">
        <f>'East Anglia One'!E18</f>
        <v>5.1212553616792188E-2</v>
      </c>
      <c r="K32" s="11">
        <f>'Horns Rev'!I18</f>
        <v>4.3902864179505036E-2</v>
      </c>
      <c r="L32" s="12">
        <f>Seagreen!I18</f>
        <v>4.2440046380252117E-2</v>
      </c>
      <c r="M32" s="12">
        <f>Gemini!I18</f>
        <v>4.0348253014919677E-2</v>
      </c>
      <c r="N32" s="12">
        <f>Hollandse_Noord!I18</f>
        <v>4.088007302379542E-2</v>
      </c>
      <c r="O32" s="12">
        <f>Dieppe!I18</f>
        <v>4.503500500071439E-2</v>
      </c>
      <c r="P32" s="12">
        <f>'Moray Firth'!I18</f>
        <v>4.0611511604257529E-2</v>
      </c>
      <c r="Q32" s="12">
        <f>Kriegers!I18</f>
        <v>4.4633204996984997E-2</v>
      </c>
      <c r="R32" s="17">
        <f>'East Anglia One'!I18</f>
        <v>4.1500908714663588E-2</v>
      </c>
      <c r="S32" s="12">
        <f>'Horns Rev'!M18</f>
        <v>4.0184776808609469E-2</v>
      </c>
      <c r="T32" s="12">
        <f>Seagreen!M18</f>
        <v>3.9175770360882996E-2</v>
      </c>
      <c r="U32" s="12">
        <f>Gemini!M18</f>
        <v>3.6792728758169933E-2</v>
      </c>
      <c r="V32" s="12">
        <f>Hollandse_Noord!M18</f>
        <v>3.6774980568363015E-2</v>
      </c>
      <c r="W32" s="12">
        <f>Dieppe!M18</f>
        <v>4.1863573294156055E-2</v>
      </c>
      <c r="X32" s="12">
        <f>'Moray Firth'!M18</f>
        <v>3.7374674362657255E-2</v>
      </c>
      <c r="Y32" s="12">
        <f>Kriegers!M18</f>
        <v>4.0926396370660569E-2</v>
      </c>
      <c r="Z32" s="17">
        <f>'East Anglia One'!M18</f>
        <v>3.8505922845561785E-2</v>
      </c>
      <c r="AA32" s="11">
        <f>'Horns Rev'!Q18</f>
        <v>3.87325786502088E-2</v>
      </c>
      <c r="AB32" s="12">
        <f>Seagreen!Q18</f>
        <v>3.7184578754578756E-2</v>
      </c>
      <c r="AC32" s="12">
        <f>Gemini!Q18</f>
        <v>3.4385265700483093E-2</v>
      </c>
      <c r="AD32" s="12">
        <f>Hollandse_Noord!Q18</f>
        <v>3.5125817177991091E-2</v>
      </c>
      <c r="AE32" s="12">
        <f>Dieppe!Q18</f>
        <v>4.0303917050691244E-2</v>
      </c>
      <c r="AF32" s="12">
        <f>'Moray Firth'!Q18</f>
        <v>3.5111636903085275E-2</v>
      </c>
      <c r="AG32" s="12">
        <f>Kriegers!Q18</f>
        <v>3.9099119286333729E-2</v>
      </c>
      <c r="AH32" s="17" t="e">
        <f>'East Anglia One'!Q18</f>
        <v>#DIV/0!</v>
      </c>
      <c r="AI32" s="12">
        <f>'Horns Rev'!U18</f>
        <v>3.7977977439057641E-2</v>
      </c>
      <c r="AJ32" s="12">
        <f>Seagreen!U18</f>
        <v>3.5578945517217131E-2</v>
      </c>
      <c r="AK32" s="12">
        <f>Gemini!U18</f>
        <v>3.3434835659269434E-2</v>
      </c>
      <c r="AL32" s="12">
        <f>Hollandse_Noord!U18</f>
        <v>3.4199994819067998E-2</v>
      </c>
      <c r="AM32" s="12">
        <f>Dieppe!U18</f>
        <v>3.9554847559626537E-2</v>
      </c>
      <c r="AN32" s="12">
        <f>'Moray Firth'!U18</f>
        <v>3.401972905900038E-2</v>
      </c>
      <c r="AO32" s="12">
        <f>Kriegers!U18</f>
        <v>3.7610505038966312E-2</v>
      </c>
      <c r="AP32" s="17" t="e">
        <f>'East Anglia One'!U18</f>
        <v>#DIV/0!</v>
      </c>
    </row>
    <row r="33" spans="3:42" ht="15.75" customHeight="1"/>
    <row r="34" spans="3:42" ht="15.75" customHeight="1">
      <c r="C34" s="42" t="e">
        <v>#DIV/0!</v>
      </c>
      <c r="D34" s="42">
        <v>5.4315787545787551E-2</v>
      </c>
      <c r="E34" s="42">
        <v>5.2434719043986777E-2</v>
      </c>
      <c r="F34" s="42">
        <v>4.9170981031850608E-2</v>
      </c>
      <c r="G34" s="42">
        <v>5.5652688172043017E-2</v>
      </c>
      <c r="H34" s="42">
        <v>5.390848696011083E-2</v>
      </c>
      <c r="I34" s="42">
        <v>5.5484661046232821E-2</v>
      </c>
      <c r="J34" s="42">
        <v>6.3569404414474839E-2</v>
      </c>
      <c r="K34" s="42" t="e">
        <v>#DIV/0!</v>
      </c>
      <c r="L34" s="42">
        <v>4.3326313099673587E-2</v>
      </c>
      <c r="M34" s="42">
        <v>4.2875137041803707E-2</v>
      </c>
      <c r="N34" s="42">
        <v>4.0618168490473228E-2</v>
      </c>
      <c r="O34" s="42">
        <v>4.5700854730399275E-2</v>
      </c>
      <c r="P34" s="42">
        <v>4.344366642697587E-2</v>
      </c>
      <c r="Q34" s="42">
        <v>4.3568578620394177E-2</v>
      </c>
      <c r="R34" s="42">
        <v>4.1540576259054662E-2</v>
      </c>
      <c r="S34" s="42" t="e">
        <v>#DIV/0!</v>
      </c>
      <c r="T34" s="42">
        <v>3.955920854366006E-2</v>
      </c>
      <c r="U34" s="42">
        <v>3.6666584967320261E-2</v>
      </c>
      <c r="V34" s="42">
        <v>3.8132141153475733E-2</v>
      </c>
      <c r="W34" s="42">
        <v>4.1761154202605504E-2</v>
      </c>
      <c r="X34" s="42">
        <v>3.7895312897759013E-2</v>
      </c>
      <c r="Y34" s="42">
        <v>4.0955019815358949E-2</v>
      </c>
      <c r="Z34" s="42">
        <v>3.8656947523666017E-2</v>
      </c>
      <c r="AA34" s="42" t="e">
        <v>#DIV/0!</v>
      </c>
      <c r="AB34" s="42">
        <v>3.6995531135531133E-2</v>
      </c>
      <c r="AC34" s="42">
        <v>3.534687261632341E-2</v>
      </c>
      <c r="AD34" s="42">
        <v>3.6614091222786867E-2</v>
      </c>
      <c r="AE34" s="42">
        <v>4.0771620583717361E-2</v>
      </c>
      <c r="AF34" s="42">
        <v>3.6131693099573342E-2</v>
      </c>
      <c r="AG34" s="42">
        <v>3.953316358906022E-2</v>
      </c>
      <c r="AH34" s="42">
        <v>3.4778792537384265E-2</v>
      </c>
      <c r="AI34" s="42" t="e">
        <v>#DIV/0!</v>
      </c>
      <c r="AJ34" s="42">
        <v>3.6111550772044594E-2</v>
      </c>
      <c r="AK34" s="42">
        <v>3.3695759932891027E-2</v>
      </c>
      <c r="AL34" s="42">
        <v>3.5087500519599281E-2</v>
      </c>
      <c r="AM34" s="42">
        <v>3.8759229494233494E-2</v>
      </c>
      <c r="AN34" s="42">
        <v>3.5033123906041373E-2</v>
      </c>
      <c r="AO34" s="42">
        <v>3.7398736767953696E-2</v>
      </c>
      <c r="AP34" s="42">
        <v>3.4361114790901509E-2</v>
      </c>
    </row>
    <row r="35" spans="3:42" ht="15.75" customHeight="1"/>
    <row r="36" spans="3:42" ht="15.75" customHeight="1"/>
    <row r="37" spans="3:42" ht="15.75" customHeight="1"/>
    <row r="38" spans="3:42" ht="15.75" customHeight="1"/>
    <row r="39" spans="3:42" ht="15.75" customHeight="1"/>
    <row r="40" spans="3:42" ht="15.75" customHeight="1"/>
    <row r="41" spans="3:42" ht="15.75" customHeight="1"/>
    <row r="42" spans="3:42" ht="15.75" customHeight="1"/>
    <row r="43" spans="3:42" ht="15.75" customHeight="1"/>
    <row r="44" spans="3:42" ht="15.75" customHeight="1"/>
    <row r="45" spans="3:42" ht="15.75" customHeight="1"/>
    <row r="46" spans="3:42" ht="15.75" customHeight="1"/>
    <row r="47" spans="3:42" ht="15.75" customHeight="1"/>
    <row r="48" spans="3:4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S21:Z21"/>
    <mergeCell ref="AA21:AH21"/>
    <mergeCell ref="AI21:AP21"/>
    <mergeCell ref="F7:H7"/>
    <mergeCell ref="I7:K7"/>
    <mergeCell ref="L7:N7"/>
    <mergeCell ref="O7:Q7"/>
    <mergeCell ref="C21:J21"/>
    <mergeCell ref="K21:R21"/>
    <mergeCell ref="C7:E7"/>
  </mergeCells>
  <pageMargins left="0.7" right="0.7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3:Y1000"/>
  <sheetViews>
    <sheetView workbookViewId="0">
      <selection activeCell="L5" sqref="L5"/>
    </sheetView>
  </sheetViews>
  <sheetFormatPr baseColWidth="10" defaultColWidth="14.42578125" defaultRowHeight="15" customHeight="1"/>
  <cols>
    <col min="1" max="1" width="10.7109375" customWidth="1"/>
    <col min="2" max="2" width="12.5703125" customWidth="1"/>
    <col min="3" max="26" width="10.7109375" customWidth="1"/>
  </cols>
  <sheetData>
    <row r="3" spans="1:25">
      <c r="B3" s="6">
        <v>17513</v>
      </c>
      <c r="C3" s="6" t="s">
        <v>14</v>
      </c>
      <c r="D3" s="6">
        <v>461</v>
      </c>
      <c r="E3" s="6" t="s">
        <v>15</v>
      </c>
    </row>
    <row r="4" spans="1:25">
      <c r="A4" s="6" t="s">
        <v>16</v>
      </c>
    </row>
    <row r="5" spans="1:25">
      <c r="A5" s="6">
        <v>761.3</v>
      </c>
    </row>
    <row r="7" spans="1:25">
      <c r="A7" s="6" t="s">
        <v>4</v>
      </c>
      <c r="D7" s="32">
        <v>0.1</v>
      </c>
      <c r="E7" s="30"/>
      <c r="F7" s="30"/>
      <c r="G7" s="18"/>
      <c r="H7" s="32">
        <v>0.2</v>
      </c>
      <c r="I7" s="30"/>
      <c r="J7" s="30"/>
      <c r="K7" s="18"/>
      <c r="L7" s="32">
        <v>0.3</v>
      </c>
      <c r="M7" s="30"/>
      <c r="N7" s="30"/>
      <c r="O7" s="18"/>
      <c r="P7" s="32">
        <v>0.4</v>
      </c>
      <c r="Q7" s="30"/>
      <c r="R7" s="30"/>
      <c r="S7" s="18"/>
      <c r="T7" s="32">
        <v>0.5</v>
      </c>
      <c r="U7" s="30"/>
      <c r="V7" s="30"/>
      <c r="W7" s="1"/>
      <c r="X7" s="2"/>
      <c r="Y7" s="2"/>
    </row>
    <row r="8" spans="1:25" ht="15.75" thickBot="1">
      <c r="B8" s="3" t="s">
        <v>0</v>
      </c>
      <c r="C8" s="19" t="s">
        <v>17</v>
      </c>
      <c r="D8" s="4" t="s">
        <v>1</v>
      </c>
      <c r="E8" s="3" t="s">
        <v>2</v>
      </c>
      <c r="F8" s="3" t="s">
        <v>3</v>
      </c>
      <c r="G8" s="19" t="s">
        <v>17</v>
      </c>
      <c r="H8" s="4" t="s">
        <v>1</v>
      </c>
      <c r="I8" s="3" t="s">
        <v>2</v>
      </c>
      <c r="J8" s="3" t="s">
        <v>3</v>
      </c>
      <c r="K8" s="19" t="s">
        <v>17</v>
      </c>
      <c r="L8" s="3" t="s">
        <v>1</v>
      </c>
      <c r="M8" s="3" t="s">
        <v>2</v>
      </c>
      <c r="N8" s="3" t="s">
        <v>3</v>
      </c>
      <c r="O8" s="19" t="s">
        <v>17</v>
      </c>
      <c r="P8" s="3" t="s">
        <v>1</v>
      </c>
      <c r="Q8" s="3" t="s">
        <v>2</v>
      </c>
      <c r="R8" s="3" t="s">
        <v>3</v>
      </c>
      <c r="S8" s="19" t="s">
        <v>17</v>
      </c>
      <c r="T8" s="3" t="s">
        <v>1</v>
      </c>
      <c r="U8" s="3" t="s">
        <v>2</v>
      </c>
      <c r="V8" s="3" t="s">
        <v>3</v>
      </c>
    </row>
    <row r="9" spans="1:25">
      <c r="B9" s="6">
        <v>0</v>
      </c>
      <c r="C9" s="24">
        <f t="shared" ref="C9:V9" si="0">AVERAGE(C26,C42,C58)</f>
        <v>1433.3333333333333</v>
      </c>
      <c r="D9" s="25">
        <f t="shared" si="0"/>
        <v>42.533333333333331</v>
      </c>
      <c r="E9" s="21">
        <f>AVERAGE(E26,E42,E58)</f>
        <v>5.5869346293620559E-2</v>
      </c>
      <c r="F9" s="40">
        <f t="shared" si="0"/>
        <v>0.77400000000000002</v>
      </c>
      <c r="G9" s="24">
        <f t="shared" si="0"/>
        <v>1291.6666666666667</v>
      </c>
      <c r="H9" s="25">
        <f t="shared" si="0"/>
        <v>35.633333333333333</v>
      </c>
      <c r="I9" s="21">
        <f t="shared" si="0"/>
        <v>4.6805902184859229E-2</v>
      </c>
      <c r="J9" s="40">
        <f t="shared" si="0"/>
        <v>0.83733333333333337</v>
      </c>
      <c r="K9" s="24">
        <f t="shared" si="0"/>
        <v>1235</v>
      </c>
      <c r="L9" s="25">
        <f t="shared" si="0"/>
        <v>33.366666666666667</v>
      </c>
      <c r="M9" s="21">
        <f t="shared" si="0"/>
        <v>4.3828538902754066E-2</v>
      </c>
      <c r="N9" s="40">
        <f t="shared" si="0"/>
        <v>0.87433333333333341</v>
      </c>
      <c r="O9" s="24">
        <f t="shared" si="0"/>
        <v>1108.3333333333333</v>
      </c>
      <c r="P9" s="25">
        <f t="shared" si="0"/>
        <v>31.899999999999995</v>
      </c>
      <c r="Q9" s="21">
        <f t="shared" si="0"/>
        <v>4.1902009720215426E-2</v>
      </c>
      <c r="R9" s="40">
        <f t="shared" si="0"/>
        <v>0.88833333333333331</v>
      </c>
      <c r="S9" s="24">
        <f t="shared" si="0"/>
        <v>958.33333333333337</v>
      </c>
      <c r="T9" s="25">
        <f t="shared" si="0"/>
        <v>31.433333333333334</v>
      </c>
      <c r="U9" s="21">
        <f t="shared" si="0"/>
        <v>4.1289023162134945E-2</v>
      </c>
      <c r="V9" s="40">
        <f t="shared" si="0"/>
        <v>0.89450000000000007</v>
      </c>
    </row>
    <row r="10" spans="1:25">
      <c r="B10" s="6">
        <v>1</v>
      </c>
      <c r="C10" s="24">
        <f t="shared" ref="C10:V10" si="1">AVERAGE(C27,C43,C59)</f>
        <v>2201.6666666666665</v>
      </c>
      <c r="D10" s="25">
        <f t="shared" si="1"/>
        <v>34.9</v>
      </c>
      <c r="E10" s="21">
        <f t="shared" si="1"/>
        <v>4.5842637593589919E-2</v>
      </c>
      <c r="F10" s="40">
        <f t="shared" si="1"/>
        <v>0.88166666666666671</v>
      </c>
      <c r="G10" s="24">
        <f t="shared" si="1"/>
        <v>1943.3333333333333</v>
      </c>
      <c r="H10" s="25">
        <f t="shared" si="1"/>
        <v>33</v>
      </c>
      <c r="I10" s="21">
        <f t="shared" si="1"/>
        <v>4.3346906607119408E-2</v>
      </c>
      <c r="J10" s="40">
        <f t="shared" si="1"/>
        <v>0.88400000000000001</v>
      </c>
      <c r="K10" s="24">
        <f t="shared" si="1"/>
        <v>1643.3333333333333</v>
      </c>
      <c r="L10" s="25">
        <f t="shared" si="1"/>
        <v>29.5</v>
      </c>
      <c r="M10" s="21">
        <f t="shared" si="1"/>
        <v>3.8749507421515832E-2</v>
      </c>
      <c r="N10" s="40">
        <f t="shared" si="1"/>
        <v>0.89366666666666672</v>
      </c>
      <c r="O10" s="24">
        <f t="shared" si="1"/>
        <v>1368.3333333333333</v>
      </c>
      <c r="P10" s="25">
        <f t="shared" si="1"/>
        <v>29.766666666666666</v>
      </c>
      <c r="Q10" s="21">
        <f t="shared" si="1"/>
        <v>3.9099785454704668E-2</v>
      </c>
      <c r="R10" s="40">
        <f t="shared" si="1"/>
        <v>0.88099999999999989</v>
      </c>
      <c r="S10" s="24">
        <f t="shared" si="1"/>
        <v>1098.3333333333333</v>
      </c>
      <c r="T10" s="25">
        <f t="shared" si="1"/>
        <v>28.900000000000002</v>
      </c>
      <c r="U10" s="21">
        <f t="shared" si="1"/>
        <v>3.7961381846840926E-2</v>
      </c>
      <c r="V10" s="40">
        <f t="shared" si="1"/>
        <v>0.89</v>
      </c>
    </row>
    <row r="11" spans="1:25">
      <c r="B11" s="6">
        <v>2</v>
      </c>
      <c r="C11" s="24">
        <f t="shared" ref="C11:V11" si="2">AVERAGE(C28,C44,C60)</f>
        <v>1498.3333333333333</v>
      </c>
      <c r="D11" s="25">
        <f t="shared" si="2"/>
        <v>44.433333333333337</v>
      </c>
      <c r="E11" s="21">
        <f t="shared" si="2"/>
        <v>5.8365077280091077E-2</v>
      </c>
      <c r="F11" s="40">
        <f t="shared" si="2"/>
        <v>0.94999999999999984</v>
      </c>
      <c r="G11" s="24">
        <f t="shared" si="2"/>
        <v>1351.6666666666667</v>
      </c>
      <c r="H11" s="25">
        <f t="shared" si="2"/>
        <v>30.566666666666666</v>
      </c>
      <c r="I11" s="21">
        <f t="shared" si="2"/>
        <v>4.0150619554271204E-2</v>
      </c>
      <c r="J11" s="40">
        <f t="shared" si="2"/>
        <v>0.97499999999999998</v>
      </c>
      <c r="K11" s="24">
        <f t="shared" si="2"/>
        <v>1181.6666666666667</v>
      </c>
      <c r="L11" s="25">
        <f t="shared" si="2"/>
        <v>26.166666666666668</v>
      </c>
      <c r="M11" s="21">
        <f t="shared" si="2"/>
        <v>3.437103200665529E-2</v>
      </c>
      <c r="N11" s="40">
        <f t="shared" si="2"/>
        <v>0.98066666666666658</v>
      </c>
      <c r="O11" s="24">
        <f t="shared" si="2"/>
        <v>1013.3333333333334</v>
      </c>
      <c r="P11" s="25">
        <f t="shared" si="2"/>
        <v>25.599999999999998</v>
      </c>
      <c r="Q11" s="21">
        <f t="shared" si="2"/>
        <v>3.3626691186128987E-2</v>
      </c>
      <c r="R11" s="40">
        <f t="shared" si="2"/>
        <v>0.9820000000000001</v>
      </c>
      <c r="S11" s="24">
        <f t="shared" si="2"/>
        <v>828.33333333333337</v>
      </c>
      <c r="T11" s="25">
        <f t="shared" si="2"/>
        <v>24.433333333333334</v>
      </c>
      <c r="U11" s="21">
        <f t="shared" si="2"/>
        <v>3.20942247909278E-2</v>
      </c>
      <c r="V11" s="40">
        <f t="shared" si="2"/>
        <v>0.98249999999999993</v>
      </c>
    </row>
    <row r="12" spans="1:25">
      <c r="B12" s="6">
        <v>3</v>
      </c>
      <c r="C12" s="24">
        <f t="shared" ref="C12:V12" si="3">AVERAGE(C29,C45,C61)</f>
        <v>1871.6666666666667</v>
      </c>
      <c r="D12" s="25">
        <f t="shared" si="3"/>
        <v>40.900000000000006</v>
      </c>
      <c r="E12" s="21">
        <f t="shared" si="3"/>
        <v>5.3723893340338898E-2</v>
      </c>
      <c r="F12" s="40">
        <f t="shared" si="3"/>
        <v>0.90200000000000014</v>
      </c>
      <c r="G12" s="24">
        <f t="shared" si="3"/>
        <v>1698.3333333333333</v>
      </c>
      <c r="H12" s="25">
        <f t="shared" si="3"/>
        <v>35.766666666666666</v>
      </c>
      <c r="I12" s="21">
        <f t="shared" si="3"/>
        <v>4.6981041201453654E-2</v>
      </c>
      <c r="J12" s="40">
        <f t="shared" si="3"/>
        <v>0.92933333333333323</v>
      </c>
      <c r="K12" s="24">
        <f t="shared" si="3"/>
        <v>1470</v>
      </c>
      <c r="L12" s="25">
        <f t="shared" si="3"/>
        <v>33.666666666666664</v>
      </c>
      <c r="M12" s="21">
        <f t="shared" si="3"/>
        <v>4.4222601690091512E-2</v>
      </c>
      <c r="N12" s="40">
        <f t="shared" si="3"/>
        <v>0.93233333333333335</v>
      </c>
      <c r="O12" s="24">
        <f t="shared" si="3"/>
        <v>1211.6666666666667</v>
      </c>
      <c r="P12" s="25">
        <f t="shared" si="3"/>
        <v>31.033333333333331</v>
      </c>
      <c r="Q12" s="21">
        <f t="shared" si="3"/>
        <v>4.0763606112351684E-2</v>
      </c>
      <c r="R12" s="40">
        <f t="shared" si="3"/>
        <v>0.93933333333333335</v>
      </c>
      <c r="S12" s="24">
        <f t="shared" si="3"/>
        <v>1013.3333333333334</v>
      </c>
      <c r="T12" s="25">
        <f t="shared" si="3"/>
        <v>30.7</v>
      </c>
      <c r="U12" s="21">
        <f t="shared" si="3"/>
        <v>4.0325758570865629E-2</v>
      </c>
      <c r="V12" s="40">
        <f t="shared" si="3"/>
        <v>0.94199999999999995</v>
      </c>
    </row>
    <row r="13" spans="1:25">
      <c r="B13" s="6">
        <v>4</v>
      </c>
      <c r="C13" s="24">
        <f t="shared" ref="C13:V13" si="4">AVERAGE(C30,C46,C62)</f>
        <v>2335</v>
      </c>
      <c r="D13" s="25">
        <f t="shared" si="4"/>
        <v>41.199999999999996</v>
      </c>
      <c r="E13" s="21">
        <f t="shared" si="4"/>
        <v>5.4117956127676344E-2</v>
      </c>
      <c r="F13" s="40">
        <f t="shared" si="4"/>
        <v>0.95199999999999996</v>
      </c>
      <c r="G13" s="24">
        <f t="shared" si="4"/>
        <v>2098.3333333333335</v>
      </c>
      <c r="H13" s="25">
        <f t="shared" si="4"/>
        <v>32.9</v>
      </c>
      <c r="I13" s="21">
        <f t="shared" si="4"/>
        <v>4.3215552344673593E-2</v>
      </c>
      <c r="J13" s="40">
        <f t="shared" si="4"/>
        <v>0.96833333333333327</v>
      </c>
      <c r="K13" s="24">
        <f t="shared" si="4"/>
        <v>1796.6666666666667</v>
      </c>
      <c r="L13" s="25">
        <f t="shared" si="4"/>
        <v>29.2</v>
      </c>
      <c r="M13" s="21">
        <f t="shared" si="4"/>
        <v>3.8355444634178386E-2</v>
      </c>
      <c r="N13" s="40">
        <f t="shared" si="4"/>
        <v>0.97399999999999987</v>
      </c>
      <c r="O13" s="24">
        <f t="shared" si="4"/>
        <v>1576.6666666666667</v>
      </c>
      <c r="P13" s="25">
        <f t="shared" si="4"/>
        <v>28.266666666666666</v>
      </c>
      <c r="Q13" s="21">
        <f t="shared" si="4"/>
        <v>3.7129471518017432E-2</v>
      </c>
      <c r="R13" s="40">
        <f t="shared" si="4"/>
        <v>0.97466666666666668</v>
      </c>
      <c r="S13" s="24">
        <f t="shared" si="4"/>
        <v>1326.6666666666667</v>
      </c>
      <c r="T13" s="25">
        <f t="shared" si="4"/>
        <v>27.966666666666669</v>
      </c>
      <c r="U13" s="21">
        <f t="shared" si="4"/>
        <v>3.6735408730679979E-2</v>
      </c>
      <c r="V13" s="40">
        <f t="shared" si="4"/>
        <v>0.97599999999999998</v>
      </c>
    </row>
    <row r="14" spans="1:25">
      <c r="B14" s="6">
        <v>5</v>
      </c>
      <c r="C14" s="24">
        <f t="shared" ref="C14:V14" si="5">AVERAGE(C31,C47,C63)</f>
        <v>1321.6666666666667</v>
      </c>
      <c r="D14" s="25">
        <f t="shared" si="5"/>
        <v>40.800000000000004</v>
      </c>
      <c r="E14" s="21">
        <f t="shared" si="5"/>
        <v>5.3592539077893082E-2</v>
      </c>
      <c r="F14" s="40">
        <f t="shared" si="5"/>
        <v>0.91800000000000015</v>
      </c>
      <c r="G14" s="24">
        <f t="shared" si="5"/>
        <v>1118.3333333333333</v>
      </c>
      <c r="H14" s="25">
        <f t="shared" si="5"/>
        <v>31.5</v>
      </c>
      <c r="I14" s="21">
        <f t="shared" si="5"/>
        <v>4.1376592670432158E-2</v>
      </c>
      <c r="J14" s="40">
        <f t="shared" si="5"/>
        <v>0.94633333333333314</v>
      </c>
      <c r="K14" s="24">
        <f t="shared" si="5"/>
        <v>981.66666666666663</v>
      </c>
      <c r="L14" s="25">
        <f t="shared" si="5"/>
        <v>30.866666666666664</v>
      </c>
      <c r="M14" s="21">
        <f t="shared" si="5"/>
        <v>4.0544682341608657E-2</v>
      </c>
      <c r="N14" s="40">
        <f t="shared" si="5"/>
        <v>0.94599999999999984</v>
      </c>
      <c r="O14" s="24">
        <f t="shared" si="5"/>
        <v>881.66666666666663</v>
      </c>
      <c r="P14" s="25">
        <f t="shared" si="5"/>
        <v>28.7</v>
      </c>
      <c r="Q14" s="21">
        <f t="shared" si="5"/>
        <v>3.7698673321949296E-2</v>
      </c>
      <c r="R14" s="40">
        <f t="shared" si="5"/>
        <v>0.95466666666666666</v>
      </c>
      <c r="S14" s="24">
        <f t="shared" si="5"/>
        <v>751.66666666666663</v>
      </c>
      <c r="T14" s="25">
        <f t="shared" si="5"/>
        <v>28.866666666666664</v>
      </c>
      <c r="U14" s="21">
        <f t="shared" si="5"/>
        <v>3.7917597092692323E-2</v>
      </c>
      <c r="V14" s="40">
        <f t="shared" si="5"/>
        <v>0.95899999999999996</v>
      </c>
    </row>
    <row r="15" spans="1:25">
      <c r="B15" s="6">
        <v>6</v>
      </c>
      <c r="C15" s="24">
        <f t="shared" ref="C15:V15" si="6">AVERAGE(C32,C48,C64)</f>
        <v>1505</v>
      </c>
      <c r="D15" s="25">
        <f t="shared" si="6"/>
        <v>50.29999999999999</v>
      </c>
      <c r="E15" s="21">
        <f t="shared" si="6"/>
        <v>6.6071194010245637E-2</v>
      </c>
      <c r="F15" s="40">
        <f t="shared" si="6"/>
        <v>0.94000000000000006</v>
      </c>
      <c r="G15" s="24">
        <f t="shared" si="6"/>
        <v>1320</v>
      </c>
      <c r="H15" s="25">
        <f t="shared" si="6"/>
        <v>33.6</v>
      </c>
      <c r="I15" s="21">
        <f t="shared" si="6"/>
        <v>4.4135032181794299E-2</v>
      </c>
      <c r="J15" s="40">
        <f t="shared" si="6"/>
        <v>0.97033333333333338</v>
      </c>
      <c r="K15" s="24">
        <f t="shared" si="6"/>
        <v>1156.6666666666667</v>
      </c>
      <c r="L15" s="25">
        <f t="shared" si="6"/>
        <v>32.333333333333336</v>
      </c>
      <c r="M15" s="21">
        <f t="shared" si="6"/>
        <v>4.2471211524147297E-2</v>
      </c>
      <c r="N15" s="40">
        <f t="shared" si="6"/>
        <v>0.97199999999999998</v>
      </c>
      <c r="O15" s="24">
        <f t="shared" si="6"/>
        <v>963.33333333333337</v>
      </c>
      <c r="P15" s="25">
        <f t="shared" si="6"/>
        <v>31.166666666666668</v>
      </c>
      <c r="Q15" s="21">
        <f t="shared" si="6"/>
        <v>4.0938745128946102E-2</v>
      </c>
      <c r="R15" s="40">
        <f t="shared" si="6"/>
        <v>0.97366666666666657</v>
      </c>
      <c r="S15" s="24">
        <f t="shared" si="6"/>
        <v>791.66666666666663</v>
      </c>
      <c r="T15" s="25">
        <f t="shared" si="6"/>
        <v>29.933333333333334</v>
      </c>
      <c r="U15" s="21">
        <f t="shared" si="6"/>
        <v>3.9318709225447702E-2</v>
      </c>
      <c r="V15" s="40">
        <f t="shared" si="6"/>
        <v>0.97249999999999992</v>
      </c>
    </row>
    <row r="16" spans="1:25">
      <c r="B16" s="6">
        <v>7</v>
      </c>
      <c r="C16" s="24">
        <f t="shared" ref="C16:V16" si="7">AVERAGE(C33,C49,C65)</f>
        <v>963.33333333333337</v>
      </c>
      <c r="D16" s="25">
        <f t="shared" si="7"/>
        <v>47.933333333333337</v>
      </c>
      <c r="E16" s="21">
        <f t="shared" si="7"/>
        <v>6.2962476465694653E-2</v>
      </c>
      <c r="F16" s="40">
        <f t="shared" si="7"/>
        <v>0.88566666666666671</v>
      </c>
      <c r="G16" s="24">
        <f t="shared" si="7"/>
        <v>848.33333333333337</v>
      </c>
      <c r="H16" s="25">
        <f t="shared" si="7"/>
        <v>34.300000000000004</v>
      </c>
      <c r="I16" s="21">
        <f t="shared" si="7"/>
        <v>4.505451201891502E-2</v>
      </c>
      <c r="J16" s="40">
        <f t="shared" si="7"/>
        <v>0.94233333333333336</v>
      </c>
      <c r="K16" s="24">
        <f t="shared" si="7"/>
        <v>745</v>
      </c>
      <c r="L16" s="25">
        <f t="shared" si="7"/>
        <v>29.533333333333331</v>
      </c>
      <c r="M16" s="21">
        <f t="shared" si="7"/>
        <v>3.8793292175664434E-2</v>
      </c>
      <c r="N16" s="40">
        <f t="shared" si="7"/>
        <v>0.95466666666666666</v>
      </c>
      <c r="O16" s="24">
        <f t="shared" si="7"/>
        <v>631.66666666666663</v>
      </c>
      <c r="P16" s="25">
        <f t="shared" si="7"/>
        <v>29.333333333333332</v>
      </c>
      <c r="Q16" s="21">
        <f t="shared" si="7"/>
        <v>3.8530583650772804E-2</v>
      </c>
      <c r="R16" s="40">
        <f t="shared" si="7"/>
        <v>0.95899999999999996</v>
      </c>
      <c r="S16" s="24">
        <f t="shared" si="7"/>
        <v>526.66666666666663</v>
      </c>
      <c r="T16" s="25">
        <f t="shared" si="7"/>
        <v>28.900000000000002</v>
      </c>
      <c r="U16" s="21">
        <f t="shared" si="7"/>
        <v>3.7961381846840933E-2</v>
      </c>
      <c r="V16" s="40">
        <f t="shared" si="7"/>
        <v>0.96150000000000002</v>
      </c>
    </row>
    <row r="17" spans="1:22">
      <c r="C17" s="20"/>
      <c r="D17" s="20"/>
      <c r="E17" s="20"/>
      <c r="F17" s="20"/>
      <c r="G17" s="24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</row>
    <row r="18" spans="1:22">
      <c r="B18" s="6" t="s">
        <v>4</v>
      </c>
      <c r="C18" s="20"/>
      <c r="D18" s="22">
        <f t="shared" ref="D18:V18" si="8">AVERAGE(D35,D51,D67)</f>
        <v>42.117364813404414</v>
      </c>
      <c r="E18" s="43">
        <f t="shared" si="8"/>
        <v>5.5322953912261157E-2</v>
      </c>
      <c r="F18" s="20" t="e">
        <f>AVERAGE(F35,F51,F67)</f>
        <v>#DIV/0!</v>
      </c>
      <c r="G18" s="20" t="e">
        <f t="shared" si="8"/>
        <v>#DIV/0!</v>
      </c>
      <c r="H18" s="22">
        <f t="shared" si="8"/>
        <v>33.423250499857183</v>
      </c>
      <c r="I18" s="43">
        <f t="shared" si="8"/>
        <v>4.3902864179505036E-2</v>
      </c>
      <c r="J18" s="20" t="e">
        <f t="shared" si="8"/>
        <v>#DIV/0!</v>
      </c>
      <c r="K18" s="20" t="e">
        <f t="shared" si="8"/>
        <v>#DIV/0!</v>
      </c>
      <c r="L18" s="22">
        <f t="shared" si="8"/>
        <v>30.592670584394384</v>
      </c>
      <c r="M18" s="43">
        <f t="shared" si="8"/>
        <v>4.0184776808609469E-2</v>
      </c>
      <c r="N18" s="20" t="e">
        <f t="shared" si="8"/>
        <v>#DIV/0!</v>
      </c>
      <c r="O18" s="20" t="e">
        <f t="shared" si="8"/>
        <v>#DIV/0!</v>
      </c>
      <c r="P18" s="22">
        <f t="shared" si="8"/>
        <v>29.487112126403961</v>
      </c>
      <c r="Q18" s="43">
        <f t="shared" si="8"/>
        <v>3.87325786502088E-2</v>
      </c>
      <c r="R18" s="20" t="e">
        <f t="shared" si="8"/>
        <v>#DIV/0!</v>
      </c>
      <c r="S18" s="20" t="e">
        <f t="shared" si="8"/>
        <v>#DIV/0!</v>
      </c>
      <c r="T18" s="22">
        <f t="shared" si="8"/>
        <v>28.91263422435458</v>
      </c>
      <c r="U18" s="43">
        <f t="shared" si="8"/>
        <v>3.7977977439057641E-2</v>
      </c>
      <c r="V18" s="20" t="e">
        <f t="shared" si="8"/>
        <v>#DIV/0!</v>
      </c>
    </row>
    <row r="20" spans="1:22">
      <c r="C20" s="6">
        <f>SUM(C9:C16)</f>
        <v>13130</v>
      </c>
      <c r="G20" s="6">
        <f>SUM(G9:G16)</f>
        <v>11670.000000000002</v>
      </c>
      <c r="K20" s="6">
        <f>SUM(K9:K16)</f>
        <v>10210</v>
      </c>
      <c r="O20" s="6">
        <f>SUM(O9:O16)</f>
        <v>8755</v>
      </c>
      <c r="S20" s="6">
        <f>SUM(S9:S16)</f>
        <v>7295.0000000000009</v>
      </c>
    </row>
    <row r="21" spans="1:22" ht="15.75" customHeight="1">
      <c r="C21" s="6">
        <f>C20/($B$3-$D$3)</f>
        <v>0.76999765423410749</v>
      </c>
      <c r="G21" s="6">
        <f>G20/($B$3-$D$3)</f>
        <v>0.68437719915552442</v>
      </c>
    </row>
    <row r="22" spans="1:22" ht="15.75" customHeight="1"/>
    <row r="23" spans="1:22" ht="15.75" customHeight="1"/>
    <row r="24" spans="1:22" ht="15.75" customHeight="1">
      <c r="A24" s="6" t="s">
        <v>18</v>
      </c>
      <c r="D24" s="32">
        <v>0.1</v>
      </c>
      <c r="E24" s="30"/>
      <c r="F24" s="30"/>
      <c r="G24" s="18"/>
      <c r="H24" s="32">
        <v>0.2</v>
      </c>
      <c r="I24" s="30"/>
      <c r="J24" s="30"/>
      <c r="K24" s="18"/>
      <c r="L24" s="32">
        <v>0.3</v>
      </c>
      <c r="M24" s="30"/>
      <c r="N24" s="30"/>
      <c r="O24" s="18"/>
      <c r="P24" s="32">
        <v>0.4</v>
      </c>
      <c r="Q24" s="30"/>
      <c r="R24" s="30"/>
      <c r="S24" s="18"/>
      <c r="T24" s="32">
        <v>0.5</v>
      </c>
      <c r="U24" s="30"/>
      <c r="V24" s="30"/>
    </row>
    <row r="25" spans="1:22" ht="15.75" customHeight="1">
      <c r="B25" s="3" t="s">
        <v>0</v>
      </c>
      <c r="C25" s="19" t="s">
        <v>17</v>
      </c>
      <c r="D25" s="4" t="s">
        <v>1</v>
      </c>
      <c r="E25" s="3" t="s">
        <v>2</v>
      </c>
      <c r="F25" s="3" t="s">
        <v>3</v>
      </c>
      <c r="G25" s="19" t="s">
        <v>17</v>
      </c>
      <c r="H25" s="4" t="s">
        <v>1</v>
      </c>
      <c r="I25" s="3" t="s">
        <v>2</v>
      </c>
      <c r="J25" s="3" t="s">
        <v>3</v>
      </c>
      <c r="K25" s="19" t="s">
        <v>17</v>
      </c>
      <c r="L25" s="3" t="s">
        <v>1</v>
      </c>
      <c r="M25" s="3" t="s">
        <v>2</v>
      </c>
      <c r="N25" s="3" t="s">
        <v>3</v>
      </c>
      <c r="O25" s="19" t="s">
        <v>17</v>
      </c>
      <c r="P25" s="3" t="s">
        <v>1</v>
      </c>
      <c r="Q25" s="3" t="s">
        <v>2</v>
      </c>
      <c r="R25" s="3" t="s">
        <v>3</v>
      </c>
      <c r="S25" s="19" t="s">
        <v>17</v>
      </c>
      <c r="T25" s="3" t="s">
        <v>1</v>
      </c>
      <c r="U25" s="3" t="s">
        <v>2</v>
      </c>
      <c r="V25" s="3" t="s">
        <v>3</v>
      </c>
    </row>
    <row r="26" spans="1:22" ht="15.75" customHeight="1">
      <c r="B26" s="6">
        <v>0</v>
      </c>
      <c r="C26" s="20">
        <v>1520</v>
      </c>
      <c r="D26" s="9">
        <v>41.9</v>
      </c>
      <c r="E26" s="8">
        <f t="shared" ref="E26:E33" si="9">D26/$A$5</f>
        <v>5.5037435964797057E-2</v>
      </c>
      <c r="F26" s="41">
        <v>0.78600000000000003</v>
      </c>
      <c r="G26" s="9">
        <v>1365</v>
      </c>
      <c r="H26" s="9">
        <v>36.200000000000003</v>
      </c>
      <c r="I26" s="8">
        <f t="shared" ref="I26:I33" si="10">H26/$A$5</f>
        <v>4.7550243005385531E-2</v>
      </c>
      <c r="J26" s="41">
        <v>0.85399999999999998</v>
      </c>
      <c r="K26" s="20">
        <v>1340</v>
      </c>
      <c r="L26" s="41">
        <v>33.9</v>
      </c>
      <c r="M26" s="8">
        <f t="shared" ref="M26:M33" si="11">L26/$A$5</f>
        <v>4.4529094969131752E-2</v>
      </c>
      <c r="N26" s="41">
        <v>0.89</v>
      </c>
      <c r="O26" s="20">
        <v>1185</v>
      </c>
      <c r="P26" s="41">
        <v>31.7</v>
      </c>
      <c r="Q26" s="8">
        <f t="shared" ref="Q26:Q33" si="12">P26/$A$5</f>
        <v>4.1639301195323788E-2</v>
      </c>
      <c r="R26" s="41">
        <v>0.89800000000000002</v>
      </c>
      <c r="S26" s="20">
        <v>1015</v>
      </c>
      <c r="T26" s="41">
        <v>31.5</v>
      </c>
      <c r="U26" s="8">
        <f t="shared" ref="U26:U33" si="13">T26/$A$5</f>
        <v>4.1376592670432158E-2</v>
      </c>
      <c r="V26" s="41"/>
    </row>
    <row r="27" spans="1:22" ht="15.75" customHeight="1">
      <c r="B27" s="6">
        <v>1</v>
      </c>
      <c r="C27" s="20">
        <v>2105</v>
      </c>
      <c r="D27" s="9">
        <v>34.4</v>
      </c>
      <c r="E27" s="8">
        <f t="shared" si="9"/>
        <v>4.5185866281360829E-2</v>
      </c>
      <c r="F27" s="41">
        <v>0.87</v>
      </c>
      <c r="G27" s="9">
        <v>1880</v>
      </c>
      <c r="H27" s="9">
        <v>32.6</v>
      </c>
      <c r="I27" s="8">
        <f t="shared" si="10"/>
        <v>4.282148955733614E-2</v>
      </c>
      <c r="J27" s="41">
        <v>0.873</v>
      </c>
      <c r="K27" s="20">
        <v>1570</v>
      </c>
      <c r="L27" s="41">
        <v>29.6</v>
      </c>
      <c r="M27" s="8">
        <f t="shared" si="11"/>
        <v>3.8880861683961647E-2</v>
      </c>
      <c r="N27" s="41">
        <v>0.875</v>
      </c>
      <c r="O27" s="20">
        <v>1315</v>
      </c>
      <c r="P27" s="41">
        <v>29.6</v>
      </c>
      <c r="Q27" s="8">
        <f t="shared" si="12"/>
        <v>3.8880861683961647E-2</v>
      </c>
      <c r="R27" s="41">
        <v>0.86499999999999999</v>
      </c>
      <c r="S27" s="20">
        <v>1070</v>
      </c>
      <c r="T27" s="41">
        <v>30.7</v>
      </c>
      <c r="U27" s="8">
        <f t="shared" si="13"/>
        <v>4.0325758570865629E-2</v>
      </c>
      <c r="V27" s="41"/>
    </row>
    <row r="28" spans="1:22" ht="15.75" customHeight="1">
      <c r="B28" s="6">
        <v>2</v>
      </c>
      <c r="C28" s="20">
        <v>1470</v>
      </c>
      <c r="D28" s="9">
        <v>50</v>
      </c>
      <c r="E28" s="8">
        <f t="shared" si="9"/>
        <v>6.5677131222908192E-2</v>
      </c>
      <c r="F28" s="41">
        <v>0.94</v>
      </c>
      <c r="G28" s="9">
        <v>1335</v>
      </c>
      <c r="H28" s="9">
        <v>30.5</v>
      </c>
      <c r="I28" s="8">
        <f t="shared" si="10"/>
        <v>4.0063050045973991E-2</v>
      </c>
      <c r="J28" s="41">
        <v>0.97599999999999998</v>
      </c>
      <c r="K28" s="20">
        <v>1150</v>
      </c>
      <c r="L28" s="41">
        <v>26.5</v>
      </c>
      <c r="M28" s="8">
        <f t="shared" si="11"/>
        <v>3.4808879548141339E-2</v>
      </c>
      <c r="N28" s="41">
        <v>0.98099999999999998</v>
      </c>
      <c r="O28" s="20">
        <v>1015</v>
      </c>
      <c r="P28" s="41">
        <v>24.7</v>
      </c>
      <c r="Q28" s="8">
        <f t="shared" si="12"/>
        <v>3.2444502824116643E-2</v>
      </c>
      <c r="R28" s="41">
        <v>0.98299999999999998</v>
      </c>
      <c r="S28" s="20">
        <v>805</v>
      </c>
      <c r="T28" s="41">
        <v>23.7</v>
      </c>
      <c r="U28" s="8">
        <f t="shared" si="13"/>
        <v>3.113096019965848E-2</v>
      </c>
      <c r="V28" s="41"/>
    </row>
    <row r="29" spans="1:22" ht="15.75" customHeight="1">
      <c r="B29" s="6">
        <v>3</v>
      </c>
      <c r="C29" s="20">
        <v>1960</v>
      </c>
      <c r="D29" s="9">
        <v>38.200000000000003</v>
      </c>
      <c r="E29" s="8">
        <f t="shared" si="9"/>
        <v>5.0177328254301858E-2</v>
      </c>
      <c r="F29" s="41">
        <v>0.91600000000000004</v>
      </c>
      <c r="G29" s="9">
        <v>1715</v>
      </c>
      <c r="H29" s="9">
        <v>32.700000000000003</v>
      </c>
      <c r="I29" s="8">
        <f t="shared" si="10"/>
        <v>4.2952843819781955E-2</v>
      </c>
      <c r="J29" s="41">
        <v>0.93899999999999995</v>
      </c>
      <c r="K29" s="20">
        <v>1465</v>
      </c>
      <c r="L29" s="41">
        <v>30.6</v>
      </c>
      <c r="M29" s="8">
        <f t="shared" si="11"/>
        <v>4.0194404308419814E-2</v>
      </c>
      <c r="N29" s="41">
        <v>0.94299999999999995</v>
      </c>
      <c r="O29" s="20">
        <v>1195</v>
      </c>
      <c r="P29" s="41">
        <v>30.4</v>
      </c>
      <c r="Q29" s="8">
        <f t="shared" si="12"/>
        <v>3.9931695783528176E-2</v>
      </c>
      <c r="R29" s="41">
        <v>0.94</v>
      </c>
      <c r="S29" s="20">
        <v>995</v>
      </c>
      <c r="T29" s="41">
        <v>31.1</v>
      </c>
      <c r="U29" s="8">
        <f t="shared" si="13"/>
        <v>4.0851175620648897E-2</v>
      </c>
      <c r="V29" s="41"/>
    </row>
    <row r="30" spans="1:22" ht="15.75" customHeight="1">
      <c r="B30" s="6">
        <v>4</v>
      </c>
      <c r="C30" s="20">
        <v>2350</v>
      </c>
      <c r="D30" s="9">
        <v>41.6</v>
      </c>
      <c r="E30" s="8">
        <f t="shared" si="9"/>
        <v>5.4643373177459612E-2</v>
      </c>
      <c r="F30" s="41">
        <v>0.95199999999999996</v>
      </c>
      <c r="G30" s="9">
        <v>2085</v>
      </c>
      <c r="H30" s="9">
        <v>33.1</v>
      </c>
      <c r="I30" s="8">
        <f t="shared" si="10"/>
        <v>4.3478260869565223E-2</v>
      </c>
      <c r="J30" s="41">
        <v>0.96699999999999997</v>
      </c>
      <c r="K30" s="20">
        <v>1805</v>
      </c>
      <c r="L30" s="41">
        <v>27.5</v>
      </c>
      <c r="M30" s="8">
        <f t="shared" si="11"/>
        <v>3.6122422172599505E-2</v>
      </c>
      <c r="N30" s="41">
        <v>0.97599999999999998</v>
      </c>
      <c r="O30" s="20">
        <v>1565</v>
      </c>
      <c r="P30" s="41">
        <v>28.6</v>
      </c>
      <c r="Q30" s="8">
        <f t="shared" si="12"/>
        <v>3.7567319059503487E-2</v>
      </c>
      <c r="R30" s="41">
        <v>0.97399999999999998</v>
      </c>
      <c r="S30" s="20">
        <v>1345</v>
      </c>
      <c r="T30" s="41">
        <v>28.1</v>
      </c>
      <c r="U30" s="8">
        <f t="shared" si="13"/>
        <v>3.6910547747274404E-2</v>
      </c>
      <c r="V30" s="41"/>
    </row>
    <row r="31" spans="1:22" ht="15.75" customHeight="1">
      <c r="B31" s="6">
        <v>5</v>
      </c>
      <c r="C31" s="20">
        <v>1315</v>
      </c>
      <c r="D31" s="9">
        <v>44.7</v>
      </c>
      <c r="E31" s="8">
        <f t="shared" si="9"/>
        <v>5.8715355313279927E-2</v>
      </c>
      <c r="F31" s="41">
        <v>0.89600000000000002</v>
      </c>
      <c r="G31" s="9">
        <v>1145</v>
      </c>
      <c r="H31" s="9">
        <v>33.799999999999997</v>
      </c>
      <c r="I31" s="8">
        <f t="shared" si="10"/>
        <v>4.439774070668593E-2</v>
      </c>
      <c r="J31" s="41">
        <v>0.93799999999999994</v>
      </c>
      <c r="K31" s="20">
        <v>1005</v>
      </c>
      <c r="L31" s="41">
        <v>30.9</v>
      </c>
      <c r="M31" s="8">
        <f t="shared" si="11"/>
        <v>4.0588467095757259E-2</v>
      </c>
      <c r="N31" s="41">
        <v>0.94699999999999995</v>
      </c>
      <c r="O31" s="20">
        <v>900</v>
      </c>
      <c r="P31" s="41">
        <v>29</v>
      </c>
      <c r="Q31" s="8">
        <f t="shared" si="12"/>
        <v>3.8092736109286748E-2</v>
      </c>
      <c r="R31" s="41">
        <v>0.95499999999999996</v>
      </c>
      <c r="S31" s="20">
        <v>730</v>
      </c>
      <c r="T31" s="41">
        <v>27.3</v>
      </c>
      <c r="U31" s="8">
        <f t="shared" si="13"/>
        <v>3.5859713647707868E-2</v>
      </c>
      <c r="V31" s="41"/>
    </row>
    <row r="32" spans="1:22" ht="15.75" customHeight="1">
      <c r="B32" s="6">
        <v>6</v>
      </c>
      <c r="C32" s="20">
        <v>1460</v>
      </c>
      <c r="D32" s="9">
        <v>43.3</v>
      </c>
      <c r="E32" s="8">
        <f t="shared" si="9"/>
        <v>5.6876395639038485E-2</v>
      </c>
      <c r="F32" s="41">
        <v>0.95099999999999996</v>
      </c>
      <c r="G32" s="9">
        <v>1310</v>
      </c>
      <c r="H32" s="9">
        <v>33.1</v>
      </c>
      <c r="I32" s="8">
        <f t="shared" si="10"/>
        <v>4.3478260869565223E-2</v>
      </c>
      <c r="J32" s="41">
        <v>0.97199999999999998</v>
      </c>
      <c r="K32" s="20">
        <v>1125</v>
      </c>
      <c r="L32" s="41">
        <v>32.200000000000003</v>
      </c>
      <c r="M32" s="8">
        <f t="shared" si="11"/>
        <v>4.2296072507552879E-2</v>
      </c>
      <c r="N32" s="41">
        <v>0.97499999999999998</v>
      </c>
      <c r="O32" s="20">
        <v>950</v>
      </c>
      <c r="P32" s="41">
        <v>29.5</v>
      </c>
      <c r="Q32" s="8">
        <f t="shared" si="12"/>
        <v>3.8749507421515832E-2</v>
      </c>
      <c r="R32" s="41">
        <v>0.97899999999999998</v>
      </c>
      <c r="S32" s="20">
        <v>815</v>
      </c>
      <c r="T32" s="41">
        <v>28.2</v>
      </c>
      <c r="U32" s="8">
        <f t="shared" si="13"/>
        <v>3.7041902009720219E-2</v>
      </c>
      <c r="V32" s="41"/>
    </row>
    <row r="33" spans="1:22" ht="15.75" customHeight="1">
      <c r="B33" s="6">
        <v>7</v>
      </c>
      <c r="C33" s="20">
        <v>950</v>
      </c>
      <c r="D33" s="9">
        <v>46.1</v>
      </c>
      <c r="E33" s="8">
        <f t="shared" si="9"/>
        <v>6.0554314987521347E-2</v>
      </c>
      <c r="F33" s="41">
        <v>0.89300000000000002</v>
      </c>
      <c r="G33" s="9">
        <v>835</v>
      </c>
      <c r="H33" s="9">
        <v>33.200000000000003</v>
      </c>
      <c r="I33" s="8">
        <f t="shared" si="10"/>
        <v>4.3609615132011038E-2</v>
      </c>
      <c r="J33" s="41">
        <v>0.94699999999999995</v>
      </c>
      <c r="K33" s="20">
        <v>750</v>
      </c>
      <c r="L33" s="41">
        <v>29.8</v>
      </c>
      <c r="M33" s="8">
        <f t="shared" si="11"/>
        <v>3.9143570208853277E-2</v>
      </c>
      <c r="N33" s="41">
        <v>0.95299999999999996</v>
      </c>
      <c r="O33" s="20">
        <v>630</v>
      </c>
      <c r="P33" s="41">
        <v>30.2</v>
      </c>
      <c r="Q33" s="8">
        <f t="shared" si="12"/>
        <v>3.9668987258636546E-2</v>
      </c>
      <c r="R33" s="41">
        <v>0.95399999999999996</v>
      </c>
      <c r="S33" s="20">
        <v>520</v>
      </c>
      <c r="T33" s="41">
        <v>31.2</v>
      </c>
      <c r="U33" s="8">
        <f t="shared" si="13"/>
        <v>4.0982529883094705E-2</v>
      </c>
      <c r="V33" s="41"/>
    </row>
    <row r="34" spans="1:22" ht="15.75" customHeight="1">
      <c r="C34" s="20"/>
      <c r="D34" s="9"/>
      <c r="G34" s="9"/>
      <c r="H34" s="9"/>
      <c r="K34" s="20"/>
      <c r="O34" s="20"/>
      <c r="S34" s="20"/>
    </row>
    <row r="35" spans="1:22" ht="15.75" customHeight="1">
      <c r="B35" s="6" t="s">
        <v>4</v>
      </c>
      <c r="C35" s="20"/>
      <c r="D35" s="15">
        <f>SUMPRODUCT(C26:C33,D26:D33)/SUM(C26:C33)</f>
        <v>41.738423457730391</v>
      </c>
      <c r="E35" s="12">
        <f>SUMPRODUCT(C26:C33,E26:E33)/SUM(C26:C33)</f>
        <v>5.4825198289413353E-2</v>
      </c>
      <c r="G35" s="9"/>
      <c r="H35" s="15">
        <f>SUMPRODUCT(G26:G33,H26:H33)/SUM(G26:G33)</f>
        <v>33.101670951156812</v>
      </c>
      <c r="I35" s="12">
        <f>SUMPRODUCT(G26:G33,I26:I33)/SUM(G26:G33)</f>
        <v>4.3480455735133081E-2</v>
      </c>
      <c r="K35" s="20"/>
      <c r="L35" s="15">
        <f>SUMPRODUCT(K26:K33,L26:L33)/SUM(K26:K33)</f>
        <v>30.016552399608226</v>
      </c>
      <c r="M35" s="12">
        <f>SUMPRODUCT(K26:K33,M26:M33)/SUM(K26:K33)</f>
        <v>3.9428021016167387E-2</v>
      </c>
      <c r="O35" s="20"/>
      <c r="P35" s="15">
        <f>SUMPRODUCT(O26:O33,P26:P33)/SUM(O26:O33)</f>
        <v>29.217247287264421</v>
      </c>
      <c r="Q35" s="12">
        <f>SUMPRODUCT(O26:O33,Q26:Q33)/SUM(O26:O33)</f>
        <v>3.8378099681156477E-2</v>
      </c>
      <c r="S35" s="20"/>
      <c r="T35" s="15">
        <f>SUMPRODUCT(S26:S33,T26:T33)/SUM(S26:S33)</f>
        <v>29.030157642220701</v>
      </c>
      <c r="U35" s="12">
        <f>SUMPRODUCT(S26:S33,U26:U33)/SUM(S26:S33)</f>
        <v>3.8132349457796796E-2</v>
      </c>
    </row>
    <row r="36" spans="1:22" ht="15.75" customHeight="1">
      <c r="E36">
        <v>5.84</v>
      </c>
      <c r="I36">
        <v>4.63</v>
      </c>
      <c r="M36">
        <v>4.1399999999999997</v>
      </c>
      <c r="Q36">
        <v>4</v>
      </c>
      <c r="U36">
        <v>3.83</v>
      </c>
    </row>
    <row r="37" spans="1:22" ht="15.75" customHeight="1">
      <c r="C37" s="6">
        <f>SUM(C26:C33)</f>
        <v>13130</v>
      </c>
      <c r="G37" s="6">
        <f>SUM(G26:G33)</f>
        <v>11670</v>
      </c>
      <c r="K37" s="6">
        <f>SUM(K26:K33)</f>
        <v>10210</v>
      </c>
      <c r="O37" s="6">
        <f>SUM(O26:O33)</f>
        <v>8755</v>
      </c>
      <c r="S37" s="6">
        <f>SUM(S26:S33)</f>
        <v>7295</v>
      </c>
    </row>
    <row r="38" spans="1:22" ht="15.75" customHeight="1"/>
    <row r="39" spans="1:22" ht="15.75" customHeight="1"/>
    <row r="40" spans="1:22" ht="15.75" customHeight="1">
      <c r="A40" s="6" t="s">
        <v>19</v>
      </c>
      <c r="D40" s="32">
        <v>0.1</v>
      </c>
      <c r="E40" s="30"/>
      <c r="F40" s="30"/>
      <c r="G40" s="18"/>
      <c r="H40" s="32">
        <v>0.2</v>
      </c>
      <c r="I40" s="30"/>
      <c r="J40" s="30"/>
      <c r="K40" s="18"/>
      <c r="L40" s="32">
        <v>0.3</v>
      </c>
      <c r="M40" s="30"/>
      <c r="N40" s="30"/>
      <c r="O40" s="18"/>
      <c r="P40" s="32">
        <v>0.4</v>
      </c>
      <c r="Q40" s="30"/>
      <c r="R40" s="30"/>
      <c r="S40" s="18"/>
      <c r="T40" s="32">
        <v>0.5</v>
      </c>
      <c r="U40" s="30"/>
      <c r="V40" s="30"/>
    </row>
    <row r="41" spans="1:22" ht="15.75" customHeight="1">
      <c r="B41" s="3" t="s">
        <v>0</v>
      </c>
      <c r="C41" s="19" t="s">
        <v>17</v>
      </c>
      <c r="D41" s="4" t="s">
        <v>1</v>
      </c>
      <c r="E41" s="3" t="s">
        <v>2</v>
      </c>
      <c r="F41" s="3" t="s">
        <v>3</v>
      </c>
      <c r="G41" s="19" t="s">
        <v>17</v>
      </c>
      <c r="H41" s="4" t="s">
        <v>1</v>
      </c>
      <c r="I41" s="3" t="s">
        <v>2</v>
      </c>
      <c r="J41" s="3" t="s">
        <v>3</v>
      </c>
      <c r="K41" s="19" t="s">
        <v>17</v>
      </c>
      <c r="L41" s="3" t="s">
        <v>1</v>
      </c>
      <c r="M41" s="3" t="s">
        <v>2</v>
      </c>
      <c r="N41" s="3" t="s">
        <v>3</v>
      </c>
      <c r="O41" s="19" t="s">
        <v>17</v>
      </c>
      <c r="P41" s="3" t="s">
        <v>1</v>
      </c>
      <c r="Q41" s="3" t="s">
        <v>2</v>
      </c>
      <c r="R41" s="3" t="s">
        <v>3</v>
      </c>
      <c r="S41" s="19" t="s">
        <v>17</v>
      </c>
      <c r="T41" s="3" t="s">
        <v>1</v>
      </c>
      <c r="U41" s="3" t="s">
        <v>2</v>
      </c>
      <c r="V41" s="3" t="s">
        <v>3</v>
      </c>
    </row>
    <row r="42" spans="1:22" ht="15.75" customHeight="1">
      <c r="B42" s="6">
        <v>0</v>
      </c>
      <c r="C42" s="20">
        <v>1445</v>
      </c>
      <c r="D42" s="9">
        <v>37.799999999999997</v>
      </c>
      <c r="E42" s="8">
        <f t="shared" ref="E42:E49" si="14">D42/$A$5</f>
        <v>4.9651911204518583E-2</v>
      </c>
      <c r="F42" s="41">
        <v>0.8</v>
      </c>
      <c r="G42" s="9">
        <v>1295</v>
      </c>
      <c r="H42" s="9">
        <v>36.700000000000003</v>
      </c>
      <c r="I42" s="8">
        <f t="shared" ref="I42:I49" si="15">H42/$A$5</f>
        <v>4.8207014317614615E-2</v>
      </c>
      <c r="J42" s="41">
        <v>0.82199999999999995</v>
      </c>
      <c r="K42" s="20">
        <v>1100</v>
      </c>
      <c r="L42" s="41">
        <v>30.9</v>
      </c>
      <c r="M42" s="8">
        <f t="shared" ref="M42:M49" si="16">L42/$A$5</f>
        <v>4.0588467095757259E-2</v>
      </c>
      <c r="N42" s="41">
        <v>0.86799999999999999</v>
      </c>
      <c r="O42" s="20">
        <v>985</v>
      </c>
      <c r="P42" s="41">
        <v>30.4</v>
      </c>
      <c r="Q42" s="8">
        <f t="shared" ref="Q42:Q49" si="17">P42/$A$5</f>
        <v>3.9931695783528176E-2</v>
      </c>
      <c r="R42" s="41">
        <v>0.872</v>
      </c>
      <c r="S42" s="20">
        <v>890</v>
      </c>
      <c r="T42" s="41">
        <v>30.4</v>
      </c>
      <c r="U42" s="8">
        <f t="shared" ref="U42:U49" si="18">T42/$A$5</f>
        <v>3.9931695783528176E-2</v>
      </c>
      <c r="V42" s="41">
        <v>0.89</v>
      </c>
    </row>
    <row r="43" spans="1:22" ht="15.75" customHeight="1">
      <c r="B43" s="6">
        <v>1</v>
      </c>
      <c r="C43" s="20">
        <v>2230</v>
      </c>
      <c r="D43" s="9">
        <v>35.1</v>
      </c>
      <c r="E43" s="8">
        <f t="shared" si="14"/>
        <v>4.6105346118481549E-2</v>
      </c>
      <c r="F43" s="41">
        <v>0.88400000000000001</v>
      </c>
      <c r="G43" s="9">
        <v>1980</v>
      </c>
      <c r="H43" s="9">
        <v>31.3</v>
      </c>
      <c r="I43" s="8">
        <f t="shared" si="15"/>
        <v>4.1113884145540527E-2</v>
      </c>
      <c r="J43" s="41">
        <v>0.89800000000000002</v>
      </c>
      <c r="K43" s="20">
        <v>1720</v>
      </c>
      <c r="L43" s="41">
        <v>30.1</v>
      </c>
      <c r="M43" s="8">
        <f t="shared" si="16"/>
        <v>3.953763299619073E-2</v>
      </c>
      <c r="N43" s="41">
        <v>0.90800000000000003</v>
      </c>
      <c r="O43" s="20">
        <v>1450</v>
      </c>
      <c r="P43" s="41">
        <v>31.4</v>
      </c>
      <c r="Q43" s="8">
        <f t="shared" si="17"/>
        <v>4.1245238407986343E-2</v>
      </c>
      <c r="R43" s="41">
        <v>0.89800000000000002</v>
      </c>
      <c r="S43" s="20">
        <v>1115</v>
      </c>
      <c r="T43" s="41">
        <v>27.7</v>
      </c>
      <c r="U43" s="8">
        <f t="shared" si="18"/>
        <v>3.6385130697491136E-2</v>
      </c>
      <c r="V43" s="41">
        <v>0.90700000000000003</v>
      </c>
    </row>
    <row r="44" spans="1:22" ht="15.75" customHeight="1">
      <c r="B44" s="6">
        <v>2</v>
      </c>
      <c r="C44" s="20">
        <v>1460</v>
      </c>
      <c r="D44" s="9">
        <v>37.9</v>
      </c>
      <c r="E44" s="8">
        <f t="shared" si="14"/>
        <v>4.9783265466964405E-2</v>
      </c>
      <c r="F44" s="41">
        <v>0.96399999999999997</v>
      </c>
      <c r="G44" s="9">
        <v>1350</v>
      </c>
      <c r="H44" s="9">
        <v>29.1</v>
      </c>
      <c r="I44" s="8">
        <f t="shared" si="15"/>
        <v>3.8224090371732564E-2</v>
      </c>
      <c r="J44" s="41">
        <v>0.97599999999999998</v>
      </c>
      <c r="K44" s="20">
        <v>1220</v>
      </c>
      <c r="L44" s="41">
        <v>25.9</v>
      </c>
      <c r="M44" s="8">
        <f t="shared" si="16"/>
        <v>3.402075397346644E-2</v>
      </c>
      <c r="N44" s="41">
        <v>0.98</v>
      </c>
      <c r="O44" s="20">
        <v>1070</v>
      </c>
      <c r="P44" s="41">
        <v>26.1</v>
      </c>
      <c r="Q44" s="8">
        <f t="shared" si="17"/>
        <v>3.4283462498358078E-2</v>
      </c>
      <c r="R44" s="41">
        <v>0.98</v>
      </c>
      <c r="S44" s="20">
        <v>875</v>
      </c>
      <c r="T44" s="41">
        <v>25.6</v>
      </c>
      <c r="U44" s="8">
        <f t="shared" si="18"/>
        <v>3.3626691186128994E-2</v>
      </c>
      <c r="V44" s="41">
        <v>0.98</v>
      </c>
    </row>
    <row r="45" spans="1:22" ht="15.75" customHeight="1">
      <c r="B45" s="6">
        <v>3</v>
      </c>
      <c r="C45" s="20">
        <v>1875</v>
      </c>
      <c r="D45" s="9">
        <v>40.6</v>
      </c>
      <c r="E45" s="8">
        <f t="shared" si="14"/>
        <v>5.3329830553001452E-2</v>
      </c>
      <c r="F45" s="41">
        <v>0.90900000000000003</v>
      </c>
      <c r="G45" s="9">
        <v>1665</v>
      </c>
      <c r="H45" s="9">
        <v>35.799999999999997</v>
      </c>
      <c r="I45" s="8">
        <f t="shared" si="15"/>
        <v>4.7024825955602256E-2</v>
      </c>
      <c r="J45" s="41">
        <v>0.92500000000000004</v>
      </c>
      <c r="K45" s="20">
        <v>1465</v>
      </c>
      <c r="L45" s="41">
        <v>36.9</v>
      </c>
      <c r="M45" s="8">
        <f t="shared" si="16"/>
        <v>4.8469722842506238E-2</v>
      </c>
      <c r="N45" s="41">
        <v>0.92300000000000004</v>
      </c>
      <c r="O45" s="20">
        <v>1190</v>
      </c>
      <c r="P45" s="41">
        <v>31.8</v>
      </c>
      <c r="Q45" s="8">
        <f t="shared" si="17"/>
        <v>4.1770655457769611E-2</v>
      </c>
      <c r="R45" s="41">
        <v>0.94199999999999995</v>
      </c>
      <c r="S45" s="20">
        <v>950</v>
      </c>
      <c r="T45" s="41">
        <v>31.1</v>
      </c>
      <c r="U45" s="8">
        <f t="shared" si="18"/>
        <v>4.0851175620648897E-2</v>
      </c>
      <c r="V45" s="41">
        <v>0.94299999999999995</v>
      </c>
    </row>
    <row r="46" spans="1:22" ht="15.75" customHeight="1">
      <c r="B46" s="6">
        <v>4</v>
      </c>
      <c r="C46" s="20">
        <v>2360</v>
      </c>
      <c r="D46" s="9">
        <v>37.1</v>
      </c>
      <c r="E46" s="8">
        <f t="shared" si="14"/>
        <v>4.8732431367397876E-2</v>
      </c>
      <c r="F46" s="41">
        <v>0.96</v>
      </c>
      <c r="G46" s="9">
        <v>2090</v>
      </c>
      <c r="H46" s="9">
        <v>31.4</v>
      </c>
      <c r="I46" s="8">
        <f t="shared" si="15"/>
        <v>4.1245238407986343E-2</v>
      </c>
      <c r="J46" s="41">
        <v>0.97099999999999997</v>
      </c>
      <c r="K46" s="20">
        <v>1800</v>
      </c>
      <c r="L46" s="41">
        <v>29.3</v>
      </c>
      <c r="M46" s="8">
        <f t="shared" si="16"/>
        <v>3.8486798896624201E-2</v>
      </c>
      <c r="N46" s="41">
        <v>0.97299999999999998</v>
      </c>
      <c r="O46" s="20">
        <v>1560</v>
      </c>
      <c r="P46" s="41">
        <v>28.2</v>
      </c>
      <c r="Q46" s="8">
        <f t="shared" si="17"/>
        <v>3.7041902009720219E-2</v>
      </c>
      <c r="R46" s="41">
        <v>0.97499999999999998</v>
      </c>
      <c r="S46" s="20">
        <v>1345</v>
      </c>
      <c r="T46" s="41">
        <v>28.2</v>
      </c>
      <c r="U46" s="8">
        <f t="shared" si="18"/>
        <v>3.7041902009720219E-2</v>
      </c>
      <c r="V46" s="41">
        <v>0.97499999999999998</v>
      </c>
    </row>
    <row r="47" spans="1:22" ht="15.75" customHeight="1">
      <c r="B47" s="6">
        <v>5</v>
      </c>
      <c r="C47" s="20">
        <v>1340</v>
      </c>
      <c r="D47" s="9">
        <v>43.1</v>
      </c>
      <c r="E47" s="8">
        <f t="shared" si="14"/>
        <v>5.6613687114146861E-2</v>
      </c>
      <c r="F47" s="41">
        <v>0.92100000000000004</v>
      </c>
      <c r="G47" s="9">
        <v>1090</v>
      </c>
      <c r="H47" s="9">
        <v>28.1</v>
      </c>
      <c r="I47" s="8">
        <f t="shared" si="15"/>
        <v>3.6910547747274404E-2</v>
      </c>
      <c r="J47" s="41">
        <v>0.95099999999999996</v>
      </c>
      <c r="K47" s="20">
        <v>935</v>
      </c>
      <c r="L47" s="41">
        <v>29.6</v>
      </c>
      <c r="M47" s="8">
        <f t="shared" si="16"/>
        <v>3.8880861683961647E-2</v>
      </c>
      <c r="N47" s="41">
        <v>0.94199999999999995</v>
      </c>
      <c r="O47" s="20">
        <v>795</v>
      </c>
      <c r="P47" s="41">
        <v>27.2</v>
      </c>
      <c r="Q47" s="8">
        <f t="shared" si="17"/>
        <v>3.5728359385262053E-2</v>
      </c>
      <c r="R47" s="41">
        <v>0.94799999999999995</v>
      </c>
      <c r="S47" s="20">
        <v>720</v>
      </c>
      <c r="T47" s="41">
        <v>28.9</v>
      </c>
      <c r="U47" s="8">
        <f t="shared" si="18"/>
        <v>3.7961381846840933E-2</v>
      </c>
      <c r="V47" s="41">
        <v>0.95799999999999996</v>
      </c>
    </row>
    <row r="48" spans="1:22" ht="15.75" customHeight="1">
      <c r="B48" s="6">
        <v>6</v>
      </c>
      <c r="C48" s="20">
        <v>1465</v>
      </c>
      <c r="D48" s="9">
        <v>47.4</v>
      </c>
      <c r="E48" s="8">
        <f t="shared" si="14"/>
        <v>6.226192039931696E-2</v>
      </c>
      <c r="F48" s="41">
        <v>0.94799999999999995</v>
      </c>
      <c r="G48" s="9">
        <v>1335</v>
      </c>
      <c r="H48" s="9">
        <v>31</v>
      </c>
      <c r="I48" s="8">
        <f t="shared" si="15"/>
        <v>4.0719821358203075E-2</v>
      </c>
      <c r="J48" s="41">
        <v>0.97099999999999997</v>
      </c>
      <c r="K48" s="20">
        <v>1220</v>
      </c>
      <c r="L48" s="41">
        <v>29.7</v>
      </c>
      <c r="M48" s="8">
        <f t="shared" si="16"/>
        <v>3.9012215946407462E-2</v>
      </c>
      <c r="N48" s="41">
        <v>0.97399999999999998</v>
      </c>
      <c r="O48" s="20">
        <v>1040</v>
      </c>
      <c r="P48" s="41">
        <v>30.6</v>
      </c>
      <c r="Q48" s="8">
        <f t="shared" si="17"/>
        <v>4.0194404308419814E-2</v>
      </c>
      <c r="R48" s="41">
        <v>0.97299999999999998</v>
      </c>
      <c r="S48" s="20">
        <v>830</v>
      </c>
      <c r="T48" s="41">
        <v>31.1</v>
      </c>
      <c r="U48" s="8">
        <f t="shared" si="18"/>
        <v>4.0851175620648897E-2</v>
      </c>
      <c r="V48" s="41">
        <v>0.97199999999999998</v>
      </c>
    </row>
    <row r="49" spans="1:22" ht="15.75" customHeight="1">
      <c r="B49" s="6">
        <v>7</v>
      </c>
      <c r="C49" s="20">
        <v>955</v>
      </c>
      <c r="D49" s="9">
        <v>49.8</v>
      </c>
      <c r="E49" s="8">
        <f t="shared" si="14"/>
        <v>6.5414422698016547E-2</v>
      </c>
      <c r="F49" s="41">
        <v>0.88200000000000001</v>
      </c>
      <c r="G49" s="9">
        <v>865</v>
      </c>
      <c r="H49" s="9">
        <v>33.5</v>
      </c>
      <c r="I49" s="8">
        <f t="shared" si="15"/>
        <v>4.4003677919348484E-2</v>
      </c>
      <c r="J49" s="41">
        <v>0.94199999999999995</v>
      </c>
      <c r="K49" s="20">
        <v>750</v>
      </c>
      <c r="L49" s="41">
        <v>29.2</v>
      </c>
      <c r="M49" s="8">
        <f t="shared" si="16"/>
        <v>3.8355444634178379E-2</v>
      </c>
      <c r="N49" s="41">
        <v>0.95499999999999996</v>
      </c>
      <c r="O49" s="20">
        <v>665</v>
      </c>
      <c r="P49" s="41">
        <v>26.6</v>
      </c>
      <c r="Q49" s="8">
        <f t="shared" si="17"/>
        <v>3.4940233810587154E-2</v>
      </c>
      <c r="R49" s="41">
        <v>0.95799999999999996</v>
      </c>
      <c r="S49" s="20">
        <v>570</v>
      </c>
      <c r="T49" s="41">
        <v>26.3</v>
      </c>
      <c r="U49" s="8">
        <f t="shared" si="18"/>
        <v>3.4546171023249708E-2</v>
      </c>
      <c r="V49" s="41">
        <v>0.96299999999999997</v>
      </c>
    </row>
    <row r="50" spans="1:22" ht="15.75" customHeight="1">
      <c r="C50" s="20"/>
      <c r="D50" s="9"/>
      <c r="G50" s="9"/>
      <c r="H50" s="9"/>
      <c r="K50" s="20"/>
      <c r="O50" s="20"/>
      <c r="S50" s="20"/>
    </row>
    <row r="51" spans="1:22" ht="15.75" customHeight="1">
      <c r="B51" s="6" t="s">
        <v>4</v>
      </c>
      <c r="C51" s="20"/>
      <c r="D51" s="15">
        <f>SUMPRODUCT(C42:C49,D42:D49)/SUM(C42:C49)</f>
        <v>40.111424219345011</v>
      </c>
      <c r="E51" s="12">
        <f>SUMPRODUCT(C42:C49,E42:E49)/SUM(C42:C49)</f>
        <v>5.268806543983319E-2</v>
      </c>
      <c r="G51" s="9"/>
      <c r="H51" s="15">
        <f>SUMPRODUCT(G42:G49,H42:H49)/SUM(G42:G49)</f>
        <v>32.134532990574122</v>
      </c>
      <c r="I51" s="12">
        <f>SUMPRODUCT(G42:G49,I42:I49)/SUM(G42:G49)</f>
        <v>4.221007880017618E-2</v>
      </c>
      <c r="K51" s="20"/>
      <c r="L51" s="15">
        <f>SUMPRODUCT(K42:K49,L42:L49)/SUM(K42:K49)</f>
        <v>30.35930460333007</v>
      </c>
      <c r="M51" s="12">
        <f>SUMPRODUCT(K42:K49,M42:M49)/SUM(K42:K49)</f>
        <v>3.9878240645382992E-2</v>
      </c>
      <c r="O51" s="20"/>
      <c r="P51" s="15">
        <f>SUMPRODUCT(O42:O49,P42:P49)/SUM(O42:O49)</f>
        <v>29.282924043403771</v>
      </c>
      <c r="Q51" s="12">
        <f>SUMPRODUCT(O42:O49,Q42:Q49)/SUM(O42:O49)</f>
        <v>3.8464368899781651E-2</v>
      </c>
      <c r="S51" s="20"/>
      <c r="T51" s="15">
        <f>SUMPRODUCT(S42:S49,T42:T49)/SUM(S42:S49)</f>
        <v>28.708361891706648</v>
      </c>
      <c r="U51" s="12">
        <f>SUMPRODUCT(S42:S49,U42:U49)/SUM(S42:S49)</f>
        <v>3.7709657023127084E-2</v>
      </c>
    </row>
    <row r="52" spans="1:22" ht="15.75" customHeight="1">
      <c r="I52">
        <v>4.6100000000000003</v>
      </c>
      <c r="M52">
        <v>4.1500000000000004</v>
      </c>
      <c r="Q52">
        <v>4.0199999999999996</v>
      </c>
      <c r="U52">
        <v>3.83</v>
      </c>
    </row>
    <row r="53" spans="1:22" ht="15.75" customHeight="1">
      <c r="C53" s="6">
        <f>SUM(C42:C49)</f>
        <v>13130</v>
      </c>
      <c r="G53" s="6">
        <f>SUM(G42:G49)</f>
        <v>11670</v>
      </c>
      <c r="K53" s="6">
        <f>SUM(K42:K49)</f>
        <v>10210</v>
      </c>
      <c r="O53" s="6">
        <f>SUM(O42:O49)</f>
        <v>8755</v>
      </c>
      <c r="S53" s="6">
        <f>SUM(S42:S49)</f>
        <v>7295</v>
      </c>
    </row>
    <row r="54" spans="1:22" ht="15.75" customHeight="1"/>
    <row r="55" spans="1:22" ht="15.75" customHeight="1"/>
    <row r="56" spans="1:22" ht="15.75" customHeight="1">
      <c r="A56" s="6" t="s">
        <v>20</v>
      </c>
      <c r="D56" s="32">
        <v>0.1</v>
      </c>
      <c r="E56" s="30"/>
      <c r="F56" s="30"/>
      <c r="G56" s="18"/>
      <c r="H56" s="32">
        <v>0.2</v>
      </c>
      <c r="I56" s="30"/>
      <c r="J56" s="30"/>
      <c r="K56" s="18"/>
      <c r="L56" s="32">
        <v>0.3</v>
      </c>
      <c r="M56" s="30"/>
      <c r="N56" s="30"/>
      <c r="O56" s="18"/>
      <c r="P56" s="32">
        <v>0.4</v>
      </c>
      <c r="Q56" s="30"/>
      <c r="R56" s="30"/>
      <c r="S56" s="18"/>
      <c r="T56" s="32">
        <v>0.5</v>
      </c>
      <c r="U56" s="30"/>
      <c r="V56" s="30"/>
    </row>
    <row r="57" spans="1:22" ht="15.75" customHeight="1">
      <c r="B57" s="3" t="s">
        <v>0</v>
      </c>
      <c r="C57" s="19" t="s">
        <v>17</v>
      </c>
      <c r="D57" s="4" t="s">
        <v>1</v>
      </c>
      <c r="E57" s="3" t="s">
        <v>2</v>
      </c>
      <c r="F57" s="3" t="s">
        <v>3</v>
      </c>
      <c r="G57" s="19" t="s">
        <v>17</v>
      </c>
      <c r="H57" s="4" t="s">
        <v>1</v>
      </c>
      <c r="I57" s="3" t="s">
        <v>2</v>
      </c>
      <c r="J57" s="3" t="s">
        <v>3</v>
      </c>
      <c r="K57" s="19" t="s">
        <v>17</v>
      </c>
      <c r="L57" s="3" t="s">
        <v>1</v>
      </c>
      <c r="M57" s="3" t="s">
        <v>2</v>
      </c>
      <c r="N57" s="3" t="s">
        <v>3</v>
      </c>
      <c r="O57" s="19" t="s">
        <v>17</v>
      </c>
      <c r="P57" s="3" t="s">
        <v>1</v>
      </c>
      <c r="Q57" s="3" t="s">
        <v>2</v>
      </c>
      <c r="R57" s="3" t="s">
        <v>3</v>
      </c>
      <c r="S57" s="19" t="s">
        <v>17</v>
      </c>
      <c r="T57" s="3" t="s">
        <v>1</v>
      </c>
      <c r="U57" s="3" t="s">
        <v>2</v>
      </c>
      <c r="V57" s="3" t="s">
        <v>3</v>
      </c>
    </row>
    <row r="58" spans="1:22" ht="15.75" customHeight="1">
      <c r="B58" s="6">
        <v>0</v>
      </c>
      <c r="C58" s="20">
        <v>1335</v>
      </c>
      <c r="D58" s="9">
        <v>47.9</v>
      </c>
      <c r="E58" s="8">
        <f t="shared" ref="E58:E65" si="19">D58/$A$5</f>
        <v>6.2918691711546043E-2</v>
      </c>
      <c r="F58" s="41">
        <v>0.73599999999999999</v>
      </c>
      <c r="G58" s="9">
        <v>1215</v>
      </c>
      <c r="H58" s="9">
        <v>34</v>
      </c>
      <c r="I58" s="8">
        <f t="shared" ref="I58:I65" si="20">H58/$A$5</f>
        <v>4.4660449231577568E-2</v>
      </c>
      <c r="J58">
        <v>0.83599999999999997</v>
      </c>
      <c r="K58" s="20">
        <v>1265</v>
      </c>
      <c r="L58" s="41">
        <v>35.299999999999997</v>
      </c>
      <c r="M58" s="8">
        <f t="shared" ref="M58:M65" si="21">L58/$A$5</f>
        <v>4.636805464337318E-2</v>
      </c>
      <c r="N58" s="41">
        <v>0.86499999999999999</v>
      </c>
      <c r="O58" s="20">
        <v>1155</v>
      </c>
      <c r="P58" s="41">
        <v>33.6</v>
      </c>
      <c r="Q58" s="8">
        <f t="shared" ref="Q58:Q65" si="22">P58/$A$5</f>
        <v>4.4135032181794306E-2</v>
      </c>
      <c r="R58" s="41">
        <v>0.89500000000000002</v>
      </c>
      <c r="S58" s="20">
        <v>970</v>
      </c>
      <c r="T58" s="41">
        <v>32.4</v>
      </c>
      <c r="U58" s="8">
        <f t="shared" ref="U58:U65" si="23">T58/$A$5</f>
        <v>4.2558781032444502E-2</v>
      </c>
      <c r="V58" s="41">
        <v>0.89900000000000002</v>
      </c>
    </row>
    <row r="59" spans="1:22" ht="15.75" customHeight="1">
      <c r="B59" s="6">
        <v>1</v>
      </c>
      <c r="C59" s="20">
        <v>2270</v>
      </c>
      <c r="D59" s="9">
        <v>35.200000000000003</v>
      </c>
      <c r="E59" s="8">
        <f t="shared" si="19"/>
        <v>4.6236700380927365E-2</v>
      </c>
      <c r="F59" s="41">
        <v>0.89100000000000001</v>
      </c>
      <c r="G59" s="9">
        <v>1970</v>
      </c>
      <c r="H59" s="9">
        <v>35.1</v>
      </c>
      <c r="I59" s="8">
        <f t="shared" si="20"/>
        <v>4.6105346118481549E-2</v>
      </c>
      <c r="J59">
        <v>0.88100000000000001</v>
      </c>
      <c r="K59" s="20">
        <v>1640</v>
      </c>
      <c r="L59" s="41">
        <v>28.8</v>
      </c>
      <c r="M59" s="8">
        <f t="shared" si="21"/>
        <v>3.7830027584395118E-2</v>
      </c>
      <c r="N59" s="41">
        <v>0.89800000000000002</v>
      </c>
      <c r="O59" s="20">
        <v>1340</v>
      </c>
      <c r="P59" s="41">
        <v>28.3</v>
      </c>
      <c r="Q59" s="8">
        <f t="shared" si="22"/>
        <v>3.7173256272166035E-2</v>
      </c>
      <c r="R59" s="41">
        <v>0.88</v>
      </c>
      <c r="S59" s="20">
        <v>1110</v>
      </c>
      <c r="T59" s="41">
        <v>28.3</v>
      </c>
      <c r="U59" s="8">
        <f t="shared" si="23"/>
        <v>3.7173256272166035E-2</v>
      </c>
      <c r="V59" s="41">
        <v>0.873</v>
      </c>
    </row>
    <row r="60" spans="1:22" ht="15.75" customHeight="1">
      <c r="B60" s="6">
        <v>2</v>
      </c>
      <c r="C60" s="20">
        <v>1565</v>
      </c>
      <c r="D60" s="9">
        <v>45.4</v>
      </c>
      <c r="E60" s="8">
        <f t="shared" si="19"/>
        <v>5.9634835150400634E-2</v>
      </c>
      <c r="F60" s="41">
        <v>0.94599999999999995</v>
      </c>
      <c r="G60" s="9">
        <v>1370</v>
      </c>
      <c r="H60" s="9">
        <v>32.1</v>
      </c>
      <c r="I60" s="8">
        <f t="shared" si="20"/>
        <v>4.2164718245107057E-2</v>
      </c>
      <c r="J60">
        <v>0.97299999999999998</v>
      </c>
      <c r="K60" s="20">
        <v>1175</v>
      </c>
      <c r="L60" s="41">
        <v>26.1</v>
      </c>
      <c r="M60" s="8">
        <f t="shared" si="21"/>
        <v>3.4283462498358078E-2</v>
      </c>
      <c r="N60" s="41">
        <v>0.98099999999999998</v>
      </c>
      <c r="O60" s="20">
        <v>955</v>
      </c>
      <c r="P60" s="41">
        <v>26</v>
      </c>
      <c r="Q60" s="8">
        <f t="shared" si="22"/>
        <v>3.4152108235912255E-2</v>
      </c>
      <c r="R60" s="41">
        <v>0.98299999999999998</v>
      </c>
      <c r="S60" s="20">
        <v>805</v>
      </c>
      <c r="T60" s="41">
        <v>24</v>
      </c>
      <c r="U60" s="8">
        <f t="shared" si="23"/>
        <v>3.1525022986995929E-2</v>
      </c>
      <c r="V60" s="41">
        <v>0.98499999999999999</v>
      </c>
    </row>
    <row r="61" spans="1:22" ht="15.75" customHeight="1">
      <c r="B61" s="6">
        <v>3</v>
      </c>
      <c r="C61" s="20">
        <v>1780</v>
      </c>
      <c r="D61" s="9">
        <v>43.9</v>
      </c>
      <c r="E61" s="8">
        <f t="shared" si="19"/>
        <v>5.7664521213713384E-2</v>
      </c>
      <c r="F61" s="41">
        <v>0.88100000000000001</v>
      </c>
      <c r="G61" s="9">
        <v>1715</v>
      </c>
      <c r="H61" s="9">
        <v>38.799999999999997</v>
      </c>
      <c r="I61" s="8">
        <f t="shared" si="20"/>
        <v>5.0965453828976749E-2</v>
      </c>
      <c r="J61">
        <v>0.92400000000000004</v>
      </c>
      <c r="K61" s="20">
        <v>1480</v>
      </c>
      <c r="L61" s="41">
        <v>33.5</v>
      </c>
      <c r="M61" s="8">
        <f t="shared" si="21"/>
        <v>4.4003677919348484E-2</v>
      </c>
      <c r="N61" s="41">
        <v>0.93100000000000005</v>
      </c>
      <c r="O61" s="20">
        <v>1250</v>
      </c>
      <c r="P61" s="41">
        <v>30.9</v>
      </c>
      <c r="Q61" s="8">
        <f t="shared" si="22"/>
        <v>4.0588467095757259E-2</v>
      </c>
      <c r="R61" s="41">
        <v>0.93600000000000005</v>
      </c>
      <c r="S61" s="20">
        <v>1095</v>
      </c>
      <c r="T61" s="41">
        <v>29.9</v>
      </c>
      <c r="U61" s="8">
        <f t="shared" si="23"/>
        <v>3.9274924471299093E-2</v>
      </c>
      <c r="V61" s="41">
        <v>0.94099999999999995</v>
      </c>
    </row>
    <row r="62" spans="1:22" ht="15.75" customHeight="1">
      <c r="B62" s="6">
        <v>4</v>
      </c>
      <c r="C62" s="20">
        <v>2295</v>
      </c>
      <c r="D62" s="9">
        <v>44.9</v>
      </c>
      <c r="E62" s="8">
        <f t="shared" si="19"/>
        <v>5.897806383817155E-2</v>
      </c>
      <c r="F62" s="41">
        <v>0.94399999999999995</v>
      </c>
      <c r="G62" s="9">
        <v>2120</v>
      </c>
      <c r="H62" s="9">
        <v>34.200000000000003</v>
      </c>
      <c r="I62" s="8">
        <f t="shared" si="20"/>
        <v>4.4923157756469205E-2</v>
      </c>
      <c r="J62">
        <v>0.96699999999999997</v>
      </c>
      <c r="K62" s="20">
        <v>1785</v>
      </c>
      <c r="L62" s="41">
        <v>30.8</v>
      </c>
      <c r="M62" s="8">
        <f t="shared" si="21"/>
        <v>4.0457112833311444E-2</v>
      </c>
      <c r="N62" s="41">
        <v>0.97299999999999998</v>
      </c>
      <c r="O62" s="20">
        <v>1605</v>
      </c>
      <c r="P62" s="41">
        <v>28</v>
      </c>
      <c r="Q62" s="8">
        <f t="shared" si="22"/>
        <v>3.6779193484828582E-2</v>
      </c>
      <c r="R62" s="41">
        <v>0.97499999999999998</v>
      </c>
      <c r="S62" s="20">
        <v>1290</v>
      </c>
      <c r="T62" s="41">
        <v>27.6</v>
      </c>
      <c r="U62" s="8">
        <f t="shared" si="23"/>
        <v>3.6253776435045321E-2</v>
      </c>
      <c r="V62" s="41">
        <v>0.97699999999999998</v>
      </c>
    </row>
    <row r="63" spans="1:22" ht="15.75" customHeight="1">
      <c r="B63" s="6">
        <v>5</v>
      </c>
      <c r="C63" s="20">
        <v>1310</v>
      </c>
      <c r="D63" s="9">
        <v>34.6</v>
      </c>
      <c r="E63" s="8">
        <f t="shared" si="19"/>
        <v>4.5448574806252466E-2</v>
      </c>
      <c r="F63" s="41">
        <v>0.93700000000000006</v>
      </c>
      <c r="G63" s="9">
        <v>1120</v>
      </c>
      <c r="H63" s="9">
        <v>32.6</v>
      </c>
      <c r="I63" s="8">
        <f t="shared" si="20"/>
        <v>4.282148955733614E-2</v>
      </c>
      <c r="J63">
        <v>0.95</v>
      </c>
      <c r="K63" s="20">
        <v>1005</v>
      </c>
      <c r="L63" s="41">
        <v>32.1</v>
      </c>
      <c r="M63" s="8">
        <f t="shared" si="21"/>
        <v>4.2164718245107057E-2</v>
      </c>
      <c r="N63" s="41">
        <v>0.94899999999999995</v>
      </c>
      <c r="O63" s="20">
        <v>950</v>
      </c>
      <c r="P63" s="41">
        <v>29.9</v>
      </c>
      <c r="Q63" s="8">
        <f t="shared" si="22"/>
        <v>3.9274924471299093E-2</v>
      </c>
      <c r="R63" s="41">
        <v>0.96099999999999997</v>
      </c>
      <c r="S63" s="20">
        <v>805</v>
      </c>
      <c r="T63" s="41">
        <v>30.4</v>
      </c>
      <c r="U63" s="8">
        <f t="shared" si="23"/>
        <v>3.9931695783528176E-2</v>
      </c>
      <c r="V63" s="41">
        <v>0.96</v>
      </c>
    </row>
    <row r="64" spans="1:22" ht="15.75" customHeight="1">
      <c r="B64" s="6">
        <v>6</v>
      </c>
      <c r="C64" s="20">
        <v>1590</v>
      </c>
      <c r="D64" s="9">
        <v>60.2</v>
      </c>
      <c r="E64" s="8">
        <f t="shared" si="19"/>
        <v>7.907526599238146E-2</v>
      </c>
      <c r="F64" s="41">
        <v>0.92100000000000004</v>
      </c>
      <c r="G64" s="9">
        <v>1315</v>
      </c>
      <c r="H64" s="9">
        <v>36.700000000000003</v>
      </c>
      <c r="I64" s="8">
        <f t="shared" si="20"/>
        <v>4.8207014317614615E-2</v>
      </c>
      <c r="J64">
        <v>0.96799999999999997</v>
      </c>
      <c r="K64" s="20">
        <v>1125</v>
      </c>
      <c r="L64" s="41">
        <v>35.1</v>
      </c>
      <c r="M64" s="8">
        <f t="shared" si="21"/>
        <v>4.6105346118481549E-2</v>
      </c>
      <c r="N64" s="41">
        <v>0.96699999999999997</v>
      </c>
      <c r="O64" s="20">
        <v>900</v>
      </c>
      <c r="P64" s="41">
        <v>33.4</v>
      </c>
      <c r="Q64" s="8">
        <f t="shared" si="22"/>
        <v>4.3872323656902669E-2</v>
      </c>
      <c r="R64" s="41">
        <v>0.96899999999999997</v>
      </c>
      <c r="S64" s="20">
        <v>730</v>
      </c>
      <c r="T64" s="41">
        <v>30.5</v>
      </c>
      <c r="U64" s="8">
        <f t="shared" si="23"/>
        <v>4.0063050045973991E-2</v>
      </c>
      <c r="V64" s="41">
        <v>0.97299999999999998</v>
      </c>
    </row>
    <row r="65" spans="2:22" ht="15.75" customHeight="1">
      <c r="B65" s="6">
        <v>7</v>
      </c>
      <c r="C65" s="20">
        <v>985</v>
      </c>
      <c r="D65" s="9">
        <v>47.9</v>
      </c>
      <c r="E65" s="8">
        <f t="shared" si="19"/>
        <v>6.2918691711546043E-2</v>
      </c>
      <c r="F65" s="41">
        <v>0.88200000000000001</v>
      </c>
      <c r="G65" s="9">
        <v>845</v>
      </c>
      <c r="H65" s="9">
        <v>36.200000000000003</v>
      </c>
      <c r="I65" s="8">
        <f t="shared" si="20"/>
        <v>4.7550243005385531E-2</v>
      </c>
      <c r="J65">
        <v>0.93799999999999994</v>
      </c>
      <c r="K65" s="20">
        <v>735</v>
      </c>
      <c r="L65" s="41">
        <v>29.6</v>
      </c>
      <c r="M65" s="8">
        <f t="shared" si="21"/>
        <v>3.8880861683961647E-2</v>
      </c>
      <c r="N65" s="41">
        <v>0.95599999999999996</v>
      </c>
      <c r="O65" s="20">
        <v>600</v>
      </c>
      <c r="P65" s="41">
        <v>31.2</v>
      </c>
      <c r="Q65" s="8">
        <f t="shared" si="22"/>
        <v>4.0982529883094705E-2</v>
      </c>
      <c r="R65" s="41">
        <v>0.96499999999999997</v>
      </c>
      <c r="S65" s="20">
        <v>490</v>
      </c>
      <c r="T65" s="41">
        <v>29.2</v>
      </c>
      <c r="U65" s="8">
        <f t="shared" si="23"/>
        <v>3.8355444634178379E-2</v>
      </c>
      <c r="V65" s="41">
        <v>0.96</v>
      </c>
    </row>
    <row r="66" spans="2:22" ht="15.75" customHeight="1">
      <c r="C66" s="20"/>
      <c r="D66" s="9"/>
      <c r="G66" s="9"/>
      <c r="H66" s="9"/>
      <c r="K66" s="20"/>
      <c r="O66" s="20"/>
      <c r="S66" s="20"/>
    </row>
    <row r="67" spans="2:22" ht="15.75" customHeight="1">
      <c r="B67" s="6" t="s">
        <v>4</v>
      </c>
      <c r="C67" s="20"/>
      <c r="D67" s="15">
        <f>SUMPRODUCT(C58:C65,D58:D65)/SUM(C58:C65)</f>
        <v>44.502246763137855</v>
      </c>
      <c r="E67" s="12">
        <f>SUMPRODUCT(C58:C65,E58:E65)/SUM(C58:C65)</f>
        <v>5.845559800753692E-2</v>
      </c>
      <c r="G67" s="9"/>
      <c r="H67" s="15">
        <f>SUMPRODUCT(G58:G65,H58:H65)/SUM(G58:G65)</f>
        <v>35.03354755784062</v>
      </c>
      <c r="I67" s="12">
        <f>SUMPRODUCT(G58:G65,I58:I65)/SUM(G58:G65)</f>
        <v>4.6018058003205853E-2</v>
      </c>
      <c r="K67" s="20"/>
      <c r="L67" s="15">
        <f>SUMPRODUCT(K58:K65,L58:L65)/SUM(K58:K65)</f>
        <v>31.402154750244858</v>
      </c>
      <c r="M67" s="12">
        <f>SUMPRODUCT(K58:K65,M58:M65)/SUM(K58:K65)</f>
        <v>4.1248068764278022E-2</v>
      </c>
      <c r="O67" s="20"/>
      <c r="P67" s="15">
        <f>SUMPRODUCT(O58:O65,P58:P65)/SUM(O58:O65)</f>
        <v>29.961165048543688</v>
      </c>
      <c r="Q67" s="12">
        <f>SUMPRODUCT(O58:O65,Q58:Q65)/SUM(O58:O65)</f>
        <v>3.9355267369688286E-2</v>
      </c>
      <c r="S67" s="20"/>
      <c r="T67" s="15">
        <f>SUMPRODUCT(S58:S65,T58:T65)/SUM(S58:S65)</f>
        <v>28.999383139136395</v>
      </c>
      <c r="U67" s="12">
        <f>SUMPRODUCT(S58:S65,U58:U65)/SUM(S58:S65)</f>
        <v>3.8091925836249048E-2</v>
      </c>
    </row>
    <row r="68" spans="2:22" ht="15.75" customHeight="1">
      <c r="E68">
        <v>5.87</v>
      </c>
      <c r="I68">
        <v>4.62</v>
      </c>
      <c r="M68">
        <v>4.1399999999999997</v>
      </c>
      <c r="Q68">
        <v>4</v>
      </c>
      <c r="U68">
        <v>3.82</v>
      </c>
    </row>
    <row r="69" spans="2:22" ht="15.75" customHeight="1">
      <c r="C69" s="6">
        <f>SUM(C58:C65)</f>
        <v>13130</v>
      </c>
      <c r="G69" s="6">
        <f>SUM(G58:G65)</f>
        <v>11670</v>
      </c>
      <c r="K69" s="6">
        <f>SUM(K58:K65)</f>
        <v>10210</v>
      </c>
      <c r="O69" s="6">
        <f>SUM(O58:O65)</f>
        <v>8755</v>
      </c>
      <c r="S69" s="6">
        <f>SUM(S58:S65)</f>
        <v>7295</v>
      </c>
    </row>
    <row r="70" spans="2:22" ht="15.75" customHeight="1"/>
    <row r="71" spans="2:22" ht="15.75" customHeight="1"/>
    <row r="72" spans="2:22" ht="15.75" customHeight="1"/>
    <row r="73" spans="2:22" ht="15.75" customHeight="1"/>
    <row r="74" spans="2:22" ht="15.75" customHeight="1"/>
    <row r="75" spans="2:22" ht="15.75" customHeight="1"/>
    <row r="76" spans="2:22" ht="15.75" customHeight="1"/>
    <row r="77" spans="2:22" ht="15.75" customHeight="1"/>
    <row r="78" spans="2:22" ht="15.75" customHeight="1"/>
    <row r="79" spans="2:22" ht="15.75" customHeight="1"/>
    <row r="80" spans="2:2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D24:F24"/>
    <mergeCell ref="H24:J24"/>
    <mergeCell ref="T24:V24"/>
    <mergeCell ref="D56:F56"/>
    <mergeCell ref="H56:J56"/>
    <mergeCell ref="L56:N56"/>
    <mergeCell ref="P56:R56"/>
    <mergeCell ref="T56:V56"/>
    <mergeCell ref="L24:N24"/>
    <mergeCell ref="P24:R24"/>
    <mergeCell ref="D40:F40"/>
    <mergeCell ref="H40:J40"/>
    <mergeCell ref="L40:N40"/>
    <mergeCell ref="P40:R40"/>
    <mergeCell ref="T40:V40"/>
    <mergeCell ref="D7:F7"/>
    <mergeCell ref="H7:J7"/>
    <mergeCell ref="L7:N7"/>
    <mergeCell ref="P7:R7"/>
    <mergeCell ref="T7:V7"/>
  </mergeCells>
  <pageMargins left="0.7" right="0.7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3:Y1000"/>
  <sheetViews>
    <sheetView workbookViewId="0">
      <selection activeCell="E21" sqref="E21"/>
    </sheetView>
  </sheetViews>
  <sheetFormatPr baseColWidth="10" defaultColWidth="14.42578125" defaultRowHeight="15" customHeight="1"/>
  <cols>
    <col min="1" max="1" width="10.7109375" customWidth="1"/>
    <col min="2" max="2" width="12.5703125" customWidth="1"/>
    <col min="3" max="26" width="10.7109375" customWidth="1"/>
  </cols>
  <sheetData>
    <row r="3" spans="1:25">
      <c r="B3" s="6">
        <v>17508</v>
      </c>
      <c r="C3" s="6" t="s">
        <v>14</v>
      </c>
      <c r="D3" s="6">
        <v>412</v>
      </c>
      <c r="E3" s="6" t="s">
        <v>15</v>
      </c>
    </row>
    <row r="4" spans="1:25">
      <c r="A4" s="6" t="s">
        <v>6</v>
      </c>
    </row>
    <row r="5" spans="1:25">
      <c r="A5" s="6">
        <v>1040</v>
      </c>
    </row>
    <row r="7" spans="1:25">
      <c r="A7" s="6" t="s">
        <v>20</v>
      </c>
      <c r="D7" s="32">
        <v>0.1</v>
      </c>
      <c r="E7" s="30"/>
      <c r="F7" s="30"/>
      <c r="G7" s="18"/>
      <c r="H7" s="32">
        <v>0.2</v>
      </c>
      <c r="I7" s="30"/>
      <c r="J7" s="30"/>
      <c r="K7" s="18"/>
      <c r="L7" s="32">
        <v>0.3</v>
      </c>
      <c r="M7" s="30"/>
      <c r="N7" s="30"/>
      <c r="O7" s="18"/>
      <c r="P7" s="32">
        <v>0.4</v>
      </c>
      <c r="Q7" s="30"/>
      <c r="R7" s="30"/>
      <c r="S7" s="18"/>
      <c r="T7" s="32">
        <v>0.5</v>
      </c>
      <c r="U7" s="30"/>
      <c r="V7" s="30"/>
      <c r="W7" s="1"/>
      <c r="X7" s="2"/>
      <c r="Y7" s="2"/>
    </row>
    <row r="8" spans="1:25">
      <c r="B8" s="3" t="s">
        <v>0</v>
      </c>
      <c r="C8" s="19" t="s">
        <v>17</v>
      </c>
      <c r="D8" s="4" t="s">
        <v>1</v>
      </c>
      <c r="E8" s="3" t="s">
        <v>2</v>
      </c>
      <c r="F8" s="3" t="s">
        <v>3</v>
      </c>
      <c r="G8" s="19" t="s">
        <v>17</v>
      </c>
      <c r="H8" s="4" t="s">
        <v>1</v>
      </c>
      <c r="I8" s="3" t="s">
        <v>2</v>
      </c>
      <c r="J8" s="3" t="s">
        <v>3</v>
      </c>
      <c r="K8" s="19" t="s">
        <v>17</v>
      </c>
      <c r="L8" s="3" t="s">
        <v>1</v>
      </c>
      <c r="M8" s="3" t="s">
        <v>2</v>
      </c>
      <c r="N8" s="3" t="s">
        <v>3</v>
      </c>
      <c r="O8" s="19" t="s">
        <v>17</v>
      </c>
      <c r="P8" s="3" t="s">
        <v>1</v>
      </c>
      <c r="Q8" s="3" t="s">
        <v>2</v>
      </c>
      <c r="R8" s="3" t="s">
        <v>3</v>
      </c>
      <c r="S8" s="19" t="s">
        <v>17</v>
      </c>
      <c r="T8" s="3" t="s">
        <v>1</v>
      </c>
      <c r="U8" s="3" t="s">
        <v>2</v>
      </c>
      <c r="V8" s="3" t="s">
        <v>3</v>
      </c>
    </row>
    <row r="9" spans="1:25">
      <c r="B9" s="6">
        <v>0</v>
      </c>
      <c r="C9" s="24">
        <f t="shared" ref="C9:V9" si="0">AVERAGE(C26,C41,C57)</f>
        <v>1605</v>
      </c>
      <c r="D9" s="25">
        <f t="shared" si="0"/>
        <v>52.633333333333333</v>
      </c>
      <c r="E9" s="21">
        <f t="shared" si="0"/>
        <v>5.0608974358974358E-2</v>
      </c>
      <c r="F9" s="40">
        <f t="shared" si="0"/>
        <v>0.79400000000000004</v>
      </c>
      <c r="G9" s="24">
        <f t="shared" si="0"/>
        <v>1608.3333333333333</v>
      </c>
      <c r="H9" s="25">
        <f t="shared" si="0"/>
        <v>44.6</v>
      </c>
      <c r="I9" s="21">
        <f t="shared" si="0"/>
        <v>4.2884615384615382E-2</v>
      </c>
      <c r="J9" s="40">
        <f t="shared" si="0"/>
        <v>0.88099999999999989</v>
      </c>
      <c r="K9" s="24">
        <f t="shared" si="0"/>
        <v>1371.6666666666667</v>
      </c>
      <c r="L9" s="25">
        <f t="shared" si="0"/>
        <v>40.533333333333331</v>
      </c>
      <c r="M9" s="21">
        <f t="shared" si="0"/>
        <v>3.8974358974358976E-2</v>
      </c>
      <c r="N9" s="40">
        <f t="shared" si="0"/>
        <v>0.90233333333333343</v>
      </c>
      <c r="O9" s="24">
        <f t="shared" si="0"/>
        <v>1176.6666666666667</v>
      </c>
      <c r="P9" s="25">
        <f t="shared" si="0"/>
        <v>39.433333333333337</v>
      </c>
      <c r="Q9" s="21">
        <f t="shared" si="0"/>
        <v>3.7916666666666668E-2</v>
      </c>
      <c r="R9" s="40">
        <f t="shared" si="0"/>
        <v>0.90566666666666673</v>
      </c>
      <c r="S9" s="24">
        <f t="shared" si="0"/>
        <v>988.33333333333337</v>
      </c>
      <c r="T9" s="25">
        <f t="shared" si="0"/>
        <v>38.1</v>
      </c>
      <c r="U9" s="21">
        <f t="shared" si="0"/>
        <v>3.6634615384615384E-2</v>
      </c>
      <c r="V9" s="40">
        <f t="shared" si="0"/>
        <v>0.91200000000000003</v>
      </c>
    </row>
    <row r="10" spans="1:25">
      <c r="B10" s="6">
        <v>1</v>
      </c>
      <c r="C10" s="24">
        <f t="shared" ref="C10:V10" si="1">AVERAGE(C27,C42,C58)</f>
        <v>3140</v>
      </c>
      <c r="D10" s="25">
        <f t="shared" si="1"/>
        <v>42.300000000000004</v>
      </c>
      <c r="E10" s="21">
        <f t="shared" si="1"/>
        <v>4.0673076923076923E-2</v>
      </c>
      <c r="F10" s="40">
        <f t="shared" si="1"/>
        <v>0.91500000000000004</v>
      </c>
      <c r="G10" s="24">
        <f t="shared" si="1"/>
        <v>2601.6666666666665</v>
      </c>
      <c r="H10" s="25">
        <f t="shared" si="1"/>
        <v>36.266666666666666</v>
      </c>
      <c r="I10" s="21">
        <f t="shared" si="1"/>
        <v>3.487179487179487E-2</v>
      </c>
      <c r="J10" s="40">
        <f t="shared" si="1"/>
        <v>0.92433333333333334</v>
      </c>
      <c r="K10" s="24">
        <f t="shared" si="1"/>
        <v>2311.6666666666665</v>
      </c>
      <c r="L10" s="25">
        <f t="shared" si="1"/>
        <v>34.133333333333333</v>
      </c>
      <c r="M10" s="21">
        <f t="shared" si="1"/>
        <v>3.282051282051282E-2</v>
      </c>
      <c r="N10" s="40">
        <f t="shared" si="1"/>
        <v>0.93200000000000005</v>
      </c>
      <c r="O10" s="24">
        <f t="shared" si="1"/>
        <v>1953.3333333333333</v>
      </c>
      <c r="P10" s="25">
        <f t="shared" si="1"/>
        <v>33.233333333333334</v>
      </c>
      <c r="Q10" s="21">
        <f t="shared" si="1"/>
        <v>3.1955128205128205E-2</v>
      </c>
      <c r="R10" s="40">
        <f t="shared" si="1"/>
        <v>0.93666666666666665</v>
      </c>
      <c r="S10" s="24">
        <f t="shared" si="1"/>
        <v>1611.6666666666667</v>
      </c>
      <c r="T10" s="25">
        <f t="shared" si="1"/>
        <v>31.900000000000002</v>
      </c>
      <c r="U10" s="21">
        <f t="shared" si="1"/>
        <v>3.0673076923076924E-2</v>
      </c>
      <c r="V10" s="40">
        <f t="shared" si="1"/>
        <v>0.93833333333333335</v>
      </c>
    </row>
    <row r="11" spans="1:25">
      <c r="B11" s="6">
        <v>2</v>
      </c>
      <c r="C11" s="24">
        <f t="shared" ref="C11:V11" si="2">AVERAGE(C28,C43,C59)</f>
        <v>876.66666666666663</v>
      </c>
      <c r="D11" s="25">
        <f t="shared" si="2"/>
        <v>75.2</v>
      </c>
      <c r="E11" s="21">
        <f t="shared" si="2"/>
        <v>7.2307692307692295E-2</v>
      </c>
      <c r="F11" s="40">
        <f t="shared" si="2"/>
        <v>0.92166666666666675</v>
      </c>
      <c r="G11" s="24">
        <f t="shared" si="2"/>
        <v>748.33333333333337</v>
      </c>
      <c r="H11" s="25">
        <f t="shared" si="2"/>
        <v>53</v>
      </c>
      <c r="I11" s="21">
        <f t="shared" si="2"/>
        <v>5.0961538461538454E-2</v>
      </c>
      <c r="J11" s="40">
        <f t="shared" si="2"/>
        <v>0.95766666666666678</v>
      </c>
      <c r="K11" s="24">
        <f t="shared" si="2"/>
        <v>663.33333333333337</v>
      </c>
      <c r="L11" s="25">
        <f t="shared" si="2"/>
        <v>45.033333333333331</v>
      </c>
      <c r="M11" s="21">
        <f t="shared" si="2"/>
        <v>4.3301282051282051E-2</v>
      </c>
      <c r="N11" s="40">
        <f t="shared" si="2"/>
        <v>0.97000000000000008</v>
      </c>
      <c r="O11" s="24">
        <f t="shared" si="2"/>
        <v>565</v>
      </c>
      <c r="P11" s="25">
        <f t="shared" si="2"/>
        <v>39.033333333333331</v>
      </c>
      <c r="Q11" s="21">
        <f t="shared" si="2"/>
        <v>3.7532051282051282E-2</v>
      </c>
      <c r="R11" s="40">
        <f t="shared" si="2"/>
        <v>0.97599999999999998</v>
      </c>
      <c r="S11" s="24">
        <f t="shared" si="2"/>
        <v>478.33333333333331</v>
      </c>
      <c r="T11" s="25">
        <f t="shared" si="2"/>
        <v>40</v>
      </c>
      <c r="U11" s="21">
        <f t="shared" si="2"/>
        <v>3.8461538461538464E-2</v>
      </c>
      <c r="V11" s="40">
        <f t="shared" si="2"/>
        <v>0.97399999999999987</v>
      </c>
    </row>
    <row r="12" spans="1:25">
      <c r="B12" s="6">
        <v>3</v>
      </c>
      <c r="C12" s="24">
        <f t="shared" ref="C12:V12" si="3">AVERAGE(C29,C44,C60)</f>
        <v>2733.3333333333335</v>
      </c>
      <c r="D12" s="25">
        <f t="shared" si="3"/>
        <v>54.6</v>
      </c>
      <c r="E12" s="21">
        <f t="shared" si="3"/>
        <v>5.2499999999999998E-2</v>
      </c>
      <c r="F12" s="40">
        <f t="shared" si="3"/>
        <v>0.92733333333333334</v>
      </c>
      <c r="G12" s="24">
        <f t="shared" si="3"/>
        <v>2363.3333333333335</v>
      </c>
      <c r="H12" s="25">
        <f t="shared" si="3"/>
        <v>44.6</v>
      </c>
      <c r="I12" s="21">
        <f t="shared" si="3"/>
        <v>4.2884615384615382E-2</v>
      </c>
      <c r="J12" s="40">
        <f t="shared" si="3"/>
        <v>0.94699999999999995</v>
      </c>
      <c r="K12" s="24">
        <f t="shared" si="3"/>
        <v>2021.6666666666667</v>
      </c>
      <c r="L12" s="25">
        <f t="shared" si="3"/>
        <v>42.5</v>
      </c>
      <c r="M12" s="21">
        <f t="shared" si="3"/>
        <v>4.0865384615384616E-2</v>
      </c>
      <c r="N12" s="40">
        <f t="shared" si="3"/>
        <v>0.95000000000000007</v>
      </c>
      <c r="O12" s="24">
        <f t="shared" si="3"/>
        <v>1740</v>
      </c>
      <c r="P12" s="25">
        <f t="shared" si="3"/>
        <v>40.866666666666667</v>
      </c>
      <c r="Q12" s="21">
        <f t="shared" si="3"/>
        <v>3.9294871794871795E-2</v>
      </c>
      <c r="R12" s="40">
        <f t="shared" si="3"/>
        <v>0.95566666666666666</v>
      </c>
      <c r="S12" s="24">
        <f t="shared" si="3"/>
        <v>1465</v>
      </c>
      <c r="T12" s="25">
        <f t="shared" si="3"/>
        <v>39.133333333333333</v>
      </c>
      <c r="U12" s="21">
        <f t="shared" si="3"/>
        <v>3.7628205128205132E-2</v>
      </c>
      <c r="V12" s="40">
        <f t="shared" si="3"/>
        <v>0.95766666666666678</v>
      </c>
    </row>
    <row r="13" spans="1:25">
      <c r="B13" s="6">
        <v>4</v>
      </c>
      <c r="C13" s="24">
        <f t="shared" ref="C13:V13" si="4">AVERAGE(C30,C45,C61)</f>
        <v>1673.3333333333333</v>
      </c>
      <c r="D13" s="25">
        <f t="shared" si="4"/>
        <v>52.866666666666667</v>
      </c>
      <c r="E13" s="21">
        <f t="shared" si="4"/>
        <v>5.0833333333333335E-2</v>
      </c>
      <c r="F13" s="40">
        <f t="shared" si="4"/>
        <v>0.95666666666666667</v>
      </c>
      <c r="G13" s="24">
        <f t="shared" si="4"/>
        <v>1516.6666666666667</v>
      </c>
      <c r="H13" s="25">
        <f t="shared" si="4"/>
        <v>44.9</v>
      </c>
      <c r="I13" s="21">
        <f t="shared" si="4"/>
        <v>4.3173076923076925E-2</v>
      </c>
      <c r="J13" s="40">
        <f t="shared" si="4"/>
        <v>0.96766666666666667</v>
      </c>
      <c r="K13" s="24">
        <f t="shared" si="4"/>
        <v>1316.6666666666667</v>
      </c>
      <c r="L13" s="25">
        <f t="shared" si="4"/>
        <v>41.333333333333336</v>
      </c>
      <c r="M13" s="21">
        <f t="shared" si="4"/>
        <v>3.9743589743589741E-2</v>
      </c>
      <c r="N13" s="40">
        <f t="shared" si="4"/>
        <v>0.97199999999999998</v>
      </c>
      <c r="O13" s="24">
        <f t="shared" si="4"/>
        <v>1141.6666666666667</v>
      </c>
      <c r="P13" s="25">
        <f t="shared" si="4"/>
        <v>39.4</v>
      </c>
      <c r="Q13" s="21">
        <f t="shared" si="4"/>
        <v>3.7884615384615385E-2</v>
      </c>
      <c r="R13" s="40">
        <f t="shared" si="4"/>
        <v>0.97533333333333339</v>
      </c>
      <c r="S13" s="24">
        <f t="shared" si="4"/>
        <v>946.66666666666663</v>
      </c>
      <c r="T13" s="25">
        <f t="shared" si="4"/>
        <v>35.666666666666664</v>
      </c>
      <c r="U13" s="21">
        <f t="shared" si="4"/>
        <v>3.4294871794871791E-2</v>
      </c>
      <c r="V13" s="40">
        <f t="shared" si="4"/>
        <v>0.97866666666666668</v>
      </c>
    </row>
    <row r="14" spans="1:25">
      <c r="B14" s="6">
        <v>5</v>
      </c>
      <c r="C14" s="24">
        <f t="shared" ref="C14:V14" si="5">AVERAGE(C31,C46,C62)</f>
        <v>1106.6666666666667</v>
      </c>
      <c r="D14" s="25">
        <f t="shared" si="5"/>
        <v>71.333333333333329</v>
      </c>
      <c r="E14" s="21">
        <f t="shared" si="5"/>
        <v>6.8589743589743596E-2</v>
      </c>
      <c r="F14" s="40">
        <f t="shared" si="5"/>
        <v>0.82266666666666666</v>
      </c>
      <c r="G14" s="24">
        <f t="shared" si="5"/>
        <v>1020</v>
      </c>
      <c r="H14" s="25">
        <f t="shared" si="5"/>
        <v>45.933333333333337</v>
      </c>
      <c r="I14" s="21">
        <f t="shared" si="5"/>
        <v>4.416666666666666E-2</v>
      </c>
      <c r="J14" s="40">
        <f t="shared" si="5"/>
        <v>0.92333333333333334</v>
      </c>
      <c r="K14" s="24">
        <f t="shared" si="5"/>
        <v>926.66666666666663</v>
      </c>
      <c r="L14" s="25">
        <f t="shared" si="5"/>
        <v>43.766666666666673</v>
      </c>
      <c r="M14" s="21">
        <f t="shared" si="5"/>
        <v>4.2083333333333334E-2</v>
      </c>
      <c r="N14" s="40">
        <f t="shared" si="5"/>
        <v>0.93599999999999994</v>
      </c>
      <c r="O14" s="24">
        <f t="shared" si="5"/>
        <v>795</v>
      </c>
      <c r="P14" s="25">
        <f t="shared" si="5"/>
        <v>39.166666666666664</v>
      </c>
      <c r="Q14" s="21">
        <f t="shared" si="5"/>
        <v>3.7660256410256415E-2</v>
      </c>
      <c r="R14" s="40">
        <f t="shared" si="5"/>
        <v>0.94533333333333325</v>
      </c>
      <c r="S14" s="24">
        <f t="shared" si="5"/>
        <v>651.66666666666663</v>
      </c>
      <c r="T14" s="25">
        <f t="shared" si="5"/>
        <v>38.366666666666667</v>
      </c>
      <c r="U14" s="21">
        <f t="shared" si="5"/>
        <v>3.6891025641025643E-2</v>
      </c>
      <c r="V14" s="40">
        <f t="shared" si="5"/>
        <v>0.94600000000000006</v>
      </c>
    </row>
    <row r="15" spans="1:25">
      <c r="B15" s="6">
        <v>6</v>
      </c>
      <c r="C15" s="24">
        <f t="shared" ref="C15:V15" si="6">AVERAGE(C32,C47,C63)</f>
        <v>925</v>
      </c>
      <c r="D15" s="25">
        <f t="shared" si="6"/>
        <v>107.60000000000001</v>
      </c>
      <c r="E15" s="21">
        <f t="shared" si="6"/>
        <v>0.10346153846153845</v>
      </c>
      <c r="F15" s="40">
        <f t="shared" si="6"/>
        <v>0.80066666666666675</v>
      </c>
      <c r="G15" s="24">
        <f t="shared" si="6"/>
        <v>806.66666666666663</v>
      </c>
      <c r="H15" s="25">
        <f t="shared" si="6"/>
        <v>56.766666666666673</v>
      </c>
      <c r="I15" s="21">
        <f t="shared" si="6"/>
        <v>5.4583333333333338E-2</v>
      </c>
      <c r="J15" s="40">
        <f t="shared" si="6"/>
        <v>0.94799999999999995</v>
      </c>
      <c r="K15" s="24">
        <f t="shared" si="6"/>
        <v>713.33333333333337</v>
      </c>
      <c r="L15" s="25">
        <f t="shared" si="6"/>
        <v>51.633333333333326</v>
      </c>
      <c r="M15" s="21">
        <f t="shared" si="6"/>
        <v>4.96474358974359E-2</v>
      </c>
      <c r="N15" s="40">
        <f t="shared" si="6"/>
        <v>0.95866666666666667</v>
      </c>
      <c r="O15" s="24">
        <f t="shared" si="6"/>
        <v>611.66666666666663</v>
      </c>
      <c r="P15" s="25">
        <f t="shared" si="6"/>
        <v>49.9</v>
      </c>
      <c r="Q15" s="21">
        <f t="shared" si="6"/>
        <v>4.7980769230769237E-2</v>
      </c>
      <c r="R15" s="40">
        <f t="shared" si="6"/>
        <v>0.96033333333333326</v>
      </c>
      <c r="S15" s="24">
        <f t="shared" si="6"/>
        <v>500</v>
      </c>
      <c r="T15" s="25">
        <f t="shared" si="6"/>
        <v>46.6</v>
      </c>
      <c r="U15" s="21">
        <f t="shared" si="6"/>
        <v>4.4807692307692305E-2</v>
      </c>
      <c r="V15" s="40">
        <f t="shared" si="6"/>
        <v>0.96399999999999997</v>
      </c>
    </row>
    <row r="16" spans="1:25">
      <c r="B16" s="6">
        <v>7</v>
      </c>
      <c r="C16" s="24">
        <f t="shared" ref="C16:V16" si="7">AVERAGE(C33,C48,C64)</f>
        <v>1065</v>
      </c>
      <c r="D16" s="25">
        <f t="shared" si="7"/>
        <v>55.633333333333333</v>
      </c>
      <c r="E16" s="21">
        <f t="shared" si="7"/>
        <v>5.3493589743589746E-2</v>
      </c>
      <c r="F16" s="40">
        <f t="shared" si="7"/>
        <v>0.94499999999999995</v>
      </c>
      <c r="G16" s="24">
        <f t="shared" si="7"/>
        <v>1000</v>
      </c>
      <c r="H16" s="25">
        <f t="shared" si="7"/>
        <v>43</v>
      </c>
      <c r="I16" s="21">
        <f t="shared" si="7"/>
        <v>4.1346153846153845E-2</v>
      </c>
      <c r="J16" s="40">
        <f t="shared" si="7"/>
        <v>0.96533333333333327</v>
      </c>
      <c r="K16" s="24">
        <f t="shared" si="7"/>
        <v>885</v>
      </c>
      <c r="L16" s="25">
        <f t="shared" si="7"/>
        <v>38.033333333333331</v>
      </c>
      <c r="M16" s="21">
        <f t="shared" si="7"/>
        <v>3.6570512820512824E-2</v>
      </c>
      <c r="N16" s="40">
        <f t="shared" si="7"/>
        <v>0.97299999999999998</v>
      </c>
      <c r="O16" s="24">
        <f t="shared" si="7"/>
        <v>766.66666666666663</v>
      </c>
      <c r="P16" s="25">
        <f t="shared" si="7"/>
        <v>35.233333333333334</v>
      </c>
      <c r="Q16" s="21">
        <f t="shared" si="7"/>
        <v>3.3878205128205129E-2</v>
      </c>
      <c r="R16" s="40">
        <f t="shared" si="7"/>
        <v>0.97666666666666657</v>
      </c>
      <c r="S16" s="24">
        <f t="shared" si="7"/>
        <v>648.33333333333337</v>
      </c>
      <c r="T16" s="25">
        <f t="shared" si="7"/>
        <v>33.966666666666661</v>
      </c>
      <c r="U16" s="21">
        <f t="shared" si="7"/>
        <v>3.2660256410256411E-2</v>
      </c>
      <c r="V16" s="40">
        <f t="shared" si="7"/>
        <v>0.97833333333333317</v>
      </c>
    </row>
    <row r="17" spans="1:22">
      <c r="C17" s="20"/>
      <c r="D17" s="20"/>
      <c r="E17" s="23"/>
      <c r="F17" s="20"/>
      <c r="G17" s="24"/>
      <c r="H17" s="20"/>
      <c r="I17" s="21"/>
      <c r="J17" s="20"/>
      <c r="K17" s="24"/>
      <c r="L17" s="20"/>
      <c r="M17" s="21"/>
      <c r="N17" s="20"/>
      <c r="O17" s="20"/>
      <c r="P17" s="20"/>
      <c r="Q17" s="21"/>
      <c r="R17" s="20"/>
      <c r="S17" s="24"/>
      <c r="T17" s="20"/>
      <c r="U17" s="21"/>
      <c r="V17" s="20"/>
    </row>
    <row r="18" spans="1:22">
      <c r="B18" s="6" t="s">
        <v>4</v>
      </c>
      <c r="C18" s="20"/>
      <c r="D18" s="22">
        <f t="shared" ref="D18:F18" si="8">AVERAGE(D35,D50,D66)</f>
        <v>57.972431746031738</v>
      </c>
      <c r="E18" s="43">
        <f t="shared" si="8"/>
        <v>5.5742722832722837E-2</v>
      </c>
      <c r="F18" s="20" t="e">
        <f t="shared" si="8"/>
        <v>#DIV/0!</v>
      </c>
      <c r="G18" s="20"/>
      <c r="H18" s="22">
        <f t="shared" ref="H18:J18" si="9">AVERAGE(H35,H50,H66)</f>
        <v>44.137648235462201</v>
      </c>
      <c r="I18" s="43">
        <f t="shared" si="9"/>
        <v>4.2440046380252117E-2</v>
      </c>
      <c r="J18" s="20" t="e">
        <f t="shared" si="9"/>
        <v>#DIV/0!</v>
      </c>
      <c r="K18" s="20"/>
      <c r="L18" s="22">
        <f t="shared" ref="L18:N18" si="10">AVERAGE(L35,L50,L66)</f>
        <v>40.742801175318313</v>
      </c>
      <c r="M18" s="43">
        <f t="shared" si="10"/>
        <v>3.9175770360882996E-2</v>
      </c>
      <c r="N18" s="20" t="e">
        <f t="shared" si="10"/>
        <v>#DIV/0!</v>
      </c>
      <c r="O18" s="20"/>
      <c r="P18" s="22">
        <f t="shared" ref="P18:R18" si="11">AVERAGE(P35,P50,P66)</f>
        <v>38.671961904761908</v>
      </c>
      <c r="Q18" s="43">
        <f t="shared" si="11"/>
        <v>3.7184578754578756E-2</v>
      </c>
      <c r="R18" s="20" t="e">
        <f t="shared" si="11"/>
        <v>#DIV/0!</v>
      </c>
      <c r="S18" s="20"/>
      <c r="T18" s="22">
        <f t="shared" ref="T18:V18" si="12">AVERAGE(T35,T50,T66)</f>
        <v>37.002103337905801</v>
      </c>
      <c r="U18" s="43">
        <f t="shared" si="12"/>
        <v>3.5578945517217131E-2</v>
      </c>
      <c r="V18" s="20" t="e">
        <f t="shared" si="12"/>
        <v>#DIV/0!</v>
      </c>
    </row>
    <row r="21" spans="1:22" ht="15.75" customHeight="1"/>
    <row r="22" spans="1:22" ht="15.75" customHeight="1"/>
    <row r="23" spans="1:22" ht="15.75" customHeight="1"/>
    <row r="24" spans="1:22" ht="15.75" customHeight="1">
      <c r="A24" s="6" t="s">
        <v>18</v>
      </c>
      <c r="D24" s="32">
        <v>0.1</v>
      </c>
      <c r="E24" s="30"/>
      <c r="F24" s="30"/>
      <c r="G24" s="18"/>
      <c r="H24" s="32">
        <v>0.2</v>
      </c>
      <c r="I24" s="30"/>
      <c r="J24" s="30"/>
      <c r="K24" s="18"/>
      <c r="L24" s="32">
        <v>0.3</v>
      </c>
      <c r="M24" s="30"/>
      <c r="N24" s="30"/>
      <c r="O24" s="18"/>
      <c r="P24" s="32">
        <v>0.4</v>
      </c>
      <c r="Q24" s="30"/>
      <c r="R24" s="30"/>
      <c r="S24" s="18"/>
      <c r="T24" s="32">
        <v>0.5</v>
      </c>
      <c r="U24" s="30"/>
      <c r="V24" s="30"/>
    </row>
    <row r="25" spans="1:22" ht="15.75" customHeight="1">
      <c r="B25" s="3" t="s">
        <v>0</v>
      </c>
      <c r="C25" s="19" t="s">
        <v>17</v>
      </c>
      <c r="D25" s="4" t="s">
        <v>1</v>
      </c>
      <c r="E25" s="3" t="s">
        <v>2</v>
      </c>
      <c r="F25" s="3" t="s">
        <v>3</v>
      </c>
      <c r="G25" s="19" t="s">
        <v>17</v>
      </c>
      <c r="H25" s="4" t="s">
        <v>1</v>
      </c>
      <c r="I25" s="3" t="s">
        <v>2</v>
      </c>
      <c r="J25" s="3" t="s">
        <v>3</v>
      </c>
      <c r="K25" s="19" t="s">
        <v>17</v>
      </c>
      <c r="L25" s="3" t="s">
        <v>1</v>
      </c>
      <c r="M25" s="3" t="s">
        <v>2</v>
      </c>
      <c r="N25" s="3" t="s">
        <v>3</v>
      </c>
      <c r="O25" s="19" t="s">
        <v>17</v>
      </c>
      <c r="P25" s="3" t="s">
        <v>1</v>
      </c>
      <c r="Q25" s="3" t="s">
        <v>2</v>
      </c>
      <c r="R25" s="3" t="s">
        <v>3</v>
      </c>
      <c r="S25" s="19" t="s">
        <v>17</v>
      </c>
      <c r="T25" s="3" t="s">
        <v>1</v>
      </c>
      <c r="U25" s="3" t="s">
        <v>2</v>
      </c>
      <c r="V25" s="3" t="s">
        <v>3</v>
      </c>
    </row>
    <row r="26" spans="1:22" ht="15.75" customHeight="1">
      <c r="B26" s="6">
        <v>0</v>
      </c>
      <c r="C26" s="20">
        <v>1430</v>
      </c>
      <c r="D26" s="9">
        <v>47</v>
      </c>
      <c r="E26" s="8">
        <f t="shared" ref="E26:E33" si="13">D26/$A$5</f>
        <v>4.5192307692307691E-2</v>
      </c>
      <c r="F26" s="41">
        <v>0.82899999999999996</v>
      </c>
      <c r="G26" s="9">
        <v>1555</v>
      </c>
      <c r="H26" s="9">
        <v>45.5</v>
      </c>
      <c r="I26" s="8">
        <f t="shared" ref="I26:I33" si="14">H26/$A$5</f>
        <v>4.3749999999999997E-2</v>
      </c>
      <c r="J26" s="41">
        <v>0.873</v>
      </c>
      <c r="K26" s="20">
        <v>1430</v>
      </c>
      <c r="L26" s="41">
        <v>43.4</v>
      </c>
      <c r="M26" s="8">
        <f t="shared" ref="M26:M33" si="15">L26/$A$5</f>
        <v>4.1730769230769231E-2</v>
      </c>
      <c r="N26" s="41">
        <v>0.89600000000000002</v>
      </c>
      <c r="O26" s="20">
        <v>1195</v>
      </c>
      <c r="P26" s="41">
        <v>41.2</v>
      </c>
      <c r="Q26" s="8">
        <f t="shared" ref="Q26:Q33" si="16">P26/$A$5</f>
        <v>3.9615384615384615E-2</v>
      </c>
      <c r="R26" s="41">
        <v>0.90100000000000002</v>
      </c>
      <c r="S26" s="20">
        <v>1015</v>
      </c>
      <c r="T26" s="41">
        <v>39.4</v>
      </c>
      <c r="U26" s="8">
        <f t="shared" ref="U26:U33" si="17">T26/$A$5</f>
        <v>3.7884615384615385E-2</v>
      </c>
      <c r="V26" s="41">
        <v>0.91</v>
      </c>
    </row>
    <row r="27" spans="1:22" ht="15.75" customHeight="1">
      <c r="B27" s="6">
        <v>1</v>
      </c>
      <c r="C27" s="20">
        <v>3200</v>
      </c>
      <c r="D27" s="9">
        <v>40.5</v>
      </c>
      <c r="E27" s="8">
        <f t="shared" si="13"/>
        <v>3.8942307692307693E-2</v>
      </c>
      <c r="F27" s="41">
        <v>0.93200000000000005</v>
      </c>
      <c r="G27" s="9">
        <v>2665</v>
      </c>
      <c r="H27" s="9">
        <v>35.200000000000003</v>
      </c>
      <c r="I27" s="8">
        <f t="shared" si="14"/>
        <v>3.3846153846153852E-2</v>
      </c>
      <c r="J27" s="41">
        <v>0.92900000000000005</v>
      </c>
      <c r="K27" s="20">
        <v>2275</v>
      </c>
      <c r="L27" s="41">
        <v>33.700000000000003</v>
      </c>
      <c r="M27" s="8">
        <f t="shared" si="15"/>
        <v>3.2403846153846158E-2</v>
      </c>
      <c r="N27" s="41">
        <v>0.92500000000000004</v>
      </c>
      <c r="O27" s="20">
        <v>1955</v>
      </c>
      <c r="P27" s="41">
        <v>33.700000000000003</v>
      </c>
      <c r="Q27" s="8">
        <f t="shared" si="16"/>
        <v>3.2403846153846158E-2</v>
      </c>
      <c r="R27" s="41">
        <v>0.93500000000000005</v>
      </c>
      <c r="S27" s="20">
        <v>1580</v>
      </c>
      <c r="T27" s="41">
        <v>31.8</v>
      </c>
      <c r="U27" s="8">
        <f t="shared" si="17"/>
        <v>3.0576923076923078E-2</v>
      </c>
      <c r="V27" s="41">
        <v>0.94199999999999995</v>
      </c>
    </row>
    <row r="28" spans="1:22" ht="15.75" customHeight="1">
      <c r="B28" s="6">
        <v>2</v>
      </c>
      <c r="C28" s="20">
        <v>895</v>
      </c>
      <c r="D28" s="9">
        <v>74.7</v>
      </c>
      <c r="E28" s="8">
        <f t="shared" si="13"/>
        <v>7.182692307692308E-2</v>
      </c>
      <c r="F28" s="41">
        <v>0.91900000000000004</v>
      </c>
      <c r="G28" s="9">
        <v>750</v>
      </c>
      <c r="H28" s="9">
        <v>51.8</v>
      </c>
      <c r="I28" s="8">
        <f t="shared" si="14"/>
        <v>4.9807692307692303E-2</v>
      </c>
      <c r="J28" s="41">
        <v>0.96399999999999997</v>
      </c>
      <c r="K28" s="20">
        <v>645</v>
      </c>
      <c r="L28" s="41">
        <v>46</v>
      </c>
      <c r="M28" s="8">
        <f t="shared" si="15"/>
        <v>4.4230769230769233E-2</v>
      </c>
      <c r="N28" s="41">
        <v>0.96799999999999997</v>
      </c>
      <c r="O28" s="20">
        <v>560</v>
      </c>
      <c r="P28" s="41">
        <v>39.299999999999997</v>
      </c>
      <c r="Q28" s="8">
        <f t="shared" si="16"/>
        <v>3.7788461538461535E-2</v>
      </c>
      <c r="R28" s="41">
        <v>0.97599999999999998</v>
      </c>
      <c r="S28" s="20">
        <v>470</v>
      </c>
      <c r="T28" s="41">
        <v>39.6</v>
      </c>
      <c r="U28" s="8">
        <f t="shared" si="17"/>
        <v>3.8076923076923078E-2</v>
      </c>
      <c r="V28" s="41">
        <v>0.97399999999999998</v>
      </c>
    </row>
    <row r="29" spans="1:22" ht="15.75" customHeight="1">
      <c r="B29" s="6">
        <v>3</v>
      </c>
      <c r="C29" s="20">
        <v>2625</v>
      </c>
      <c r="D29" s="9">
        <v>50.4</v>
      </c>
      <c r="E29" s="8">
        <f t="shared" si="13"/>
        <v>4.8461538461538459E-2</v>
      </c>
      <c r="F29" s="41">
        <v>0.93500000000000005</v>
      </c>
      <c r="G29" s="9">
        <v>2375</v>
      </c>
      <c r="H29" s="9">
        <v>42.9</v>
      </c>
      <c r="I29" s="8">
        <f t="shared" si="14"/>
        <v>4.1250000000000002E-2</v>
      </c>
      <c r="J29" s="41">
        <v>0.94899999999999995</v>
      </c>
      <c r="K29" s="20">
        <v>2020</v>
      </c>
      <c r="L29" s="41">
        <v>40.1</v>
      </c>
      <c r="M29" s="8">
        <f t="shared" si="15"/>
        <v>3.8557692307692307E-2</v>
      </c>
      <c r="N29" s="41">
        <v>0.95199999999999996</v>
      </c>
      <c r="O29" s="20">
        <v>1685</v>
      </c>
      <c r="P29" s="41">
        <v>39.4</v>
      </c>
      <c r="Q29" s="8">
        <f t="shared" si="16"/>
        <v>3.7884615384615385E-2</v>
      </c>
      <c r="R29" s="41">
        <v>0.95599999999999996</v>
      </c>
      <c r="S29" s="20">
        <v>1435</v>
      </c>
      <c r="T29" s="41">
        <v>38.1</v>
      </c>
      <c r="U29" s="8">
        <f t="shared" si="17"/>
        <v>3.6634615384615384E-2</v>
      </c>
      <c r="V29" s="41">
        <v>0.95799999999999996</v>
      </c>
    </row>
    <row r="30" spans="1:22" ht="15.75" customHeight="1">
      <c r="B30" s="6">
        <v>4</v>
      </c>
      <c r="C30" s="20">
        <v>1660</v>
      </c>
      <c r="D30" s="9">
        <v>62.3</v>
      </c>
      <c r="E30" s="8">
        <f t="shared" si="13"/>
        <v>5.9903846153846148E-2</v>
      </c>
      <c r="F30" s="41">
        <v>0.94</v>
      </c>
      <c r="G30" s="9">
        <v>1530</v>
      </c>
      <c r="H30" s="9">
        <v>50.5</v>
      </c>
      <c r="I30" s="8">
        <f t="shared" si="14"/>
        <v>4.8557692307692309E-2</v>
      </c>
      <c r="J30" s="41">
        <v>0.95899999999999996</v>
      </c>
      <c r="K30" s="20">
        <v>1345</v>
      </c>
      <c r="L30" s="41">
        <v>47.3</v>
      </c>
      <c r="M30" s="8">
        <f t="shared" si="15"/>
        <v>4.5480769230769227E-2</v>
      </c>
      <c r="N30" s="41">
        <v>0.96299999999999997</v>
      </c>
      <c r="O30" s="20">
        <v>1180</v>
      </c>
      <c r="P30" s="41">
        <v>39.9</v>
      </c>
      <c r="Q30" s="8">
        <f t="shared" si="16"/>
        <v>3.8365384615384614E-2</v>
      </c>
      <c r="R30" s="41">
        <v>0.97399999999999998</v>
      </c>
      <c r="S30" s="20">
        <v>1020</v>
      </c>
      <c r="T30" s="41">
        <v>36.200000000000003</v>
      </c>
      <c r="U30" s="8">
        <f t="shared" si="17"/>
        <v>3.480769230769231E-2</v>
      </c>
      <c r="V30" s="41">
        <v>0.97799999999999998</v>
      </c>
    </row>
    <row r="31" spans="1:22" ht="15.75" customHeight="1">
      <c r="B31" s="6">
        <v>5</v>
      </c>
      <c r="C31" s="20">
        <v>1210</v>
      </c>
      <c r="D31" s="9">
        <v>82.2</v>
      </c>
      <c r="E31" s="8">
        <f t="shared" si="13"/>
        <v>7.9038461538461544E-2</v>
      </c>
      <c r="F31" s="41">
        <v>0.80900000000000005</v>
      </c>
      <c r="G31" s="9">
        <v>1005</v>
      </c>
      <c r="H31" s="9">
        <v>45.4</v>
      </c>
      <c r="I31" s="8">
        <f t="shared" si="14"/>
        <v>4.3653846153846154E-2</v>
      </c>
      <c r="J31" s="41">
        <v>0.93100000000000005</v>
      </c>
      <c r="K31" s="20">
        <v>900</v>
      </c>
      <c r="L31" s="41">
        <v>45.7</v>
      </c>
      <c r="M31" s="8">
        <f t="shared" si="15"/>
        <v>4.3942307692307697E-2</v>
      </c>
      <c r="N31" s="41">
        <v>0.93600000000000005</v>
      </c>
      <c r="O31" s="20">
        <v>805</v>
      </c>
      <c r="P31" s="41">
        <v>39.700000000000003</v>
      </c>
      <c r="Q31" s="8">
        <f t="shared" si="16"/>
        <v>3.8173076923076928E-2</v>
      </c>
      <c r="R31" s="41">
        <v>0.94699999999999995</v>
      </c>
      <c r="S31" s="20">
        <v>650</v>
      </c>
      <c r="T31" s="41">
        <v>37.1</v>
      </c>
      <c r="U31" s="8">
        <f t="shared" si="17"/>
        <v>3.5673076923076925E-2</v>
      </c>
      <c r="V31" s="41">
        <v>0.94499999999999995</v>
      </c>
    </row>
    <row r="32" spans="1:22" ht="15.75" customHeight="1">
      <c r="B32" s="6">
        <v>6</v>
      </c>
      <c r="C32" s="20">
        <v>1020</v>
      </c>
      <c r="D32" s="9">
        <v>119</v>
      </c>
      <c r="E32" s="8">
        <f t="shared" si="13"/>
        <v>0.11442307692307692</v>
      </c>
      <c r="F32" s="41">
        <v>0.82399999999999995</v>
      </c>
      <c r="G32" s="9">
        <v>790</v>
      </c>
      <c r="H32" s="9">
        <v>54.1</v>
      </c>
      <c r="I32" s="8">
        <f t="shared" si="14"/>
        <v>5.2019230769230769E-2</v>
      </c>
      <c r="J32" s="41">
        <v>0.95199999999999996</v>
      </c>
      <c r="K32" s="20">
        <v>705</v>
      </c>
      <c r="L32" s="41">
        <v>49.7</v>
      </c>
      <c r="M32" s="8">
        <f t="shared" si="15"/>
        <v>4.7788461538461544E-2</v>
      </c>
      <c r="N32" s="41">
        <v>0.96</v>
      </c>
      <c r="O32" s="20">
        <v>600</v>
      </c>
      <c r="P32" s="41">
        <v>45.2</v>
      </c>
      <c r="Q32" s="8">
        <f t="shared" si="16"/>
        <v>4.3461538461538461E-2</v>
      </c>
      <c r="R32" s="41">
        <v>0.96699999999999997</v>
      </c>
      <c r="S32" s="20">
        <v>475</v>
      </c>
      <c r="T32" s="41">
        <v>45.4</v>
      </c>
      <c r="U32" s="8">
        <f t="shared" si="17"/>
        <v>4.3653846153846154E-2</v>
      </c>
      <c r="V32" s="41">
        <v>0.96799999999999997</v>
      </c>
    </row>
    <row r="33" spans="1:22" ht="15.75" customHeight="1">
      <c r="B33" s="6">
        <v>7</v>
      </c>
      <c r="C33" s="20">
        <v>1085</v>
      </c>
      <c r="D33" s="9">
        <v>52.6</v>
      </c>
      <c r="E33" s="8">
        <f t="shared" si="13"/>
        <v>5.0576923076923075E-2</v>
      </c>
      <c r="F33" s="41">
        <v>0.95199999999999996</v>
      </c>
      <c r="G33" s="9">
        <v>995</v>
      </c>
      <c r="H33" s="44">
        <v>42</v>
      </c>
      <c r="I33" s="45">
        <f t="shared" si="14"/>
        <v>4.0384615384615387E-2</v>
      </c>
      <c r="J33" s="41">
        <v>0.96599999999999997</v>
      </c>
      <c r="K33" s="20">
        <v>890</v>
      </c>
      <c r="L33" s="41">
        <v>41</v>
      </c>
      <c r="M33" s="8">
        <f t="shared" si="15"/>
        <v>3.9423076923076922E-2</v>
      </c>
      <c r="N33" s="41">
        <v>0.96899999999999997</v>
      </c>
      <c r="O33" s="20">
        <v>770</v>
      </c>
      <c r="P33" s="41">
        <v>37.1</v>
      </c>
      <c r="Q33" s="8">
        <f t="shared" si="16"/>
        <v>3.5673076923076925E-2</v>
      </c>
      <c r="R33" s="41">
        <v>0.97599999999999998</v>
      </c>
      <c r="S33" s="20">
        <v>645</v>
      </c>
      <c r="T33" s="41">
        <v>34.5</v>
      </c>
      <c r="U33" s="8">
        <f t="shared" si="17"/>
        <v>3.3173076923076923E-2</v>
      </c>
      <c r="V33" s="41">
        <v>0.97899999999999998</v>
      </c>
    </row>
    <row r="34" spans="1:22" ht="15.75" customHeight="1">
      <c r="C34" s="20"/>
      <c r="D34" s="9"/>
      <c r="G34" s="9"/>
      <c r="H34" s="9"/>
      <c r="K34" s="20"/>
      <c r="O34" s="20"/>
      <c r="S34" s="20"/>
    </row>
    <row r="35" spans="1:22" ht="15.75" customHeight="1">
      <c r="B35" s="6" t="s">
        <v>4</v>
      </c>
      <c r="C35" s="20"/>
      <c r="D35" s="15">
        <f>SUMPRODUCT(C26:C33,D26:D33)/SUM(C26:C33)</f>
        <v>59.222666666666669</v>
      </c>
      <c r="E35" s="12">
        <f>SUMPRODUCT(C26:C33,E26:E33)/SUM(C26:C33)</f>
        <v>5.6944871794871794E-2</v>
      </c>
      <c r="G35" s="9"/>
      <c r="H35" s="15">
        <f>SUMPRODUCT(G26:G33,H26:H33)/SUM(G26:G33)</f>
        <v>43.953621945992282</v>
      </c>
      <c r="I35" s="12">
        <f>SUMPRODUCT(G26:G33,I26:I33)/SUM(G26:G33)</f>
        <v>4.2263098024992576E-2</v>
      </c>
      <c r="K35" s="20"/>
      <c r="L35" s="15">
        <f>SUMPRODUCT(K26:K33,L26:L33)/SUM(K26:K33)</f>
        <v>41.692311459353576</v>
      </c>
      <c r="M35" s="12">
        <f>SUMPRODUCT(K26:K33,M26:M33)/SUM(K26:K33)</f>
        <v>4.0088761018609205E-2</v>
      </c>
      <c r="O35" s="20"/>
      <c r="P35" s="15">
        <f>SUMPRODUCT(O26:O33,P26:P33)/SUM(O26:O33)</f>
        <v>38.656228571428571</v>
      </c>
      <c r="Q35" s="12">
        <f>SUMPRODUCT(O26:O33,Q26:Q33)/SUM(O26:O33)</f>
        <v>3.7169450549450554E-2</v>
      </c>
      <c r="S35" s="20"/>
      <c r="T35" s="15">
        <f>SUMPRODUCT(S26:S33,T26:T33)/SUM(S26:S33)</f>
        <v>36.814403292181069</v>
      </c>
      <c r="U35" s="12">
        <f>SUMPRODUCT(S26:S33,U26:U33)/SUM(S26:S33)</f>
        <v>3.539846470402027E-2</v>
      </c>
    </row>
    <row r="36" spans="1:22" ht="15.75" customHeight="1">
      <c r="E36">
        <v>5.42</v>
      </c>
      <c r="I36">
        <v>4.13</v>
      </c>
      <c r="M36">
        <v>3.96</v>
      </c>
      <c r="Q36">
        <v>3.69</v>
      </c>
      <c r="U36">
        <v>3.61</v>
      </c>
    </row>
    <row r="37" spans="1:22" ht="15.75" customHeight="1">
      <c r="C37" s="6">
        <f>SUM(C26:C33)</f>
        <v>13125</v>
      </c>
      <c r="G37" s="6">
        <f>SUM(G26:G33)</f>
        <v>11665</v>
      </c>
      <c r="K37" s="6">
        <f>SUM(K26:K33)</f>
        <v>10210</v>
      </c>
      <c r="O37" s="6">
        <f>SUM(O26:O33)</f>
        <v>8750</v>
      </c>
      <c r="S37" s="6">
        <f>SUM(S26:S33)</f>
        <v>7290</v>
      </c>
    </row>
    <row r="38" spans="1:22" ht="15.75" customHeight="1"/>
    <row r="39" spans="1:22" ht="15.75" customHeight="1">
      <c r="A39" s="6" t="s">
        <v>19</v>
      </c>
      <c r="D39" s="32">
        <v>0.1</v>
      </c>
      <c r="E39" s="30"/>
      <c r="F39" s="30"/>
      <c r="G39" s="18"/>
      <c r="H39" s="32">
        <v>0.2</v>
      </c>
      <c r="I39" s="30"/>
      <c r="J39" s="30"/>
      <c r="K39" s="18"/>
      <c r="L39" s="32">
        <v>0.3</v>
      </c>
      <c r="M39" s="30"/>
      <c r="N39" s="30"/>
      <c r="O39" s="18"/>
      <c r="P39" s="32">
        <v>0.4</v>
      </c>
      <c r="Q39" s="30"/>
      <c r="R39" s="30"/>
      <c r="S39" s="18"/>
      <c r="T39" s="32">
        <v>0.5</v>
      </c>
      <c r="U39" s="30"/>
      <c r="V39" s="30"/>
    </row>
    <row r="40" spans="1:22" ht="15.75" customHeight="1">
      <c r="B40" s="3" t="s">
        <v>0</v>
      </c>
      <c r="C40" s="19" t="s">
        <v>17</v>
      </c>
      <c r="D40" s="4" t="s">
        <v>1</v>
      </c>
      <c r="E40" s="3" t="s">
        <v>2</v>
      </c>
      <c r="F40" s="3" t="s">
        <v>3</v>
      </c>
      <c r="G40" s="19" t="s">
        <v>17</v>
      </c>
      <c r="H40" s="4" t="s">
        <v>1</v>
      </c>
      <c r="I40" s="3" t="s">
        <v>2</v>
      </c>
      <c r="J40" s="3" t="s">
        <v>3</v>
      </c>
      <c r="K40" s="19" t="s">
        <v>17</v>
      </c>
      <c r="L40" s="3" t="s">
        <v>1</v>
      </c>
      <c r="M40" s="3" t="s">
        <v>2</v>
      </c>
      <c r="N40" s="3" t="s">
        <v>3</v>
      </c>
      <c r="O40" s="19" t="s">
        <v>17</v>
      </c>
      <c r="P40" s="3" t="s">
        <v>1</v>
      </c>
      <c r="Q40" s="3" t="s">
        <v>2</v>
      </c>
      <c r="R40" s="3" t="s">
        <v>3</v>
      </c>
      <c r="S40" s="19" t="s">
        <v>17</v>
      </c>
      <c r="T40" s="3" t="s">
        <v>1</v>
      </c>
      <c r="U40" s="3" t="s">
        <v>2</v>
      </c>
      <c r="V40" s="3" t="s">
        <v>3</v>
      </c>
    </row>
    <row r="41" spans="1:22" ht="15.75" customHeight="1">
      <c r="B41" s="6">
        <v>0</v>
      </c>
      <c r="C41" s="20">
        <v>1790</v>
      </c>
      <c r="D41" s="9">
        <v>59</v>
      </c>
      <c r="E41" s="8">
        <f t="shared" ref="E41:E48" si="18">D41/$A$5</f>
        <v>5.673076923076923E-2</v>
      </c>
      <c r="F41" s="41">
        <v>0.8</v>
      </c>
      <c r="G41" s="9">
        <v>1745</v>
      </c>
      <c r="H41" s="9">
        <v>43.2</v>
      </c>
      <c r="I41" s="8">
        <f t="shared" ref="I41:I48" si="19">H41/$A$5</f>
        <v>4.1538461538461538E-2</v>
      </c>
      <c r="J41" s="41">
        <v>0.89700000000000002</v>
      </c>
      <c r="K41" s="20">
        <v>1410</v>
      </c>
      <c r="L41" s="41">
        <v>40.200000000000003</v>
      </c>
      <c r="M41" s="8">
        <f t="shared" ref="M41:M48" si="20">L41/$A$5</f>
        <v>3.8653846153846157E-2</v>
      </c>
      <c r="N41" s="41">
        <v>0.90100000000000002</v>
      </c>
      <c r="O41" s="20">
        <v>1235</v>
      </c>
      <c r="P41" s="41">
        <v>40.6</v>
      </c>
      <c r="Q41" s="8">
        <f t="shared" ref="Q41:Q48" si="21">P41/$A$5</f>
        <v>3.9038461538461543E-2</v>
      </c>
      <c r="R41" s="41">
        <v>0.90300000000000002</v>
      </c>
      <c r="S41" s="20">
        <v>1030</v>
      </c>
      <c r="T41" s="41">
        <v>38.5</v>
      </c>
      <c r="U41" s="8">
        <f t="shared" ref="U41:U48" si="22">T41/$A$5</f>
        <v>3.701923076923077E-2</v>
      </c>
      <c r="V41" s="41">
        <v>0.91</v>
      </c>
    </row>
    <row r="42" spans="1:22" ht="15.75" customHeight="1">
      <c r="B42" s="6">
        <v>1</v>
      </c>
      <c r="C42" s="20">
        <v>3105</v>
      </c>
      <c r="D42" s="9">
        <v>41.7</v>
      </c>
      <c r="E42" s="8">
        <f t="shared" si="18"/>
        <v>4.0096153846153851E-2</v>
      </c>
      <c r="F42" s="41">
        <v>0.89600000000000002</v>
      </c>
      <c r="G42" s="9">
        <v>2510</v>
      </c>
      <c r="H42" s="9">
        <v>34.4</v>
      </c>
      <c r="I42" s="8">
        <f t="shared" si="19"/>
        <v>3.3076923076923073E-2</v>
      </c>
      <c r="J42" s="41">
        <v>0.92200000000000004</v>
      </c>
      <c r="K42" s="20">
        <v>2290</v>
      </c>
      <c r="L42" s="41">
        <v>34.4</v>
      </c>
      <c r="M42" s="8">
        <f t="shared" si="20"/>
        <v>3.3076923076923073E-2</v>
      </c>
      <c r="N42" s="41">
        <v>0.93300000000000005</v>
      </c>
      <c r="O42" s="20">
        <v>1855</v>
      </c>
      <c r="P42" s="41">
        <v>32.5</v>
      </c>
      <c r="Q42" s="8">
        <f t="shared" si="21"/>
        <v>3.125E-2</v>
      </c>
      <c r="R42" s="41">
        <v>0.93500000000000005</v>
      </c>
      <c r="S42" s="20">
        <v>1545</v>
      </c>
      <c r="T42" s="41">
        <v>31.9</v>
      </c>
      <c r="U42" s="8">
        <f t="shared" si="22"/>
        <v>3.0673076923076921E-2</v>
      </c>
      <c r="V42" s="41">
        <v>0.93</v>
      </c>
    </row>
    <row r="43" spans="1:22" ht="15.75" customHeight="1">
      <c r="B43" s="6">
        <v>2</v>
      </c>
      <c r="C43" s="20">
        <v>845</v>
      </c>
      <c r="D43" s="9">
        <v>75.8</v>
      </c>
      <c r="E43" s="8">
        <f t="shared" si="18"/>
        <v>7.2884615384615381E-2</v>
      </c>
      <c r="F43" s="41">
        <v>0.91400000000000003</v>
      </c>
      <c r="G43" s="9">
        <v>715</v>
      </c>
      <c r="H43" s="9">
        <v>61.4</v>
      </c>
      <c r="I43" s="8">
        <f t="shared" si="19"/>
        <v>5.903846153846154E-2</v>
      </c>
      <c r="J43" s="41">
        <v>0.93899999999999995</v>
      </c>
      <c r="K43" s="20">
        <v>655</v>
      </c>
      <c r="L43" s="41">
        <v>48.2</v>
      </c>
      <c r="M43" s="8">
        <f t="shared" si="20"/>
        <v>4.6346153846153849E-2</v>
      </c>
      <c r="N43" s="41">
        <v>0.96599999999999997</v>
      </c>
      <c r="O43" s="20">
        <v>570</v>
      </c>
      <c r="P43" s="41">
        <v>39.9</v>
      </c>
      <c r="Q43" s="8">
        <f t="shared" si="21"/>
        <v>3.8365384615384614E-2</v>
      </c>
      <c r="R43" s="41">
        <v>0.97499999999999998</v>
      </c>
      <c r="S43" s="20">
        <v>485</v>
      </c>
      <c r="T43" s="41">
        <v>39.6</v>
      </c>
      <c r="U43" s="8">
        <f t="shared" si="22"/>
        <v>3.8076923076923078E-2</v>
      </c>
      <c r="V43" s="41">
        <v>0.97499999999999998</v>
      </c>
    </row>
    <row r="44" spans="1:22" ht="15.75" customHeight="1">
      <c r="B44" s="6">
        <v>3</v>
      </c>
      <c r="C44" s="20">
        <v>2605</v>
      </c>
      <c r="D44" s="9">
        <v>52</v>
      </c>
      <c r="E44" s="8">
        <f t="shared" si="18"/>
        <v>0.05</v>
      </c>
      <c r="F44" s="41">
        <v>0.93500000000000005</v>
      </c>
      <c r="G44" s="9">
        <v>2425</v>
      </c>
      <c r="H44" s="9">
        <v>44.5</v>
      </c>
      <c r="I44" s="8">
        <f t="shared" si="19"/>
        <v>4.2788461538461539E-2</v>
      </c>
      <c r="J44" s="41">
        <v>0.94899999999999995</v>
      </c>
      <c r="K44" s="20">
        <v>2075</v>
      </c>
      <c r="L44" s="41">
        <v>45</v>
      </c>
      <c r="M44" s="8">
        <f t="shared" si="20"/>
        <v>4.3269230769230768E-2</v>
      </c>
      <c r="N44" s="41">
        <v>0.94699999999999995</v>
      </c>
      <c r="O44" s="20">
        <v>1820</v>
      </c>
      <c r="P44" s="41">
        <v>41.9</v>
      </c>
      <c r="Q44" s="8">
        <f t="shared" si="21"/>
        <v>4.0288461538461537E-2</v>
      </c>
      <c r="R44" s="41">
        <v>0.95699999999999996</v>
      </c>
      <c r="S44" s="20">
        <v>1505</v>
      </c>
      <c r="T44" s="41">
        <v>39.6</v>
      </c>
      <c r="U44" s="8">
        <f t="shared" si="22"/>
        <v>3.8076923076923078E-2</v>
      </c>
      <c r="V44" s="41">
        <v>0.95699999999999996</v>
      </c>
    </row>
    <row r="45" spans="1:22" ht="15.75" customHeight="1">
      <c r="B45" s="6">
        <v>4</v>
      </c>
      <c r="C45" s="20">
        <v>1685</v>
      </c>
      <c r="D45" s="9">
        <v>41.4</v>
      </c>
      <c r="E45" s="8">
        <f t="shared" si="18"/>
        <v>3.9807692307692308E-2</v>
      </c>
      <c r="F45" s="41">
        <v>0.97499999999999998</v>
      </c>
      <c r="G45" s="9">
        <v>1510</v>
      </c>
      <c r="H45" s="9">
        <v>43.2</v>
      </c>
      <c r="I45" s="8">
        <f t="shared" si="19"/>
        <v>4.1538461538461538E-2</v>
      </c>
      <c r="J45" s="41">
        <v>0.97299999999999998</v>
      </c>
      <c r="K45" s="20">
        <v>1290</v>
      </c>
      <c r="L45" s="41">
        <v>39.6</v>
      </c>
      <c r="M45" s="8">
        <f t="shared" si="20"/>
        <v>3.8076923076923078E-2</v>
      </c>
      <c r="N45" s="41">
        <v>0.97799999999999998</v>
      </c>
      <c r="O45" s="20">
        <v>1130</v>
      </c>
      <c r="P45" s="41">
        <v>41.8</v>
      </c>
      <c r="Q45" s="8">
        <f t="shared" si="21"/>
        <v>4.0192307692307687E-2</v>
      </c>
      <c r="R45" s="41">
        <v>0.97599999999999998</v>
      </c>
      <c r="S45" s="20">
        <v>945</v>
      </c>
      <c r="T45" s="41">
        <v>35.4</v>
      </c>
      <c r="U45" s="8">
        <f t="shared" si="22"/>
        <v>3.4038461538461538E-2</v>
      </c>
      <c r="V45" s="41">
        <v>0.98</v>
      </c>
    </row>
    <row r="46" spans="1:22" ht="15.75" customHeight="1">
      <c r="B46" s="6">
        <v>5</v>
      </c>
      <c r="C46" s="20">
        <v>1130</v>
      </c>
      <c r="D46" s="9">
        <v>67</v>
      </c>
      <c r="E46" s="8">
        <f t="shared" si="18"/>
        <v>6.4423076923076916E-2</v>
      </c>
      <c r="F46" s="41">
        <v>0.84599999999999997</v>
      </c>
      <c r="G46" s="9">
        <v>975</v>
      </c>
      <c r="H46" s="9">
        <v>48.9</v>
      </c>
      <c r="I46" s="8">
        <f t="shared" si="19"/>
        <v>4.7019230769230765E-2</v>
      </c>
      <c r="J46" s="41">
        <v>0.90500000000000003</v>
      </c>
      <c r="K46" s="20">
        <v>935</v>
      </c>
      <c r="L46" s="41">
        <v>43.5</v>
      </c>
      <c r="M46" s="8">
        <f t="shared" si="20"/>
        <v>4.1826923076923074E-2</v>
      </c>
      <c r="N46" s="41">
        <v>0.93200000000000005</v>
      </c>
      <c r="O46" s="20">
        <v>775</v>
      </c>
      <c r="P46" s="41">
        <v>38.9</v>
      </c>
      <c r="Q46" s="8">
        <f t="shared" si="21"/>
        <v>3.7403846153846156E-2</v>
      </c>
      <c r="R46" s="41">
        <v>0.94499999999999995</v>
      </c>
      <c r="S46" s="20">
        <v>655</v>
      </c>
      <c r="T46" s="41">
        <v>39.799999999999997</v>
      </c>
      <c r="U46" s="8">
        <f t="shared" si="22"/>
        <v>3.8269230769230764E-2</v>
      </c>
      <c r="V46" s="41">
        <v>0.94499999999999995</v>
      </c>
    </row>
    <row r="47" spans="1:22" ht="15.75" customHeight="1">
      <c r="B47" s="6">
        <v>6</v>
      </c>
      <c r="C47" s="20">
        <v>920</v>
      </c>
      <c r="D47" s="9">
        <v>91.3</v>
      </c>
      <c r="E47" s="8">
        <f t="shared" si="18"/>
        <v>8.7788461538461537E-2</v>
      </c>
      <c r="F47" s="41">
        <v>0.88900000000000001</v>
      </c>
      <c r="G47" s="9">
        <v>835</v>
      </c>
      <c r="H47" s="9">
        <v>60.9</v>
      </c>
      <c r="I47" s="8">
        <f t="shared" si="19"/>
        <v>5.8557692307692304E-2</v>
      </c>
      <c r="J47" s="41">
        <v>0.94099999999999995</v>
      </c>
      <c r="K47" s="20">
        <v>730</v>
      </c>
      <c r="L47" s="41">
        <v>53.4</v>
      </c>
      <c r="M47" s="8">
        <f t="shared" si="20"/>
        <v>5.1346153846153847E-2</v>
      </c>
      <c r="N47" s="41">
        <v>0.95899999999999996</v>
      </c>
      <c r="O47" s="20">
        <v>635</v>
      </c>
      <c r="P47" s="41">
        <v>53.8</v>
      </c>
      <c r="Q47" s="8">
        <f t="shared" si="21"/>
        <v>5.1730769230769226E-2</v>
      </c>
      <c r="R47" s="41">
        <v>0.95699999999999996</v>
      </c>
      <c r="S47" s="20">
        <v>510</v>
      </c>
      <c r="T47" s="41">
        <v>47.2</v>
      </c>
      <c r="U47" s="8">
        <f t="shared" si="22"/>
        <v>4.5384615384615384E-2</v>
      </c>
      <c r="V47" s="41">
        <v>0.96699999999999997</v>
      </c>
    </row>
    <row r="48" spans="1:22" ht="15.75" customHeight="1">
      <c r="B48" s="6">
        <v>7</v>
      </c>
      <c r="C48" s="20">
        <v>1045</v>
      </c>
      <c r="D48" s="9">
        <v>52.2</v>
      </c>
      <c r="E48" s="8">
        <f t="shared" si="18"/>
        <v>5.0192307692307696E-2</v>
      </c>
      <c r="F48" s="41">
        <v>0.95399999999999996</v>
      </c>
      <c r="G48" s="9">
        <v>950</v>
      </c>
      <c r="H48" s="9">
        <v>37.299999999999997</v>
      </c>
      <c r="I48" s="8">
        <f t="shared" si="19"/>
        <v>3.5865384615384611E-2</v>
      </c>
      <c r="J48" s="41">
        <v>0.97399999999999998</v>
      </c>
      <c r="K48" s="20">
        <v>825</v>
      </c>
      <c r="L48" s="41">
        <v>36.200000000000003</v>
      </c>
      <c r="M48" s="8">
        <f t="shared" si="20"/>
        <v>3.480769230769231E-2</v>
      </c>
      <c r="N48" s="41">
        <v>0.97499999999999998</v>
      </c>
      <c r="O48" s="20">
        <v>730</v>
      </c>
      <c r="P48" s="41">
        <v>35.1</v>
      </c>
      <c r="Q48" s="8">
        <f t="shared" si="21"/>
        <v>3.3750000000000002E-2</v>
      </c>
      <c r="R48" s="41">
        <v>0.97599999999999998</v>
      </c>
      <c r="S48" s="20">
        <v>615</v>
      </c>
      <c r="T48" s="41">
        <v>33.1</v>
      </c>
      <c r="U48" s="8">
        <f t="shared" si="22"/>
        <v>3.1826923076923079E-2</v>
      </c>
      <c r="V48" s="41">
        <v>0.97799999999999998</v>
      </c>
    </row>
    <row r="49" spans="1:22" ht="15.75" customHeight="1">
      <c r="C49" s="20"/>
      <c r="D49" s="9"/>
      <c r="G49" s="9"/>
      <c r="H49" s="9"/>
      <c r="K49" s="20"/>
      <c r="O49" s="20"/>
      <c r="S49" s="20"/>
    </row>
    <row r="50" spans="1:22" ht="15.75" customHeight="1">
      <c r="B50" s="6" t="s">
        <v>4</v>
      </c>
      <c r="C50" s="20"/>
      <c r="D50" s="15">
        <f>SUMPRODUCT(C41:C48,D41:D48)/SUM(C41:C48)</f>
        <v>54.751504761904762</v>
      </c>
      <c r="E50" s="12">
        <f>SUMPRODUCT(C41:C48,E41:E48)/SUM(C41:C48)</f>
        <v>5.264567765567766E-2</v>
      </c>
      <c r="G50" s="9"/>
      <c r="H50" s="15">
        <f>SUMPRODUCT(G41:G48,H41:H48)/SUM(G41:G48)</f>
        <v>43.955207886840981</v>
      </c>
      <c r="I50" s="12">
        <f>SUMPRODUCT(G41:G48,I41:I48)/SUM(G41:G48)</f>
        <v>4.2264622968116325E-2</v>
      </c>
      <c r="K50" s="20"/>
      <c r="L50" s="15">
        <f>SUMPRODUCT(K41:K48,L41:L48)/SUM(K41:K48)</f>
        <v>41.234818805093049</v>
      </c>
      <c r="M50" s="12">
        <f>SUMPRODUCT(K41:K48,M41:M48)/SUM(K41:K48)</f>
        <v>3.9648864235666395E-2</v>
      </c>
      <c r="O50" s="20"/>
      <c r="P50" s="15">
        <f>SUMPRODUCT(O41:O48,P41:P48)/SUM(O41:O48)</f>
        <v>39.611085714285714</v>
      </c>
      <c r="Q50" s="12">
        <f>SUMPRODUCT(O41:O48,Q41:Q48)/SUM(O41:O48)</f>
        <v>3.8087582417582415E-2</v>
      </c>
      <c r="S50" s="20"/>
      <c r="T50" s="15">
        <f>SUMPRODUCT(S41:S48,T41:T48)/SUM(S41:S48)</f>
        <v>37.269547325102877</v>
      </c>
      <c r="U50" s="12">
        <f>SUMPRODUCT(S41:S48,U41:U48)/SUM(S41:S48)</f>
        <v>3.5836103197214308E-2</v>
      </c>
    </row>
    <row r="51" spans="1:22" ht="15.75" customHeight="1">
      <c r="E51">
        <v>5.44</v>
      </c>
      <c r="H51" s="2"/>
      <c r="I51">
        <v>4.45</v>
      </c>
      <c r="M51">
        <v>3.96</v>
      </c>
      <c r="Q51">
        <v>3.7</v>
      </c>
      <c r="U51">
        <v>3.62</v>
      </c>
    </row>
    <row r="52" spans="1:22" ht="15.75" customHeight="1">
      <c r="C52" s="6">
        <f>SUM(C41:C48)</f>
        <v>13125</v>
      </c>
      <c r="G52" s="6">
        <f>SUM(G41:G48)</f>
        <v>11665</v>
      </c>
      <c r="K52" s="6">
        <f>SUM(K41:K48)</f>
        <v>10210</v>
      </c>
      <c r="O52" s="6">
        <f>SUM(O41:O48)</f>
        <v>8750</v>
      </c>
      <c r="S52" s="6">
        <f>SUM(S41:S48)</f>
        <v>7290</v>
      </c>
    </row>
    <row r="53" spans="1:22" ht="15.75" customHeight="1"/>
    <row r="54" spans="1:22" ht="15.75" customHeight="1"/>
    <row r="55" spans="1:22" ht="15.75" customHeight="1">
      <c r="A55" s="6" t="s">
        <v>20</v>
      </c>
      <c r="D55" s="32">
        <v>0.1</v>
      </c>
      <c r="E55" s="30"/>
      <c r="F55" s="30"/>
      <c r="G55" s="18"/>
      <c r="H55" s="32">
        <v>0.2</v>
      </c>
      <c r="I55" s="30"/>
      <c r="J55" s="30"/>
      <c r="K55" s="18"/>
      <c r="L55" s="32">
        <v>0.3</v>
      </c>
      <c r="M55" s="30"/>
      <c r="N55" s="30"/>
      <c r="O55" s="18"/>
      <c r="P55" s="32">
        <v>0.4</v>
      </c>
      <c r="Q55" s="30"/>
      <c r="R55" s="30"/>
      <c r="S55" s="18"/>
      <c r="T55" s="32">
        <v>0.5</v>
      </c>
      <c r="U55" s="30"/>
      <c r="V55" s="30"/>
    </row>
    <row r="56" spans="1:22" ht="15.75" customHeight="1">
      <c r="B56" s="3" t="s">
        <v>0</v>
      </c>
      <c r="C56" s="19" t="s">
        <v>17</v>
      </c>
      <c r="D56" s="4" t="s">
        <v>1</v>
      </c>
      <c r="E56" s="3" t="s">
        <v>2</v>
      </c>
      <c r="F56" s="3" t="s">
        <v>3</v>
      </c>
      <c r="G56" s="19" t="s">
        <v>17</v>
      </c>
      <c r="H56" s="4" t="s">
        <v>1</v>
      </c>
      <c r="I56" s="3" t="s">
        <v>2</v>
      </c>
      <c r="J56" s="3" t="s">
        <v>3</v>
      </c>
      <c r="K56" s="19" t="s">
        <v>17</v>
      </c>
      <c r="L56" s="3" t="s">
        <v>1</v>
      </c>
      <c r="M56" s="3" t="s">
        <v>2</v>
      </c>
      <c r="N56" s="3" t="s">
        <v>3</v>
      </c>
      <c r="O56" s="19" t="s">
        <v>17</v>
      </c>
      <c r="P56" s="3" t="s">
        <v>1</v>
      </c>
      <c r="Q56" s="3" t="s">
        <v>2</v>
      </c>
      <c r="R56" s="3" t="s">
        <v>3</v>
      </c>
      <c r="S56" s="19" t="s">
        <v>17</v>
      </c>
      <c r="T56" s="3" t="s">
        <v>1</v>
      </c>
      <c r="U56" s="3" t="s">
        <v>2</v>
      </c>
      <c r="V56" s="3" t="s">
        <v>3</v>
      </c>
    </row>
    <row r="57" spans="1:22" ht="15.75" customHeight="1">
      <c r="B57" s="6">
        <v>0</v>
      </c>
      <c r="C57" s="20">
        <v>1595</v>
      </c>
      <c r="D57" s="9">
        <v>51.9</v>
      </c>
      <c r="E57" s="8">
        <f t="shared" ref="E57:E64" si="23">D57/$A$5</f>
        <v>4.9903846153846153E-2</v>
      </c>
      <c r="F57" s="41">
        <v>0.753</v>
      </c>
      <c r="G57" s="9">
        <v>1525</v>
      </c>
      <c r="H57" s="9">
        <v>45.1</v>
      </c>
      <c r="I57" s="8">
        <f t="shared" ref="I57:I64" si="24">H57/$A$5</f>
        <v>4.3365384615384618E-2</v>
      </c>
      <c r="J57" s="41">
        <v>0.873</v>
      </c>
      <c r="K57" s="20">
        <v>1275</v>
      </c>
      <c r="L57" s="41">
        <v>38</v>
      </c>
      <c r="M57" s="8">
        <f t="shared" ref="M57:M64" si="25">L57/$A$5</f>
        <v>3.653846153846154E-2</v>
      </c>
      <c r="N57" s="41">
        <v>0.91</v>
      </c>
      <c r="O57" s="20">
        <v>1100</v>
      </c>
      <c r="P57" s="41">
        <v>36.5</v>
      </c>
      <c r="Q57" s="8">
        <f t="shared" ref="Q57:Q64" si="26">P57/$A$5</f>
        <v>3.5096153846153846E-2</v>
      </c>
      <c r="R57" s="41">
        <v>0.91300000000000003</v>
      </c>
      <c r="S57" s="20">
        <v>920</v>
      </c>
      <c r="T57" s="41">
        <v>36.4</v>
      </c>
      <c r="U57" s="8">
        <f t="shared" ref="U57:U64" si="27">T57/$A$5</f>
        <v>3.4999999999999996E-2</v>
      </c>
      <c r="V57" s="41">
        <v>0.91600000000000004</v>
      </c>
    </row>
    <row r="58" spans="1:22" ht="15.75" customHeight="1">
      <c r="B58" s="6">
        <v>1</v>
      </c>
      <c r="C58" s="20">
        <v>3115</v>
      </c>
      <c r="D58" s="9">
        <v>44.7</v>
      </c>
      <c r="E58" s="8">
        <f t="shared" si="23"/>
        <v>4.2980769230769232E-2</v>
      </c>
      <c r="F58" s="41">
        <v>0.91700000000000004</v>
      </c>
      <c r="G58" s="9">
        <v>2630</v>
      </c>
      <c r="H58" s="9">
        <v>39.200000000000003</v>
      </c>
      <c r="I58" s="8">
        <f t="shared" si="24"/>
        <v>3.7692307692307692E-2</v>
      </c>
      <c r="J58" s="41">
        <v>0.92200000000000004</v>
      </c>
      <c r="K58" s="20">
        <v>2370</v>
      </c>
      <c r="L58" s="41">
        <v>34.299999999999997</v>
      </c>
      <c r="M58" s="8">
        <f t="shared" si="25"/>
        <v>3.298076923076923E-2</v>
      </c>
      <c r="N58" s="41">
        <v>0.93799999999999994</v>
      </c>
      <c r="O58" s="20">
        <v>2050</v>
      </c>
      <c r="P58" s="41">
        <v>33.5</v>
      </c>
      <c r="Q58" s="8">
        <f t="shared" si="26"/>
        <v>3.2211538461538458E-2</v>
      </c>
      <c r="R58" s="41">
        <v>0.94</v>
      </c>
      <c r="S58" s="20">
        <v>1710</v>
      </c>
      <c r="T58" s="41">
        <v>32</v>
      </c>
      <c r="U58" s="8">
        <f t="shared" si="27"/>
        <v>3.0769230769230771E-2</v>
      </c>
      <c r="V58" s="41">
        <v>0.94299999999999995</v>
      </c>
    </row>
    <row r="59" spans="1:22" ht="15.75" customHeight="1">
      <c r="B59" s="6">
        <v>2</v>
      </c>
      <c r="C59" s="20">
        <v>890</v>
      </c>
      <c r="D59" s="9">
        <v>75.099999999999994</v>
      </c>
      <c r="E59" s="8">
        <f t="shared" si="23"/>
        <v>7.2211538461538452E-2</v>
      </c>
      <c r="F59" s="41">
        <v>0.93200000000000005</v>
      </c>
      <c r="G59" s="9">
        <v>780</v>
      </c>
      <c r="H59" s="9">
        <v>45.8</v>
      </c>
      <c r="I59" s="8">
        <f t="shared" si="24"/>
        <v>4.4038461538461533E-2</v>
      </c>
      <c r="J59" s="41">
        <v>0.97</v>
      </c>
      <c r="K59" s="20">
        <v>690</v>
      </c>
      <c r="L59" s="41">
        <v>40.9</v>
      </c>
      <c r="M59" s="8">
        <f t="shared" si="25"/>
        <v>3.9326923076923079E-2</v>
      </c>
      <c r="N59" s="41">
        <v>0.97599999999999998</v>
      </c>
      <c r="O59" s="20">
        <v>565</v>
      </c>
      <c r="P59" s="41">
        <v>37.9</v>
      </c>
      <c r="Q59" s="8">
        <f t="shared" si="26"/>
        <v>3.6442307692307691E-2</v>
      </c>
      <c r="R59" s="41">
        <v>0.97699999999999998</v>
      </c>
      <c r="S59" s="20">
        <v>480</v>
      </c>
      <c r="T59" s="41">
        <v>40.799999999999997</v>
      </c>
      <c r="U59" s="8">
        <f t="shared" si="27"/>
        <v>3.9230769230769229E-2</v>
      </c>
      <c r="V59" s="41">
        <v>0.97299999999999998</v>
      </c>
    </row>
    <row r="60" spans="1:22" ht="15.75" customHeight="1">
      <c r="B60" s="6">
        <v>3</v>
      </c>
      <c r="C60" s="20">
        <v>2970</v>
      </c>
      <c r="D60" s="9">
        <v>61.4</v>
      </c>
      <c r="E60" s="8">
        <f t="shared" si="23"/>
        <v>5.903846153846154E-2</v>
      </c>
      <c r="F60" s="41">
        <v>0.91200000000000003</v>
      </c>
      <c r="G60" s="9">
        <v>2290</v>
      </c>
      <c r="H60" s="9">
        <v>46.4</v>
      </c>
      <c r="I60" s="8">
        <f t="shared" si="24"/>
        <v>4.4615384615384612E-2</v>
      </c>
      <c r="J60" s="41">
        <v>0.94299999999999995</v>
      </c>
      <c r="K60" s="20">
        <v>1970</v>
      </c>
      <c r="L60" s="41">
        <v>42.4</v>
      </c>
      <c r="M60" s="8">
        <f t="shared" si="25"/>
        <v>4.0769230769230766E-2</v>
      </c>
      <c r="N60" s="41">
        <v>0.95099999999999996</v>
      </c>
      <c r="O60" s="20">
        <v>1715</v>
      </c>
      <c r="P60" s="41">
        <v>41.3</v>
      </c>
      <c r="Q60" s="8">
        <f t="shared" si="26"/>
        <v>3.9711538461538458E-2</v>
      </c>
      <c r="R60" s="41">
        <v>0.95399999999999996</v>
      </c>
      <c r="S60" s="20">
        <v>1455</v>
      </c>
      <c r="T60" s="41">
        <v>39.700000000000003</v>
      </c>
      <c r="U60" s="8">
        <f t="shared" si="27"/>
        <v>3.8173076923076928E-2</v>
      </c>
      <c r="V60" s="41">
        <v>0.95799999999999996</v>
      </c>
    </row>
    <row r="61" spans="1:22" ht="15.75" customHeight="1">
      <c r="B61" s="6">
        <v>4</v>
      </c>
      <c r="C61" s="20">
        <v>1675</v>
      </c>
      <c r="D61" s="9">
        <v>54.9</v>
      </c>
      <c r="E61" s="8">
        <f t="shared" si="23"/>
        <v>5.2788461538461534E-2</v>
      </c>
      <c r="F61" s="41">
        <v>0.95499999999999996</v>
      </c>
      <c r="G61" s="9">
        <v>1510</v>
      </c>
      <c r="H61" s="9">
        <v>41</v>
      </c>
      <c r="I61" s="8">
        <f t="shared" si="24"/>
        <v>3.9423076923076922E-2</v>
      </c>
      <c r="J61" s="41">
        <v>0.97099999999999997</v>
      </c>
      <c r="K61" s="20">
        <v>1315</v>
      </c>
      <c r="L61" s="41">
        <v>37.1</v>
      </c>
      <c r="M61" s="8">
        <f t="shared" si="25"/>
        <v>3.5673076923076925E-2</v>
      </c>
      <c r="N61" s="41">
        <v>0.97499999999999998</v>
      </c>
      <c r="O61" s="20">
        <v>1115</v>
      </c>
      <c r="P61" s="41">
        <v>36.5</v>
      </c>
      <c r="Q61" s="8">
        <f t="shared" si="26"/>
        <v>3.5096153846153846E-2</v>
      </c>
      <c r="R61" s="41">
        <v>0.97599999999999998</v>
      </c>
      <c r="S61" s="20">
        <v>875</v>
      </c>
      <c r="T61" s="41">
        <v>35.4</v>
      </c>
      <c r="U61" s="8">
        <f t="shared" si="27"/>
        <v>3.4038461538461538E-2</v>
      </c>
      <c r="V61" s="41">
        <v>0.97799999999999998</v>
      </c>
    </row>
    <row r="62" spans="1:22" ht="15.75" customHeight="1">
      <c r="B62" s="6">
        <v>5</v>
      </c>
      <c r="C62" s="20">
        <v>980</v>
      </c>
      <c r="D62" s="9">
        <v>64.8</v>
      </c>
      <c r="E62" s="8">
        <f t="shared" si="23"/>
        <v>6.2307692307692307E-2</v>
      </c>
      <c r="F62" s="41">
        <v>0.81299999999999994</v>
      </c>
      <c r="G62" s="9">
        <v>1080</v>
      </c>
      <c r="H62" s="9">
        <v>43.5</v>
      </c>
      <c r="I62" s="8">
        <f t="shared" si="24"/>
        <v>4.1826923076923074E-2</v>
      </c>
      <c r="J62" s="41">
        <v>0.93400000000000005</v>
      </c>
      <c r="K62" s="20">
        <v>945</v>
      </c>
      <c r="L62" s="41">
        <v>42.1</v>
      </c>
      <c r="M62" s="8">
        <f t="shared" si="25"/>
        <v>4.048076923076923E-2</v>
      </c>
      <c r="N62" s="41">
        <v>0.94</v>
      </c>
      <c r="O62" s="20">
        <v>805</v>
      </c>
      <c r="P62" s="41">
        <v>38.9</v>
      </c>
      <c r="Q62" s="8">
        <f t="shared" si="26"/>
        <v>3.7403846153846156E-2</v>
      </c>
      <c r="R62" s="41">
        <v>0.94399999999999995</v>
      </c>
      <c r="S62" s="20">
        <v>650</v>
      </c>
      <c r="T62" s="41">
        <v>38.200000000000003</v>
      </c>
      <c r="U62" s="8">
        <f t="shared" si="27"/>
        <v>3.6730769230769234E-2</v>
      </c>
      <c r="V62" s="41">
        <v>0.94799999999999995</v>
      </c>
    </row>
    <row r="63" spans="1:22" ht="15.75" customHeight="1">
      <c r="B63" s="6">
        <v>6</v>
      </c>
      <c r="C63" s="20">
        <v>835</v>
      </c>
      <c r="D63" s="9">
        <v>112.5</v>
      </c>
      <c r="E63" s="8">
        <f t="shared" si="23"/>
        <v>0.10817307692307693</v>
      </c>
      <c r="F63" s="41">
        <v>0.68899999999999995</v>
      </c>
      <c r="G63" s="9">
        <v>795</v>
      </c>
      <c r="H63" s="9">
        <v>55.3</v>
      </c>
      <c r="I63" s="8">
        <f t="shared" si="24"/>
        <v>5.317307692307692E-2</v>
      </c>
      <c r="J63" s="41">
        <v>0.95099999999999996</v>
      </c>
      <c r="K63" s="20">
        <v>705</v>
      </c>
      <c r="L63" s="41">
        <v>51.8</v>
      </c>
      <c r="M63" s="8">
        <f t="shared" si="25"/>
        <v>4.9807692307692303E-2</v>
      </c>
      <c r="N63" s="41">
        <v>0.95699999999999996</v>
      </c>
      <c r="O63" s="20">
        <v>600</v>
      </c>
      <c r="P63" s="41">
        <v>50.7</v>
      </c>
      <c r="Q63" s="8">
        <f t="shared" si="26"/>
        <v>4.8750000000000002E-2</v>
      </c>
      <c r="R63" s="41">
        <v>0.95699999999999996</v>
      </c>
      <c r="S63" s="20">
        <v>515</v>
      </c>
      <c r="T63" s="41">
        <v>47.2</v>
      </c>
      <c r="U63" s="8">
        <f t="shared" si="27"/>
        <v>4.5384615384615384E-2</v>
      </c>
      <c r="V63" s="41">
        <v>0.95699999999999996</v>
      </c>
    </row>
    <row r="64" spans="1:22" ht="15.75" customHeight="1">
      <c r="B64" s="6">
        <v>7</v>
      </c>
      <c r="C64" s="20">
        <v>1065</v>
      </c>
      <c r="D64" s="9">
        <v>62.1</v>
      </c>
      <c r="E64" s="8">
        <f t="shared" si="23"/>
        <v>5.9711538461538462E-2</v>
      </c>
      <c r="F64" s="41">
        <v>0.92900000000000005</v>
      </c>
      <c r="G64" s="9">
        <v>1055</v>
      </c>
      <c r="H64" s="9">
        <v>49.7</v>
      </c>
      <c r="I64" s="8">
        <f t="shared" si="24"/>
        <v>4.7788461538461544E-2</v>
      </c>
      <c r="J64" s="41">
        <v>0.95599999999999996</v>
      </c>
      <c r="K64" s="20">
        <v>940</v>
      </c>
      <c r="L64" s="41">
        <v>36.9</v>
      </c>
      <c r="M64" s="8">
        <f t="shared" si="25"/>
        <v>3.5480769230769232E-2</v>
      </c>
      <c r="N64" s="41">
        <v>0.97499999999999998</v>
      </c>
      <c r="O64" s="20">
        <v>800</v>
      </c>
      <c r="P64" s="41">
        <v>33.5</v>
      </c>
      <c r="Q64" s="8">
        <f t="shared" si="26"/>
        <v>3.2211538461538458E-2</v>
      </c>
      <c r="R64" s="41">
        <v>0.97799999999999998</v>
      </c>
      <c r="S64" s="20">
        <v>685</v>
      </c>
      <c r="T64" s="41">
        <v>34.299999999999997</v>
      </c>
      <c r="U64" s="8">
        <f t="shared" si="27"/>
        <v>3.298076923076923E-2</v>
      </c>
      <c r="V64" s="41">
        <v>0.97799999999999998</v>
      </c>
    </row>
    <row r="65" spans="2:21" ht="15.75" customHeight="1">
      <c r="C65" s="20"/>
      <c r="D65" s="9"/>
      <c r="G65" s="9"/>
      <c r="H65" s="9"/>
      <c r="K65" s="20"/>
      <c r="O65" s="20"/>
      <c r="S65" s="20"/>
    </row>
    <row r="66" spans="2:21" ht="15.75" customHeight="1">
      <c r="B66" s="6" t="s">
        <v>4</v>
      </c>
      <c r="C66" s="20"/>
      <c r="D66" s="15">
        <f>SUMPRODUCT(C57:C64,D57:D64)/SUM(C57:C64)</f>
        <v>59.943123809523811</v>
      </c>
      <c r="E66" s="12">
        <f>SUMPRODUCT(C57:C64,E57:E64)/SUM(C57:C64)</f>
        <v>5.7637619047619056E-2</v>
      </c>
      <c r="G66" s="9"/>
      <c r="H66" s="15">
        <f>SUMPRODUCT(G57:G64,H57:H64)/SUM(G57:G64)</f>
        <v>44.504114873553362</v>
      </c>
      <c r="I66" s="12">
        <f>SUMPRODUCT(G57:G64,I57:I64)/SUM(G57:G64)</f>
        <v>4.2792418147647462E-2</v>
      </c>
      <c r="K66" s="20"/>
      <c r="L66" s="15">
        <f>SUMPRODUCT(K57:K64,L57:L64)/SUM(K57:K64)</f>
        <v>39.301273261508328</v>
      </c>
      <c r="M66" s="12">
        <f>SUMPRODUCT(K57:K64,M57:M64)/SUM(K57:K64)</f>
        <v>3.778968582837338E-2</v>
      </c>
      <c r="O66" s="20"/>
      <c r="P66" s="15">
        <f>SUMPRODUCT(O57:O64,P57:P64)/SUM(O57:O64)</f>
        <v>37.748571428571431</v>
      </c>
      <c r="Q66" s="12">
        <f>SUMPRODUCT(O57:O64,Q57:Q64)/SUM(O57:O64)</f>
        <v>3.6296703296703293E-2</v>
      </c>
      <c r="S66" s="20"/>
      <c r="T66" s="15">
        <f>SUMPRODUCT(S57:S64,T57:T64)/SUM(S57:S64)</f>
        <v>36.922359396433471</v>
      </c>
      <c r="U66" s="12">
        <f>SUMPRODUCT(S57:S64,U57:U64)/SUM(S57:S64)</f>
        <v>3.55022686504168E-2</v>
      </c>
    </row>
    <row r="67" spans="2:21" ht="15.75" customHeight="1">
      <c r="E67">
        <v>5.43</v>
      </c>
      <c r="I67">
        <v>4.42</v>
      </c>
      <c r="M67">
        <v>3.95</v>
      </c>
      <c r="Q67">
        <v>3.71</v>
      </c>
      <c r="U67">
        <v>3.6</v>
      </c>
    </row>
    <row r="68" spans="2:21" ht="15.75" customHeight="1">
      <c r="C68" s="6">
        <f>SUM(C57:C64)</f>
        <v>13125</v>
      </c>
      <c r="G68" s="6">
        <f>SUM(G57:G64)</f>
        <v>11665</v>
      </c>
      <c r="K68" s="6">
        <f>SUM(K57:K64)</f>
        <v>10210</v>
      </c>
      <c r="O68" s="6">
        <f>SUM(O57:O64)</f>
        <v>8750</v>
      </c>
      <c r="S68" s="6">
        <f>SUM(S57:S64)</f>
        <v>7290</v>
      </c>
    </row>
    <row r="69" spans="2:21" ht="15.75" customHeight="1"/>
    <row r="70" spans="2:21" ht="15.75" customHeight="1"/>
    <row r="71" spans="2:21" ht="15.75" customHeight="1"/>
    <row r="72" spans="2:21" ht="15.75" customHeight="1"/>
    <row r="73" spans="2:21" ht="15.75" customHeight="1"/>
    <row r="74" spans="2:21" ht="15.75" customHeight="1"/>
    <row r="75" spans="2:21" ht="15.75" customHeight="1"/>
    <row r="76" spans="2:21" ht="15.75" customHeight="1"/>
    <row r="77" spans="2:21" ht="15.75" customHeight="1"/>
    <row r="78" spans="2:21" ht="15.75" customHeight="1"/>
    <row r="79" spans="2:21" ht="15.75" customHeight="1"/>
    <row r="80" spans="2:21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D24:F24"/>
    <mergeCell ref="H24:J24"/>
    <mergeCell ref="T24:V24"/>
    <mergeCell ref="D55:F55"/>
    <mergeCell ref="H55:J55"/>
    <mergeCell ref="L55:N55"/>
    <mergeCell ref="P55:R55"/>
    <mergeCell ref="T55:V55"/>
    <mergeCell ref="L24:N24"/>
    <mergeCell ref="P24:R24"/>
    <mergeCell ref="D39:F39"/>
    <mergeCell ref="H39:J39"/>
    <mergeCell ref="L39:N39"/>
    <mergeCell ref="P39:R39"/>
    <mergeCell ref="T39:V39"/>
    <mergeCell ref="D7:F7"/>
    <mergeCell ref="H7:J7"/>
    <mergeCell ref="L7:N7"/>
    <mergeCell ref="P7:R7"/>
    <mergeCell ref="T7:V7"/>
  </mergeCells>
  <pageMargins left="0.7" right="0.7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3:Y1000"/>
  <sheetViews>
    <sheetView workbookViewId="0">
      <selection activeCell="U18" sqref="U18"/>
    </sheetView>
  </sheetViews>
  <sheetFormatPr baseColWidth="10" defaultColWidth="14.42578125" defaultRowHeight="15" customHeight="1"/>
  <cols>
    <col min="1" max="1" width="12.7109375" customWidth="1"/>
    <col min="2" max="2" width="12.5703125" customWidth="1"/>
    <col min="3" max="26" width="10.7109375" customWidth="1"/>
  </cols>
  <sheetData>
    <row r="3" spans="1:25">
      <c r="B3" s="6">
        <v>17516</v>
      </c>
      <c r="C3" s="6" t="s">
        <v>14</v>
      </c>
      <c r="D3" s="6">
        <v>86</v>
      </c>
      <c r="E3" s="6" t="s">
        <v>15</v>
      </c>
    </row>
    <row r="4" spans="1:25">
      <c r="A4" s="6" t="s">
        <v>7</v>
      </c>
    </row>
    <row r="5" spans="1:25">
      <c r="A5" s="6">
        <v>600</v>
      </c>
    </row>
    <row r="7" spans="1:25">
      <c r="D7" s="32">
        <v>0.1</v>
      </c>
      <c r="E7" s="30"/>
      <c r="F7" s="30"/>
      <c r="G7" s="18"/>
      <c r="H7" s="32">
        <v>0.2</v>
      </c>
      <c r="I7" s="30"/>
      <c r="J7" s="30"/>
      <c r="K7" s="18"/>
      <c r="L7" s="32">
        <v>0.3</v>
      </c>
      <c r="M7" s="30"/>
      <c r="N7" s="30"/>
      <c r="O7" s="18"/>
      <c r="P7" s="32">
        <v>0.4</v>
      </c>
      <c r="Q7" s="30"/>
      <c r="R7" s="30"/>
      <c r="S7" s="18"/>
      <c r="T7" s="32">
        <v>0.5</v>
      </c>
      <c r="U7" s="30"/>
      <c r="V7" s="30"/>
      <c r="W7" s="1"/>
      <c r="X7" s="2"/>
      <c r="Y7" s="2"/>
    </row>
    <row r="8" spans="1:25">
      <c r="B8" s="3" t="s">
        <v>0</v>
      </c>
      <c r="C8" s="19" t="s">
        <v>17</v>
      </c>
      <c r="D8" s="4" t="s">
        <v>1</v>
      </c>
      <c r="E8" s="3" t="s">
        <v>2</v>
      </c>
      <c r="F8" s="3" t="s">
        <v>3</v>
      </c>
      <c r="G8" s="19" t="s">
        <v>17</v>
      </c>
      <c r="H8" s="4" t="s">
        <v>1</v>
      </c>
      <c r="I8" s="3" t="s">
        <v>2</v>
      </c>
      <c r="J8" s="3" t="s">
        <v>3</v>
      </c>
      <c r="K8" s="19" t="s">
        <v>17</v>
      </c>
      <c r="L8" s="3" t="s">
        <v>1</v>
      </c>
      <c r="M8" s="3" t="s">
        <v>2</v>
      </c>
      <c r="N8" s="3" t="s">
        <v>3</v>
      </c>
      <c r="O8" s="19" t="s">
        <v>17</v>
      </c>
      <c r="P8" s="3" t="s">
        <v>1</v>
      </c>
      <c r="Q8" s="3" t="s">
        <v>2</v>
      </c>
      <c r="R8" s="3" t="s">
        <v>3</v>
      </c>
      <c r="S8" s="19" t="s">
        <v>17</v>
      </c>
      <c r="T8" s="3" t="s">
        <v>1</v>
      </c>
      <c r="U8" s="3" t="s">
        <v>2</v>
      </c>
      <c r="V8" s="3" t="s">
        <v>3</v>
      </c>
    </row>
    <row r="9" spans="1:25">
      <c r="B9" s="6">
        <v>0</v>
      </c>
      <c r="C9" s="24">
        <f t="shared" ref="C9:V9" si="0">AVERAGE(C26,C42,C58)</f>
        <v>1430</v>
      </c>
      <c r="D9" s="25">
        <f t="shared" si="0"/>
        <v>42.9</v>
      </c>
      <c r="E9" s="21">
        <f t="shared" si="0"/>
        <v>7.1500000000000008E-2</v>
      </c>
      <c r="F9" s="40">
        <f t="shared" si="0"/>
        <v>0.85833333333333339</v>
      </c>
      <c r="G9" s="24">
        <f t="shared" si="0"/>
        <v>1271.6666666666667</v>
      </c>
      <c r="H9" s="25">
        <f t="shared" si="0"/>
        <v>34.966666666666661</v>
      </c>
      <c r="I9" s="21">
        <f t="shared" si="0"/>
        <v>5.8277777777777783E-2</v>
      </c>
      <c r="J9" s="40">
        <f t="shared" si="0"/>
        <v>0.90366666666666673</v>
      </c>
      <c r="K9" s="24">
        <f t="shared" si="0"/>
        <v>1085</v>
      </c>
      <c r="L9" s="25">
        <f t="shared" si="0"/>
        <v>31.400000000000002</v>
      </c>
      <c r="M9" s="21">
        <f t="shared" si="0"/>
        <v>5.2333333333333336E-2</v>
      </c>
      <c r="N9" s="40">
        <f t="shared" si="0"/>
        <v>0.92300000000000004</v>
      </c>
      <c r="O9" s="24">
        <f t="shared" si="0"/>
        <v>941.66666666666663</v>
      </c>
      <c r="P9" s="25">
        <f t="shared" si="0"/>
        <v>30.733333333333334</v>
      </c>
      <c r="Q9" s="21">
        <f t="shared" si="0"/>
        <v>5.1222222222222225E-2</v>
      </c>
      <c r="R9" s="40">
        <f t="shared" si="0"/>
        <v>0.92533333333333323</v>
      </c>
      <c r="S9" s="24">
        <f t="shared" si="0"/>
        <v>783.33333333333337</v>
      </c>
      <c r="T9" s="25">
        <f t="shared" si="0"/>
        <v>31.233333333333331</v>
      </c>
      <c r="U9" s="21">
        <f t="shared" si="0"/>
        <v>5.2055555555555556E-2</v>
      </c>
      <c r="V9" s="40">
        <f t="shared" si="0"/>
        <v>0.92566666666666675</v>
      </c>
    </row>
    <row r="10" spans="1:25">
      <c r="B10" s="6">
        <v>1</v>
      </c>
      <c r="C10" s="24">
        <f t="shared" ref="C10:V10" si="1">AVERAGE(C27,C43,C59)</f>
        <v>2583.3333333333335</v>
      </c>
      <c r="D10" s="25">
        <f t="shared" si="1"/>
        <v>13.166666666666666</v>
      </c>
      <c r="E10" s="21">
        <f t="shared" si="1"/>
        <v>2.1944444444444444E-2</v>
      </c>
      <c r="F10" s="40">
        <f t="shared" si="1"/>
        <v>0.82166666666666666</v>
      </c>
      <c r="G10" s="24">
        <f t="shared" si="1"/>
        <v>2323.3333333333335</v>
      </c>
      <c r="H10" s="25">
        <f t="shared" si="1"/>
        <v>11.366666666666667</v>
      </c>
      <c r="I10" s="21">
        <f t="shared" si="1"/>
        <v>1.8944444444444448E-2</v>
      </c>
      <c r="J10" s="40">
        <f t="shared" si="1"/>
        <v>0.85799999999999998</v>
      </c>
      <c r="K10" s="24">
        <f t="shared" si="1"/>
        <v>2041.6666666666667</v>
      </c>
      <c r="L10" s="25">
        <f t="shared" si="1"/>
        <v>11.166666666666666</v>
      </c>
      <c r="M10" s="21">
        <f t="shared" si="1"/>
        <v>1.861111111111111E-2</v>
      </c>
      <c r="N10" s="40">
        <f t="shared" si="1"/>
        <v>0.86033333333333328</v>
      </c>
      <c r="O10" s="24">
        <f t="shared" si="1"/>
        <v>1725</v>
      </c>
      <c r="P10" s="25">
        <f t="shared" si="1"/>
        <v>10.466666666666667</v>
      </c>
      <c r="Q10" s="21">
        <f t="shared" si="1"/>
        <v>1.7444444444444446E-2</v>
      </c>
      <c r="R10" s="40">
        <f t="shared" si="1"/>
        <v>0.85433333333333339</v>
      </c>
      <c r="S10" s="24">
        <f t="shared" si="1"/>
        <v>1411.6666666666667</v>
      </c>
      <c r="T10" s="25">
        <f t="shared" si="1"/>
        <v>10.733333333333334</v>
      </c>
      <c r="U10" s="21">
        <f t="shared" si="1"/>
        <v>1.7888888888888888E-2</v>
      </c>
      <c r="V10" s="40">
        <f t="shared" si="1"/>
        <v>0.85133333333333328</v>
      </c>
    </row>
    <row r="11" spans="1:25">
      <c r="B11" s="6">
        <v>2</v>
      </c>
      <c r="C11" s="24">
        <f t="shared" ref="C11:V11" si="2">AVERAGE(C28,C44,C60)</f>
        <v>1465</v>
      </c>
      <c r="D11" s="25">
        <f t="shared" si="2"/>
        <v>30.866666666666671</v>
      </c>
      <c r="E11" s="21">
        <f t="shared" si="2"/>
        <v>5.1444444444444452E-2</v>
      </c>
      <c r="F11" s="40">
        <f t="shared" si="2"/>
        <v>0.89400000000000002</v>
      </c>
      <c r="G11" s="24">
        <f t="shared" si="2"/>
        <v>1291.6666666666667</v>
      </c>
      <c r="H11" s="25">
        <f t="shared" si="2"/>
        <v>20.266666666666666</v>
      </c>
      <c r="I11" s="21">
        <f t="shared" si="2"/>
        <v>3.3777777777777775E-2</v>
      </c>
      <c r="J11" s="40">
        <f t="shared" si="2"/>
        <v>0.95866666666666667</v>
      </c>
      <c r="K11" s="24">
        <f t="shared" si="2"/>
        <v>1126.6666666666667</v>
      </c>
      <c r="L11" s="25">
        <f t="shared" si="2"/>
        <v>17.766666666666666</v>
      </c>
      <c r="M11" s="21">
        <f t="shared" si="2"/>
        <v>2.9611111111111112E-2</v>
      </c>
      <c r="N11" s="40">
        <f t="shared" si="2"/>
        <v>0.96799999999999997</v>
      </c>
      <c r="O11" s="24">
        <f t="shared" si="2"/>
        <v>983.33333333333337</v>
      </c>
      <c r="P11" s="25">
        <f t="shared" si="2"/>
        <v>16.399999999999999</v>
      </c>
      <c r="Q11" s="21">
        <f t="shared" si="2"/>
        <v>2.7333333333333334E-2</v>
      </c>
      <c r="R11" s="40">
        <f t="shared" si="2"/>
        <v>0.97099999999999997</v>
      </c>
      <c r="S11" s="24">
        <f t="shared" si="2"/>
        <v>821.66666666666663</v>
      </c>
      <c r="T11" s="25">
        <f t="shared" si="2"/>
        <v>15.4</v>
      </c>
      <c r="U11" s="21">
        <f t="shared" si="2"/>
        <v>2.5666666666666667E-2</v>
      </c>
      <c r="V11" s="40">
        <f t="shared" si="2"/>
        <v>0.97366666666666657</v>
      </c>
    </row>
    <row r="12" spans="1:25">
      <c r="B12" s="6">
        <v>3</v>
      </c>
      <c r="C12" s="24">
        <f t="shared" ref="C12:V12" si="3">AVERAGE(C29,C45,C61)</f>
        <v>1938.3333333333333</v>
      </c>
      <c r="D12" s="25">
        <f t="shared" si="3"/>
        <v>22.733333333333334</v>
      </c>
      <c r="E12" s="21">
        <f t="shared" si="3"/>
        <v>3.7888888888888889E-2</v>
      </c>
      <c r="F12" s="40">
        <f t="shared" si="3"/>
        <v>0.83066666666666666</v>
      </c>
      <c r="G12" s="24">
        <f t="shared" si="3"/>
        <v>1736.6666666666667</v>
      </c>
      <c r="H12" s="25">
        <f t="shared" si="3"/>
        <v>19.266666666666666</v>
      </c>
      <c r="I12" s="21">
        <f t="shared" si="3"/>
        <v>3.2111111111111111E-2</v>
      </c>
      <c r="J12" s="40">
        <f t="shared" si="3"/>
        <v>0.88500000000000012</v>
      </c>
      <c r="K12" s="24">
        <f t="shared" si="3"/>
        <v>1570</v>
      </c>
      <c r="L12" s="25">
        <f t="shared" si="3"/>
        <v>18.700000000000003</v>
      </c>
      <c r="M12" s="21">
        <f t="shared" si="3"/>
        <v>3.1166666666666665E-2</v>
      </c>
      <c r="N12" s="40">
        <f t="shared" si="3"/>
        <v>0.89500000000000002</v>
      </c>
      <c r="O12" s="24">
        <f t="shared" si="3"/>
        <v>1298.3333333333333</v>
      </c>
      <c r="P12" s="25">
        <f t="shared" si="3"/>
        <v>17.666666666666668</v>
      </c>
      <c r="Q12" s="21">
        <f t="shared" si="3"/>
        <v>2.944444444444444E-2</v>
      </c>
      <c r="R12" s="40">
        <f t="shared" si="3"/>
        <v>0.89966666666666661</v>
      </c>
      <c r="S12" s="24">
        <f t="shared" si="3"/>
        <v>1095</v>
      </c>
      <c r="T12" s="25">
        <f t="shared" si="3"/>
        <v>16.966666666666669</v>
      </c>
      <c r="U12" s="21">
        <f t="shared" si="3"/>
        <v>2.827777777777778E-2</v>
      </c>
      <c r="V12" s="40">
        <f t="shared" si="3"/>
        <v>0.90800000000000003</v>
      </c>
    </row>
    <row r="13" spans="1:25">
      <c r="B13" s="6">
        <v>4</v>
      </c>
      <c r="C13" s="24">
        <f t="shared" ref="C13:V13" si="4">AVERAGE(C30,C46,C62)</f>
        <v>2268.3333333333335</v>
      </c>
      <c r="D13" s="25">
        <f t="shared" si="4"/>
        <v>28.633333333333336</v>
      </c>
      <c r="E13" s="21">
        <f t="shared" si="4"/>
        <v>4.7722222222222221E-2</v>
      </c>
      <c r="F13" s="40">
        <f t="shared" si="4"/>
        <v>0.95133333333333336</v>
      </c>
      <c r="G13" s="24">
        <f t="shared" si="4"/>
        <v>2003.3333333333333</v>
      </c>
      <c r="H13" s="25">
        <f t="shared" si="4"/>
        <v>24.833333333333332</v>
      </c>
      <c r="I13" s="21">
        <f t="shared" si="4"/>
        <v>4.1388888888888892E-2</v>
      </c>
      <c r="J13" s="40">
        <f t="shared" si="4"/>
        <v>0.96333333333333326</v>
      </c>
      <c r="K13" s="24">
        <f t="shared" si="4"/>
        <v>1725</v>
      </c>
      <c r="L13" s="25">
        <f t="shared" si="4"/>
        <v>22.7</v>
      </c>
      <c r="M13" s="21">
        <f t="shared" si="4"/>
        <v>3.783333333333333E-2</v>
      </c>
      <c r="N13" s="40">
        <f t="shared" si="4"/>
        <v>0.96866666666666656</v>
      </c>
      <c r="O13" s="24">
        <f t="shared" si="4"/>
        <v>1486.6666666666667</v>
      </c>
      <c r="P13" s="25">
        <f t="shared" si="4"/>
        <v>21.233333333333334</v>
      </c>
      <c r="Q13" s="21">
        <f t="shared" si="4"/>
        <v>3.5388888888888893E-2</v>
      </c>
      <c r="R13" s="40">
        <f t="shared" si="4"/>
        <v>0.97199999999999998</v>
      </c>
      <c r="S13" s="24">
        <f t="shared" si="4"/>
        <v>1235</v>
      </c>
      <c r="T13" s="25">
        <f t="shared" si="4"/>
        <v>19.733333333333331</v>
      </c>
      <c r="U13" s="21">
        <f t="shared" si="4"/>
        <v>3.2888888888888884E-2</v>
      </c>
      <c r="V13" s="40">
        <f t="shared" si="4"/>
        <v>0.97633333333333328</v>
      </c>
    </row>
    <row r="14" spans="1:25">
      <c r="B14" s="6">
        <v>5</v>
      </c>
      <c r="C14" s="24">
        <f t="shared" ref="C14:V14" si="5">AVERAGE(C31,C47,C63)</f>
        <v>1091.6666666666667</v>
      </c>
      <c r="D14" s="25">
        <f t="shared" si="5"/>
        <v>47.43333333333333</v>
      </c>
      <c r="E14" s="21">
        <f t="shared" si="5"/>
        <v>7.9055555555555546E-2</v>
      </c>
      <c r="F14" s="40">
        <f t="shared" si="5"/>
        <v>0.88166666666666671</v>
      </c>
      <c r="G14" s="24">
        <f t="shared" si="5"/>
        <v>970</v>
      </c>
      <c r="H14" s="25">
        <f t="shared" si="5"/>
        <v>36.5</v>
      </c>
      <c r="I14" s="21">
        <f t="shared" si="5"/>
        <v>6.083333333333333E-2</v>
      </c>
      <c r="J14" s="40">
        <f t="shared" si="5"/>
        <v>0.93100000000000005</v>
      </c>
      <c r="K14" s="24">
        <f t="shared" si="5"/>
        <v>848.33333333333337</v>
      </c>
      <c r="L14" s="25">
        <f t="shared" si="5"/>
        <v>32.966666666666669</v>
      </c>
      <c r="M14" s="21">
        <f t="shared" si="5"/>
        <v>5.4944444444444442E-2</v>
      </c>
      <c r="N14" s="40">
        <f t="shared" si="5"/>
        <v>0.94366666666666665</v>
      </c>
      <c r="O14" s="24">
        <f t="shared" si="5"/>
        <v>731.66666666666663</v>
      </c>
      <c r="P14" s="25">
        <f t="shared" si="5"/>
        <v>28.599999999999998</v>
      </c>
      <c r="Q14" s="21">
        <f t="shared" si="5"/>
        <v>4.766666666666667E-2</v>
      </c>
      <c r="R14" s="40">
        <f t="shared" si="5"/>
        <v>0.95666666666666667</v>
      </c>
      <c r="S14" s="24">
        <f t="shared" si="5"/>
        <v>633.33333333333337</v>
      </c>
      <c r="T14" s="25">
        <f t="shared" si="5"/>
        <v>27.599999999999998</v>
      </c>
      <c r="U14" s="21">
        <f t="shared" si="5"/>
        <v>4.6000000000000006E-2</v>
      </c>
      <c r="V14" s="40">
        <f t="shared" si="5"/>
        <v>0.95933333333333337</v>
      </c>
    </row>
    <row r="15" spans="1:25">
      <c r="B15" s="6">
        <v>6</v>
      </c>
      <c r="C15" s="24">
        <f t="shared" ref="C15:V15" si="6">AVERAGE(C32,C48,C64)</f>
        <v>1303.3333333333333</v>
      </c>
      <c r="D15" s="25">
        <f t="shared" si="6"/>
        <v>45.666666666666664</v>
      </c>
      <c r="E15" s="21">
        <f t="shared" si="6"/>
        <v>7.6111111111111115E-2</v>
      </c>
      <c r="F15" s="40">
        <f t="shared" si="6"/>
        <v>0.90766666666666662</v>
      </c>
      <c r="G15" s="24">
        <f t="shared" si="6"/>
        <v>1148.3333333333333</v>
      </c>
      <c r="H15" s="25">
        <f t="shared" si="6"/>
        <v>30.466666666666669</v>
      </c>
      <c r="I15" s="21">
        <f t="shared" si="6"/>
        <v>5.0777777777777776E-2</v>
      </c>
      <c r="J15" s="40">
        <f t="shared" si="6"/>
        <v>0.95533333333333337</v>
      </c>
      <c r="K15" s="24">
        <f t="shared" si="6"/>
        <v>998.33333333333337</v>
      </c>
      <c r="L15" s="25">
        <f t="shared" si="6"/>
        <v>25.8</v>
      </c>
      <c r="M15" s="21">
        <f t="shared" si="6"/>
        <v>4.3000000000000003E-2</v>
      </c>
      <c r="N15" s="40">
        <f t="shared" si="6"/>
        <v>0.96933333333333327</v>
      </c>
      <c r="O15" s="24">
        <f t="shared" si="6"/>
        <v>863.33333333333337</v>
      </c>
      <c r="P15" s="25">
        <f t="shared" si="6"/>
        <v>24.566666666666666</v>
      </c>
      <c r="Q15" s="21">
        <f t="shared" si="6"/>
        <v>4.094444444444445E-2</v>
      </c>
      <c r="R15" s="40">
        <f t="shared" si="6"/>
        <v>0.97000000000000008</v>
      </c>
      <c r="S15" s="24">
        <f t="shared" si="6"/>
        <v>705</v>
      </c>
      <c r="T15" s="25">
        <f t="shared" si="6"/>
        <v>23.933333333333334</v>
      </c>
      <c r="U15" s="21">
        <f t="shared" si="6"/>
        <v>3.988888888888889E-2</v>
      </c>
      <c r="V15" s="40">
        <f t="shared" si="6"/>
        <v>0.97166666666666668</v>
      </c>
    </row>
    <row r="16" spans="1:25">
      <c r="B16" s="6">
        <v>7</v>
      </c>
      <c r="C16" s="24">
        <f t="shared" ref="C16:V16" si="7">AVERAGE(C33,C49,C65)</f>
        <v>1030</v>
      </c>
      <c r="D16" s="25">
        <f t="shared" si="7"/>
        <v>43.433333333333337</v>
      </c>
      <c r="E16" s="21">
        <f t="shared" si="7"/>
        <v>7.2388888888888878E-2</v>
      </c>
      <c r="F16" s="40">
        <f t="shared" si="7"/>
        <v>0.90899999999999992</v>
      </c>
      <c r="G16" s="24">
        <f t="shared" si="7"/>
        <v>910</v>
      </c>
      <c r="H16" s="25">
        <f t="shared" si="7"/>
        <v>34.566666666666663</v>
      </c>
      <c r="I16" s="21">
        <f t="shared" si="7"/>
        <v>5.7611111111111113E-2</v>
      </c>
      <c r="J16" s="40">
        <f t="shared" si="7"/>
        <v>0.93666666666666665</v>
      </c>
      <c r="K16" s="24">
        <f t="shared" si="7"/>
        <v>805</v>
      </c>
      <c r="L16" s="25">
        <f t="shared" si="7"/>
        <v>32.4</v>
      </c>
      <c r="M16" s="21">
        <f t="shared" si="7"/>
        <v>5.3999999999999992E-2</v>
      </c>
      <c r="N16" s="40">
        <f t="shared" si="7"/>
        <v>0.94366666666666665</v>
      </c>
      <c r="O16" s="24">
        <f t="shared" si="7"/>
        <v>710</v>
      </c>
      <c r="P16" s="25">
        <f t="shared" si="7"/>
        <v>28.833333333333332</v>
      </c>
      <c r="Q16" s="21">
        <f t="shared" si="7"/>
        <v>4.8055555555555553E-2</v>
      </c>
      <c r="R16" s="40">
        <f t="shared" si="7"/>
        <v>0.95766666666666656</v>
      </c>
      <c r="S16" s="24">
        <f t="shared" si="7"/>
        <v>600</v>
      </c>
      <c r="T16" s="25">
        <f t="shared" si="7"/>
        <v>27.5</v>
      </c>
      <c r="U16" s="21">
        <f t="shared" si="7"/>
        <v>4.5833333333333337E-2</v>
      </c>
      <c r="V16" s="40">
        <f t="shared" si="7"/>
        <v>0.95966666666666667</v>
      </c>
    </row>
    <row r="17" spans="1:22">
      <c r="C17" s="24"/>
      <c r="D17" s="9"/>
      <c r="E17" s="8"/>
      <c r="G17" s="26"/>
      <c r="H17" s="9"/>
      <c r="I17" s="8"/>
      <c r="K17" s="20"/>
      <c r="L17" s="27"/>
      <c r="M17" s="8"/>
      <c r="O17" s="20"/>
      <c r="Q17" s="8"/>
      <c r="S17" s="20"/>
      <c r="U17" s="8"/>
    </row>
    <row r="18" spans="1:22">
      <c r="B18" s="6" t="s">
        <v>4</v>
      </c>
      <c r="C18" s="20"/>
      <c r="D18" s="22">
        <f t="shared" ref="D18:F18" si="8">AVERAGE(D35,D51,D67)</f>
        <v>30.936104754640226</v>
      </c>
      <c r="E18" s="43">
        <f t="shared" si="8"/>
        <v>5.1560174591067043E-2</v>
      </c>
      <c r="F18" s="20" t="e">
        <f t="shared" si="8"/>
        <v>#DIV/0!</v>
      </c>
      <c r="G18" s="20"/>
      <c r="H18" s="22">
        <f t="shared" ref="H18:J18" si="9">AVERAGE(H35,H51,H67)</f>
        <v>24.208951808951809</v>
      </c>
      <c r="I18" s="43">
        <f t="shared" si="9"/>
        <v>4.0348253014919677E-2</v>
      </c>
      <c r="J18" s="20" t="e">
        <f t="shared" si="9"/>
        <v>#DIV/0!</v>
      </c>
      <c r="K18" s="20"/>
      <c r="L18" s="22">
        <f t="shared" ref="L18:N18" si="10">AVERAGE(L35,L51,L67)</f>
        <v>22.075637254901959</v>
      </c>
      <c r="M18" s="43">
        <f t="shared" si="10"/>
        <v>3.6792728758169933E-2</v>
      </c>
      <c r="N18" s="20" t="e">
        <f t="shared" si="10"/>
        <v>#DIV/0!</v>
      </c>
      <c r="O18" s="20"/>
      <c r="P18" s="22">
        <f t="shared" ref="P18:R18" si="11">AVERAGE(P35,P51,P67)</f>
        <v>20.631159420289858</v>
      </c>
      <c r="Q18" s="43">
        <f t="shared" si="11"/>
        <v>3.4385265700483093E-2</v>
      </c>
      <c r="R18" s="20" t="e">
        <f t="shared" si="11"/>
        <v>#DIV/0!</v>
      </c>
      <c r="S18" s="20"/>
      <c r="T18" s="22">
        <f t="shared" ref="T18:V18" si="12">AVERAGE(T35,T51,T67)</f>
        <v>20.060901395561658</v>
      </c>
      <c r="U18" s="43">
        <f t="shared" si="12"/>
        <v>3.3434835659269434E-2</v>
      </c>
      <c r="V18" s="20" t="e">
        <f t="shared" si="12"/>
        <v>#DIV/0!</v>
      </c>
    </row>
    <row r="19" spans="1:22">
      <c r="E19" s="8"/>
    </row>
    <row r="20" spans="1:22">
      <c r="C20" s="28">
        <f>SUM(C9:C16)</f>
        <v>13110</v>
      </c>
      <c r="D20" s="6">
        <f>SUM(C15:C16) / SUM(C9:C16)</f>
        <v>0.17798118484617337</v>
      </c>
      <c r="G20" s="28">
        <f>SUM(G9:G16)</f>
        <v>11655.000000000002</v>
      </c>
      <c r="K20" s="28">
        <f>SUM(K9:K16)</f>
        <v>10200.000000000002</v>
      </c>
      <c r="O20" s="28">
        <f>SUM(O9:O16)</f>
        <v>8740</v>
      </c>
      <c r="S20" s="28">
        <f>SUM(S9:S16)</f>
        <v>7284.9999999999991</v>
      </c>
    </row>
    <row r="21" spans="1:22" ht="15.75" customHeight="1">
      <c r="C21" s="6">
        <f>C20/($B$3-$D$3)</f>
        <v>0.75215146299483648</v>
      </c>
      <c r="G21" s="6">
        <f>G20/($B$3-$D$3)</f>
        <v>0.66867469879518082</v>
      </c>
    </row>
    <row r="22" spans="1:22" ht="15.75" customHeight="1"/>
    <row r="23" spans="1:22" ht="15.75" customHeight="1"/>
    <row r="24" spans="1:22" ht="15.75" customHeight="1">
      <c r="A24" s="6" t="s">
        <v>18</v>
      </c>
      <c r="D24" s="32">
        <v>0.1</v>
      </c>
      <c r="E24" s="30"/>
      <c r="F24" s="30"/>
      <c r="G24" s="18"/>
      <c r="H24" s="32">
        <v>0.2</v>
      </c>
      <c r="I24" s="30"/>
      <c r="J24" s="30"/>
      <c r="K24" s="18"/>
      <c r="L24" s="32">
        <v>0.3</v>
      </c>
      <c r="M24" s="30"/>
      <c r="N24" s="30"/>
      <c r="O24" s="18"/>
      <c r="P24" s="32">
        <v>0.4</v>
      </c>
      <c r="Q24" s="30"/>
      <c r="R24" s="30"/>
      <c r="S24" s="18"/>
      <c r="T24" s="32">
        <v>0.5</v>
      </c>
      <c r="U24" s="30"/>
      <c r="V24" s="30"/>
    </row>
    <row r="25" spans="1:22" ht="15.75" customHeight="1">
      <c r="B25" s="3" t="s">
        <v>0</v>
      </c>
      <c r="C25" s="19" t="s">
        <v>17</v>
      </c>
      <c r="D25" s="4" t="s">
        <v>1</v>
      </c>
      <c r="E25" s="3" t="s">
        <v>2</v>
      </c>
      <c r="F25" s="3" t="s">
        <v>3</v>
      </c>
      <c r="G25" s="19" t="s">
        <v>17</v>
      </c>
      <c r="H25" s="4" t="s">
        <v>1</v>
      </c>
      <c r="I25" s="3" t="s">
        <v>2</v>
      </c>
      <c r="J25" s="3" t="s">
        <v>3</v>
      </c>
      <c r="K25" s="19" t="s">
        <v>17</v>
      </c>
      <c r="L25" s="3" t="s">
        <v>1</v>
      </c>
      <c r="M25" s="3" t="s">
        <v>2</v>
      </c>
      <c r="N25" s="3" t="s">
        <v>3</v>
      </c>
      <c r="O25" s="19" t="s">
        <v>17</v>
      </c>
      <c r="P25" s="3" t="s">
        <v>1</v>
      </c>
      <c r="Q25" s="3" t="s">
        <v>2</v>
      </c>
      <c r="R25" s="3" t="s">
        <v>3</v>
      </c>
      <c r="S25" s="19" t="s">
        <v>17</v>
      </c>
      <c r="T25" s="3" t="s">
        <v>1</v>
      </c>
      <c r="U25" s="3" t="s">
        <v>2</v>
      </c>
      <c r="V25" s="3" t="s">
        <v>3</v>
      </c>
    </row>
    <row r="26" spans="1:22" ht="15.75" customHeight="1">
      <c r="B26" s="6">
        <v>0</v>
      </c>
      <c r="C26" s="20">
        <v>1315</v>
      </c>
      <c r="D26" s="9">
        <v>37.4</v>
      </c>
      <c r="E26" s="8">
        <f t="shared" ref="E26:E33" si="13">D26/$A$5</f>
        <v>6.2333333333333331E-2</v>
      </c>
      <c r="F26" s="41">
        <v>0.88400000000000001</v>
      </c>
      <c r="G26" s="9">
        <v>1190</v>
      </c>
      <c r="H26" s="9">
        <v>34.6</v>
      </c>
      <c r="I26" s="8">
        <f t="shared" ref="I26:I33" si="14">H26/$A$5</f>
        <v>5.7666666666666672E-2</v>
      </c>
      <c r="J26" s="41">
        <v>0.90500000000000003</v>
      </c>
      <c r="K26" s="20">
        <v>1090</v>
      </c>
      <c r="L26" s="41">
        <v>32.6</v>
      </c>
      <c r="M26" s="8">
        <f t="shared" ref="M26:M33" si="15">L26/$A$5</f>
        <v>5.4333333333333338E-2</v>
      </c>
      <c r="N26" s="41">
        <v>0.91700000000000004</v>
      </c>
      <c r="O26" s="20">
        <v>1040</v>
      </c>
      <c r="P26" s="41">
        <v>31.8</v>
      </c>
      <c r="Q26" s="8">
        <f t="shared" ref="Q26:Q33" si="16">P26/$A$5</f>
        <v>5.2999999999999999E-2</v>
      </c>
      <c r="R26" s="41">
        <v>0.92100000000000004</v>
      </c>
      <c r="S26" s="20">
        <v>865</v>
      </c>
      <c r="T26" s="41">
        <v>31</v>
      </c>
      <c r="U26" s="8">
        <f t="shared" ref="U26:U33" si="17">T26/$A$5</f>
        <v>5.1666666666666666E-2</v>
      </c>
      <c r="V26" s="41">
        <v>0.92700000000000005</v>
      </c>
    </row>
    <row r="27" spans="1:22" ht="15.75" customHeight="1">
      <c r="B27" s="6">
        <v>1</v>
      </c>
      <c r="C27" s="20">
        <v>2695</v>
      </c>
      <c r="D27" s="9">
        <v>13.8</v>
      </c>
      <c r="E27" s="8">
        <f t="shared" si="13"/>
        <v>2.3E-2</v>
      </c>
      <c r="F27" s="41">
        <v>0.85499999999999998</v>
      </c>
      <c r="G27" s="9">
        <v>2435</v>
      </c>
      <c r="H27" s="9">
        <v>11.8</v>
      </c>
      <c r="I27" s="8">
        <f t="shared" si="14"/>
        <v>1.9666666666666669E-2</v>
      </c>
      <c r="J27" s="41">
        <v>0.88600000000000001</v>
      </c>
      <c r="K27" s="20">
        <v>2085</v>
      </c>
      <c r="L27" s="41">
        <v>11.5</v>
      </c>
      <c r="M27" s="8">
        <f t="shared" si="15"/>
        <v>1.9166666666666665E-2</v>
      </c>
      <c r="N27" s="41">
        <v>0.88500000000000001</v>
      </c>
      <c r="O27" s="20">
        <v>1700</v>
      </c>
      <c r="P27" s="41">
        <v>10.1</v>
      </c>
      <c r="Q27" s="8">
        <f t="shared" si="16"/>
        <v>1.6833333333333332E-2</v>
      </c>
      <c r="R27" s="41">
        <v>0.84599999999999997</v>
      </c>
      <c r="S27" s="20">
        <v>1380</v>
      </c>
      <c r="T27" s="41">
        <v>10.7</v>
      </c>
      <c r="U27" s="8">
        <f t="shared" si="17"/>
        <v>1.7833333333333333E-2</v>
      </c>
      <c r="V27" s="41">
        <v>0.82599999999999996</v>
      </c>
    </row>
    <row r="28" spans="1:22" ht="15.75" customHeight="1">
      <c r="B28" s="6">
        <v>2</v>
      </c>
      <c r="C28" s="20">
        <v>1510</v>
      </c>
      <c r="D28" s="9">
        <v>29.3</v>
      </c>
      <c r="E28" s="8">
        <f t="shared" si="13"/>
        <v>4.8833333333333333E-2</v>
      </c>
      <c r="F28" s="41">
        <v>0.91400000000000003</v>
      </c>
      <c r="G28" s="9">
        <v>1325</v>
      </c>
      <c r="H28" s="9">
        <v>21</v>
      </c>
      <c r="I28" s="8">
        <f t="shared" si="14"/>
        <v>3.5000000000000003E-2</v>
      </c>
      <c r="J28" s="41">
        <v>0.95799999999999996</v>
      </c>
      <c r="K28" s="20">
        <v>1140</v>
      </c>
      <c r="L28" s="41">
        <v>15.5</v>
      </c>
      <c r="M28" s="8">
        <f t="shared" si="15"/>
        <v>2.5833333333333333E-2</v>
      </c>
      <c r="N28" s="41">
        <v>0.97699999999999998</v>
      </c>
      <c r="O28" s="20">
        <v>1015</v>
      </c>
      <c r="P28" s="41">
        <v>15.9</v>
      </c>
      <c r="Q28" s="8">
        <f t="shared" si="16"/>
        <v>2.6499999999999999E-2</v>
      </c>
      <c r="R28" s="41">
        <v>0.97699999999999998</v>
      </c>
      <c r="S28" s="20">
        <v>825</v>
      </c>
      <c r="T28" s="41">
        <v>16.3</v>
      </c>
      <c r="U28" s="8">
        <f t="shared" si="17"/>
        <v>2.7166666666666669E-2</v>
      </c>
      <c r="V28" s="41">
        <v>0.97299999999999998</v>
      </c>
    </row>
    <row r="29" spans="1:22" ht="15.75" customHeight="1">
      <c r="B29" s="6">
        <v>3</v>
      </c>
      <c r="C29" s="20">
        <v>1910</v>
      </c>
      <c r="D29" s="9">
        <v>23</v>
      </c>
      <c r="E29" s="8">
        <f t="shared" si="13"/>
        <v>3.833333333333333E-2</v>
      </c>
      <c r="F29" s="41">
        <v>0.83</v>
      </c>
      <c r="G29" s="9">
        <v>1680</v>
      </c>
      <c r="H29" s="9">
        <v>19</v>
      </c>
      <c r="I29" s="8">
        <f t="shared" si="14"/>
        <v>3.1666666666666669E-2</v>
      </c>
      <c r="J29" s="41">
        <v>0.88300000000000001</v>
      </c>
      <c r="K29" s="20">
        <v>1470</v>
      </c>
      <c r="L29" s="41">
        <v>18.100000000000001</v>
      </c>
      <c r="M29" s="8">
        <f t="shared" si="15"/>
        <v>3.0166666666666668E-2</v>
      </c>
      <c r="N29" s="41">
        <v>0.90600000000000003</v>
      </c>
      <c r="O29" s="20">
        <v>1265</v>
      </c>
      <c r="P29" s="41">
        <v>16.899999999999999</v>
      </c>
      <c r="Q29" s="8">
        <f t="shared" si="16"/>
        <v>2.8166666666666663E-2</v>
      </c>
      <c r="R29" s="41">
        <v>0.91</v>
      </c>
      <c r="S29" s="20">
        <v>1045</v>
      </c>
      <c r="T29" s="41">
        <v>15.8</v>
      </c>
      <c r="U29" s="8">
        <f t="shared" si="17"/>
        <v>2.6333333333333334E-2</v>
      </c>
      <c r="V29" s="41">
        <v>0.92</v>
      </c>
    </row>
    <row r="30" spans="1:22" ht="15.75" customHeight="1">
      <c r="B30" s="6">
        <v>4</v>
      </c>
      <c r="C30" s="20">
        <v>2270</v>
      </c>
      <c r="D30" s="9">
        <v>28.9</v>
      </c>
      <c r="E30" s="8">
        <f t="shared" si="13"/>
        <v>4.8166666666666663E-2</v>
      </c>
      <c r="F30" s="41">
        <v>0.95</v>
      </c>
      <c r="G30" s="9">
        <v>2020</v>
      </c>
      <c r="H30" s="9">
        <v>25.4</v>
      </c>
      <c r="I30" s="8">
        <f t="shared" si="14"/>
        <v>4.2333333333333334E-2</v>
      </c>
      <c r="J30" s="41">
        <v>0.96199999999999997</v>
      </c>
      <c r="K30" s="20">
        <v>1740</v>
      </c>
      <c r="L30" s="41">
        <v>21.7</v>
      </c>
      <c r="M30" s="8">
        <f t="shared" si="15"/>
        <v>3.6166666666666666E-2</v>
      </c>
      <c r="N30" s="41">
        <v>0.97</v>
      </c>
      <c r="O30" s="20">
        <v>1440</v>
      </c>
      <c r="P30" s="41">
        <v>20.3</v>
      </c>
      <c r="Q30" s="8">
        <f t="shared" si="16"/>
        <v>3.3833333333333333E-2</v>
      </c>
      <c r="R30" s="41">
        <v>0.97299999999999998</v>
      </c>
      <c r="S30" s="20">
        <v>1220</v>
      </c>
      <c r="T30" s="41">
        <v>20.399999999999999</v>
      </c>
      <c r="U30" s="8">
        <f t="shared" si="17"/>
        <v>3.3999999999999996E-2</v>
      </c>
      <c r="V30" s="41">
        <v>0.97399999999999998</v>
      </c>
    </row>
    <row r="31" spans="1:22" ht="15.75" customHeight="1">
      <c r="B31" s="6">
        <v>5</v>
      </c>
      <c r="C31" s="20">
        <v>1055</v>
      </c>
      <c r="D31" s="9">
        <v>58.4</v>
      </c>
      <c r="E31" s="8">
        <f t="shared" si="13"/>
        <v>9.7333333333333327E-2</v>
      </c>
      <c r="F31" s="41">
        <v>0.83899999999999997</v>
      </c>
      <c r="G31" s="9">
        <v>945</v>
      </c>
      <c r="H31" s="9">
        <v>39.700000000000003</v>
      </c>
      <c r="I31" s="8">
        <f t="shared" si="14"/>
        <v>6.6166666666666665E-2</v>
      </c>
      <c r="J31" s="41">
        <v>0.92500000000000004</v>
      </c>
      <c r="K31" s="20">
        <v>845</v>
      </c>
      <c r="L31" s="41">
        <v>33.299999999999997</v>
      </c>
      <c r="M31" s="8">
        <f t="shared" si="15"/>
        <v>5.5499999999999994E-2</v>
      </c>
      <c r="N31" s="41">
        <v>0.94299999999999995</v>
      </c>
      <c r="O31" s="20">
        <v>745</v>
      </c>
      <c r="P31" s="41">
        <v>28</v>
      </c>
      <c r="Q31" s="8">
        <f t="shared" si="16"/>
        <v>4.6666666666666669E-2</v>
      </c>
      <c r="R31" s="41">
        <v>0.96</v>
      </c>
      <c r="S31" s="20">
        <v>640</v>
      </c>
      <c r="T31" s="41">
        <v>26.5</v>
      </c>
      <c r="U31" s="8">
        <f t="shared" si="17"/>
        <v>4.4166666666666667E-2</v>
      </c>
      <c r="V31" s="41">
        <v>0.96599999999999997</v>
      </c>
    </row>
    <row r="32" spans="1:22" ht="15.75" customHeight="1">
      <c r="B32" s="6">
        <v>6</v>
      </c>
      <c r="C32" s="20">
        <v>1310</v>
      </c>
      <c r="D32" s="9">
        <v>35.200000000000003</v>
      </c>
      <c r="E32" s="8">
        <f t="shared" si="13"/>
        <v>5.8666666666666673E-2</v>
      </c>
      <c r="F32" s="41">
        <v>0.94399999999999995</v>
      </c>
      <c r="G32" s="9">
        <v>1150</v>
      </c>
      <c r="H32" s="9">
        <v>31.1</v>
      </c>
      <c r="I32" s="8">
        <f t="shared" si="14"/>
        <v>5.1833333333333335E-2</v>
      </c>
      <c r="J32" s="41">
        <v>0.94899999999999995</v>
      </c>
      <c r="K32" s="20">
        <v>1010</v>
      </c>
      <c r="L32" s="41">
        <v>25.5</v>
      </c>
      <c r="M32" s="8">
        <f t="shared" si="15"/>
        <v>4.2500000000000003E-2</v>
      </c>
      <c r="N32" s="41">
        <v>0.96699999999999997</v>
      </c>
      <c r="O32" s="20">
        <v>850</v>
      </c>
      <c r="P32" s="41">
        <v>25.5</v>
      </c>
      <c r="Q32" s="8">
        <f t="shared" si="16"/>
        <v>4.2500000000000003E-2</v>
      </c>
      <c r="R32" s="41">
        <v>0.96499999999999997</v>
      </c>
      <c r="S32" s="20">
        <v>715</v>
      </c>
      <c r="T32" s="41">
        <v>25</v>
      </c>
      <c r="U32" s="8">
        <f t="shared" si="17"/>
        <v>4.1666666666666664E-2</v>
      </c>
      <c r="V32" s="41">
        <v>0.96699999999999997</v>
      </c>
    </row>
    <row r="33" spans="1:22" ht="15.75" customHeight="1">
      <c r="B33" s="6">
        <v>7</v>
      </c>
      <c r="C33" s="20">
        <v>1045</v>
      </c>
      <c r="D33" s="9">
        <v>39.5</v>
      </c>
      <c r="E33" s="8">
        <f t="shared" si="13"/>
        <v>6.5833333333333327E-2</v>
      </c>
      <c r="F33" s="41">
        <v>0.92600000000000005</v>
      </c>
      <c r="G33" s="9">
        <v>910</v>
      </c>
      <c r="H33" s="9">
        <v>34.299999999999997</v>
      </c>
      <c r="I33" s="8">
        <f t="shared" si="14"/>
        <v>5.7166666666666664E-2</v>
      </c>
      <c r="J33" s="41">
        <v>0.93799999999999994</v>
      </c>
      <c r="K33" s="20">
        <v>820</v>
      </c>
      <c r="L33" s="41">
        <v>34.200000000000003</v>
      </c>
      <c r="M33" s="8">
        <f t="shared" si="15"/>
        <v>5.7000000000000002E-2</v>
      </c>
      <c r="N33" s="41">
        <v>0.94299999999999995</v>
      </c>
      <c r="O33" s="20">
        <v>685</v>
      </c>
      <c r="P33" s="41">
        <v>29.9</v>
      </c>
      <c r="Q33" s="8">
        <f t="shared" si="16"/>
        <v>4.9833333333333334E-2</v>
      </c>
      <c r="R33" s="41">
        <v>0.95499999999999996</v>
      </c>
      <c r="S33" s="20">
        <v>595</v>
      </c>
      <c r="T33" s="41">
        <v>26.8</v>
      </c>
      <c r="U33" s="8">
        <f t="shared" si="17"/>
        <v>4.4666666666666667E-2</v>
      </c>
      <c r="V33" s="41">
        <v>0.96099999999999997</v>
      </c>
    </row>
    <row r="34" spans="1:22" ht="15.75" customHeight="1">
      <c r="C34" s="20"/>
      <c r="D34" s="9"/>
      <c r="G34" s="9"/>
      <c r="H34" s="9"/>
      <c r="K34" s="20"/>
      <c r="O34" s="20"/>
      <c r="S34" s="20"/>
    </row>
    <row r="35" spans="1:22" ht="15.75" customHeight="1">
      <c r="B35" s="6" t="s">
        <v>4</v>
      </c>
      <c r="C35" s="20"/>
      <c r="D35" s="27">
        <f>SUMPRODUCT(C26:C33,D26:D33)/SUM(C26:C33)</f>
        <v>29.683409610983983</v>
      </c>
      <c r="E35" s="12">
        <f>SUMPRODUCT(C26:C33,E26:E33)/SUM(C26:C33)</f>
        <v>4.9472349351639966E-2</v>
      </c>
      <c r="G35" s="9"/>
      <c r="H35" s="27">
        <f>SUMPRODUCT(G26:G33,H26:H33)/SUM(G26:G33)</f>
        <v>24.492020592020591</v>
      </c>
      <c r="I35" s="12">
        <f>SUMPRODUCT(G26:G33,I26:I33)/SUM(G26:G33)</f>
        <v>4.0820034320034317E-2</v>
      </c>
      <c r="K35" s="20"/>
      <c r="L35" s="27">
        <f>SUMPRODUCT(K26:K33,L26:L33)/SUM(K26:K33)</f>
        <v>21.910196078431373</v>
      </c>
      <c r="M35" s="12">
        <f>SUMPRODUCT(K26:K33,M26:M33)/SUM(K26:K33)</f>
        <v>3.6516993464052287E-2</v>
      </c>
      <c r="O35" s="20"/>
      <c r="P35" s="27">
        <f>SUMPRODUCT(O26:O33,P26:P33)/SUM(O26:O33)</f>
        <v>20.595823798627002</v>
      </c>
      <c r="Q35" s="12">
        <f>SUMPRODUCT(O26:O33,Q26:Q33)/SUM(O26:O33)</f>
        <v>3.4326372997711671E-2</v>
      </c>
      <c r="S35" s="20"/>
      <c r="T35" s="27">
        <f>SUMPRODUCT(S26:S33,T26:T33)/SUM(S26:S33)</f>
        <v>20.207069320521619</v>
      </c>
      <c r="U35" s="12">
        <f>SUMPRODUCT(S26:S33,U26:U33)/SUM(S26:S33)</f>
        <v>3.3678448867536036E-2</v>
      </c>
    </row>
    <row r="36" spans="1:22" ht="15.75" customHeight="1">
      <c r="E36">
        <v>5.24</v>
      </c>
      <c r="I36">
        <v>4.2699999999999996</v>
      </c>
      <c r="M36">
        <v>3.66</v>
      </c>
      <c r="Q36">
        <v>3.56</v>
      </c>
      <c r="U36">
        <v>3.36</v>
      </c>
    </row>
    <row r="37" spans="1:22" ht="15.75" customHeight="1">
      <c r="C37" s="6">
        <f>SUM(C26:C33)</f>
        <v>13110</v>
      </c>
      <c r="G37" s="6">
        <f>SUM(G26:G33)</f>
        <v>11655</v>
      </c>
      <c r="K37" s="6">
        <f>SUM(K26:K33)</f>
        <v>10200</v>
      </c>
      <c r="O37" s="6">
        <f>SUM(O26:O33)</f>
        <v>8740</v>
      </c>
      <c r="S37" s="6">
        <f>SUM(S26:S33)</f>
        <v>7285</v>
      </c>
    </row>
    <row r="38" spans="1:22" ht="15.75" customHeight="1"/>
    <row r="39" spans="1:22" ht="15.75" customHeight="1"/>
    <row r="40" spans="1:22" ht="15.75" customHeight="1">
      <c r="A40" s="6" t="s">
        <v>19</v>
      </c>
      <c r="D40" s="32">
        <v>0.1</v>
      </c>
      <c r="E40" s="30"/>
      <c r="F40" s="30"/>
      <c r="G40" s="18"/>
      <c r="H40" s="32">
        <v>0.2</v>
      </c>
      <c r="I40" s="30"/>
      <c r="J40" s="30"/>
      <c r="K40" s="18"/>
      <c r="L40" s="32">
        <v>0.3</v>
      </c>
      <c r="M40" s="30"/>
      <c r="N40" s="30"/>
      <c r="O40" s="18"/>
      <c r="P40" s="32">
        <v>0.4</v>
      </c>
      <c r="Q40" s="30"/>
      <c r="R40" s="30"/>
      <c r="S40" s="18"/>
      <c r="T40" s="32">
        <v>0.5</v>
      </c>
      <c r="U40" s="30"/>
      <c r="V40" s="30"/>
    </row>
    <row r="41" spans="1:22" ht="15.75" customHeight="1">
      <c r="B41" s="3" t="s">
        <v>0</v>
      </c>
      <c r="C41" s="19" t="s">
        <v>17</v>
      </c>
      <c r="D41" s="4" t="s">
        <v>1</v>
      </c>
      <c r="E41" s="3" t="s">
        <v>2</v>
      </c>
      <c r="F41" s="3" t="s">
        <v>3</v>
      </c>
      <c r="G41" s="19" t="s">
        <v>17</v>
      </c>
      <c r="H41" s="4" t="s">
        <v>1</v>
      </c>
      <c r="I41" s="3" t="s">
        <v>2</v>
      </c>
      <c r="J41" s="3" t="s">
        <v>3</v>
      </c>
      <c r="K41" s="19" t="s">
        <v>17</v>
      </c>
      <c r="L41" s="3" t="s">
        <v>1</v>
      </c>
      <c r="M41" s="3" t="s">
        <v>2</v>
      </c>
      <c r="N41" s="3" t="s">
        <v>3</v>
      </c>
      <c r="O41" s="19" t="s">
        <v>17</v>
      </c>
      <c r="P41" s="3" t="s">
        <v>1</v>
      </c>
      <c r="Q41" s="3" t="s">
        <v>2</v>
      </c>
      <c r="R41" s="3" t="s">
        <v>3</v>
      </c>
      <c r="S41" s="19" t="s">
        <v>17</v>
      </c>
      <c r="T41" s="3" t="s">
        <v>1</v>
      </c>
      <c r="U41" s="3" t="s">
        <v>2</v>
      </c>
      <c r="V41" s="3" t="s">
        <v>3</v>
      </c>
    </row>
    <row r="42" spans="1:22" ht="15.75" customHeight="1">
      <c r="B42" s="6">
        <v>0</v>
      </c>
      <c r="C42" s="20">
        <v>1540</v>
      </c>
      <c r="D42" s="9">
        <v>46.6</v>
      </c>
      <c r="E42" s="8">
        <f t="shared" ref="E42:E49" si="18">D42/$A$5</f>
        <v>7.7666666666666676E-2</v>
      </c>
      <c r="F42" s="41">
        <v>0.84499999999999997</v>
      </c>
      <c r="G42" s="9">
        <v>1350</v>
      </c>
      <c r="H42" s="9">
        <v>35.5</v>
      </c>
      <c r="I42" s="8">
        <f t="shared" ref="I42:I49" si="19">H42/$A$5</f>
        <v>5.9166666666666666E-2</v>
      </c>
      <c r="J42" s="41">
        <v>0.90300000000000002</v>
      </c>
      <c r="K42" s="20">
        <v>1110</v>
      </c>
      <c r="L42" s="41">
        <v>30.6</v>
      </c>
      <c r="M42" s="8">
        <f t="shared" ref="M42:M49" si="20">L42/$A$5</f>
        <v>5.1000000000000004E-2</v>
      </c>
      <c r="N42" s="41">
        <v>0.92600000000000005</v>
      </c>
      <c r="O42" s="20">
        <v>880</v>
      </c>
      <c r="P42" s="41">
        <v>30.4</v>
      </c>
      <c r="Q42" s="8">
        <f t="shared" ref="Q42:Q49" si="21">P42/$A$5</f>
        <v>5.0666666666666665E-2</v>
      </c>
      <c r="R42" s="41">
        <v>0.92600000000000005</v>
      </c>
      <c r="S42" s="20">
        <v>720</v>
      </c>
      <c r="T42" s="41">
        <v>30.8</v>
      </c>
      <c r="U42" s="8">
        <f t="shared" ref="U42:U49" si="22">T42/$A$5</f>
        <v>5.1333333333333335E-2</v>
      </c>
      <c r="V42" s="41">
        <v>0.93100000000000005</v>
      </c>
    </row>
    <row r="43" spans="1:22" ht="15.75" customHeight="1">
      <c r="B43" s="6">
        <v>1</v>
      </c>
      <c r="C43" s="20">
        <v>2535</v>
      </c>
      <c r="D43" s="9">
        <v>12.9</v>
      </c>
      <c r="E43" s="8">
        <f t="shared" si="18"/>
        <v>2.1500000000000002E-2</v>
      </c>
      <c r="F43" s="41">
        <v>0.77700000000000002</v>
      </c>
      <c r="G43" s="9">
        <v>2255</v>
      </c>
      <c r="H43" s="9">
        <v>11.3</v>
      </c>
      <c r="I43" s="8">
        <f t="shared" si="19"/>
        <v>1.8833333333333334E-2</v>
      </c>
      <c r="J43" s="41">
        <v>0.84199999999999997</v>
      </c>
      <c r="K43" s="20">
        <v>1965</v>
      </c>
      <c r="L43" s="41">
        <v>10.8</v>
      </c>
      <c r="M43" s="8">
        <f t="shared" si="20"/>
        <v>1.8000000000000002E-2</v>
      </c>
      <c r="N43" s="41">
        <v>0.85099999999999998</v>
      </c>
      <c r="O43" s="20">
        <v>1660</v>
      </c>
      <c r="P43" s="41">
        <v>10.6</v>
      </c>
      <c r="Q43" s="8">
        <f t="shared" si="21"/>
        <v>1.7666666666666667E-2</v>
      </c>
      <c r="R43" s="41">
        <v>0.86299999999999999</v>
      </c>
      <c r="S43" s="20">
        <v>1350</v>
      </c>
      <c r="T43" s="41">
        <v>11</v>
      </c>
      <c r="U43" s="8">
        <f t="shared" si="22"/>
        <v>1.8333333333333333E-2</v>
      </c>
      <c r="V43" s="41">
        <v>0.872</v>
      </c>
    </row>
    <row r="44" spans="1:22" ht="15.75" customHeight="1">
      <c r="B44" s="6">
        <v>2</v>
      </c>
      <c r="C44" s="20">
        <v>1445</v>
      </c>
      <c r="D44" s="9">
        <v>25.1</v>
      </c>
      <c r="E44" s="8">
        <f t="shared" si="18"/>
        <v>4.1833333333333333E-2</v>
      </c>
      <c r="F44" s="41">
        <v>0.93200000000000005</v>
      </c>
      <c r="G44" s="9">
        <v>1270</v>
      </c>
      <c r="H44" s="9">
        <v>20.3</v>
      </c>
      <c r="I44" s="8">
        <f t="shared" si="19"/>
        <v>3.3833333333333333E-2</v>
      </c>
      <c r="J44" s="41">
        <v>0.95399999999999996</v>
      </c>
      <c r="K44" s="20">
        <v>1125</v>
      </c>
      <c r="L44" s="41">
        <v>21.4</v>
      </c>
      <c r="M44" s="8">
        <f t="shared" si="20"/>
        <v>3.5666666666666666E-2</v>
      </c>
      <c r="N44" s="41">
        <v>0.95499999999999996</v>
      </c>
      <c r="O44" s="20">
        <v>985</v>
      </c>
      <c r="P44" s="41">
        <v>17.899999999999999</v>
      </c>
      <c r="Q44" s="8">
        <f t="shared" si="21"/>
        <v>2.983333333333333E-2</v>
      </c>
      <c r="R44" s="41">
        <v>0.96399999999999997</v>
      </c>
      <c r="S44" s="20">
        <v>845</v>
      </c>
      <c r="T44" s="41">
        <v>16.3</v>
      </c>
      <c r="U44" s="8">
        <f t="shared" si="22"/>
        <v>2.7166666666666669E-2</v>
      </c>
      <c r="V44" s="41">
        <v>0.96899999999999997</v>
      </c>
    </row>
    <row r="45" spans="1:22" ht="15.75" customHeight="1">
      <c r="B45" s="6">
        <v>3</v>
      </c>
      <c r="C45" s="20">
        <v>1885</v>
      </c>
      <c r="D45" s="9">
        <v>24.9</v>
      </c>
      <c r="E45" s="8">
        <f t="shared" si="18"/>
        <v>4.1499999999999995E-2</v>
      </c>
      <c r="F45" s="41">
        <v>0.78600000000000003</v>
      </c>
      <c r="G45" s="9">
        <v>1700</v>
      </c>
      <c r="H45" s="9">
        <v>19.600000000000001</v>
      </c>
      <c r="I45" s="8">
        <f t="shared" si="19"/>
        <v>3.266666666666667E-2</v>
      </c>
      <c r="J45" s="41">
        <v>0.88700000000000001</v>
      </c>
      <c r="K45" s="20">
        <v>1570</v>
      </c>
      <c r="L45" s="41">
        <v>19.3</v>
      </c>
      <c r="M45" s="8">
        <f t="shared" si="20"/>
        <v>3.216666666666667E-2</v>
      </c>
      <c r="N45" s="41">
        <v>0.88600000000000001</v>
      </c>
      <c r="O45" s="20">
        <v>1330</v>
      </c>
      <c r="P45" s="41">
        <v>18</v>
      </c>
      <c r="Q45" s="8">
        <f t="shared" si="21"/>
        <v>0.03</v>
      </c>
      <c r="R45" s="41">
        <v>0.89600000000000002</v>
      </c>
      <c r="S45" s="20">
        <v>1120</v>
      </c>
      <c r="T45" s="41">
        <v>16.3</v>
      </c>
      <c r="U45" s="8">
        <f t="shared" si="22"/>
        <v>2.7166666666666669E-2</v>
      </c>
      <c r="V45" s="41">
        <v>0.91</v>
      </c>
    </row>
    <row r="46" spans="1:22" ht="15.75" customHeight="1">
      <c r="B46" s="6">
        <v>4</v>
      </c>
      <c r="C46" s="20">
        <v>2250</v>
      </c>
      <c r="D46" s="9">
        <v>27.3</v>
      </c>
      <c r="E46" s="8">
        <f t="shared" si="18"/>
        <v>4.5499999999999999E-2</v>
      </c>
      <c r="F46" s="41">
        <v>0.95299999999999996</v>
      </c>
      <c r="G46" s="9">
        <v>1975</v>
      </c>
      <c r="H46" s="9">
        <v>23.6</v>
      </c>
      <c r="I46" s="8">
        <f t="shared" si="19"/>
        <v>3.9333333333333338E-2</v>
      </c>
      <c r="J46" s="41">
        <v>0.96699999999999997</v>
      </c>
      <c r="K46" s="20">
        <v>1710</v>
      </c>
      <c r="L46" s="41">
        <v>23.1</v>
      </c>
      <c r="M46" s="8">
        <f t="shared" si="20"/>
        <v>3.85E-2</v>
      </c>
      <c r="N46" s="41">
        <v>0.96799999999999997</v>
      </c>
      <c r="O46" s="20">
        <v>1515</v>
      </c>
      <c r="P46" s="41">
        <v>21.7</v>
      </c>
      <c r="Q46" s="8">
        <f t="shared" si="21"/>
        <v>3.6166666666666666E-2</v>
      </c>
      <c r="R46" s="41">
        <v>0.97099999999999997</v>
      </c>
      <c r="S46" s="20">
        <v>1260</v>
      </c>
      <c r="T46" s="41">
        <v>19.899999999999999</v>
      </c>
      <c r="U46" s="8">
        <f t="shared" si="22"/>
        <v>3.3166666666666664E-2</v>
      </c>
      <c r="V46" s="41">
        <v>0.97599999999999998</v>
      </c>
    </row>
    <row r="47" spans="1:22" ht="15.75" customHeight="1">
      <c r="B47" s="6">
        <v>5</v>
      </c>
      <c r="C47" s="20">
        <v>1120</v>
      </c>
      <c r="D47" s="9">
        <v>39.799999999999997</v>
      </c>
      <c r="E47" s="8">
        <f t="shared" si="18"/>
        <v>6.6333333333333327E-2</v>
      </c>
      <c r="F47" s="41">
        <v>0.91800000000000004</v>
      </c>
      <c r="G47" s="9">
        <v>975</v>
      </c>
      <c r="H47" s="9">
        <v>36.5</v>
      </c>
      <c r="I47" s="8">
        <f t="shared" si="19"/>
        <v>6.0833333333333336E-2</v>
      </c>
      <c r="J47" s="41">
        <v>0.92700000000000005</v>
      </c>
      <c r="K47" s="20">
        <v>835</v>
      </c>
      <c r="L47" s="41">
        <v>32.700000000000003</v>
      </c>
      <c r="M47" s="8">
        <f t="shared" si="20"/>
        <v>5.4500000000000007E-2</v>
      </c>
      <c r="N47" s="41">
        <v>0.94</v>
      </c>
      <c r="O47" s="20">
        <v>710</v>
      </c>
      <c r="P47" s="41">
        <v>29.1</v>
      </c>
      <c r="Q47" s="8">
        <f t="shared" si="21"/>
        <v>4.8500000000000001E-2</v>
      </c>
      <c r="R47" s="41">
        <v>0.95099999999999996</v>
      </c>
      <c r="S47" s="20">
        <v>635</v>
      </c>
      <c r="T47" s="41">
        <v>28.1</v>
      </c>
      <c r="U47" s="8">
        <f t="shared" si="22"/>
        <v>4.6833333333333338E-2</v>
      </c>
      <c r="V47" s="41">
        <v>0.95399999999999996</v>
      </c>
    </row>
    <row r="48" spans="1:22" ht="15.75" customHeight="1">
      <c r="B48" s="6">
        <v>6</v>
      </c>
      <c r="C48" s="20">
        <v>1310</v>
      </c>
      <c r="D48" s="9">
        <v>47.3</v>
      </c>
      <c r="E48" s="8">
        <f t="shared" si="18"/>
        <v>7.8833333333333325E-2</v>
      </c>
      <c r="F48" s="41">
        <v>0.90300000000000002</v>
      </c>
      <c r="G48" s="9">
        <v>1180</v>
      </c>
      <c r="H48" s="9">
        <v>28.9</v>
      </c>
      <c r="I48" s="8">
        <f t="shared" si="19"/>
        <v>4.8166666666666663E-2</v>
      </c>
      <c r="J48" s="41">
        <v>0.96199999999999997</v>
      </c>
      <c r="K48" s="20">
        <v>1035</v>
      </c>
      <c r="L48" s="41">
        <v>26.4</v>
      </c>
      <c r="M48" s="8">
        <f t="shared" si="20"/>
        <v>4.3999999999999997E-2</v>
      </c>
      <c r="N48" s="41">
        <v>0.97</v>
      </c>
      <c r="O48" s="20">
        <v>895</v>
      </c>
      <c r="P48" s="41">
        <v>25.4</v>
      </c>
      <c r="Q48" s="8">
        <f t="shared" si="21"/>
        <v>4.2333333333333334E-2</v>
      </c>
      <c r="R48" s="41">
        <v>0.97099999999999997</v>
      </c>
      <c r="S48" s="20">
        <v>700</v>
      </c>
      <c r="T48" s="41">
        <v>23.6</v>
      </c>
      <c r="U48" s="8">
        <f t="shared" si="22"/>
        <v>3.9333333333333338E-2</v>
      </c>
      <c r="V48" s="41">
        <v>0.97499999999999998</v>
      </c>
    </row>
    <row r="49" spans="1:22" ht="15.75" customHeight="1">
      <c r="B49" s="6">
        <v>7</v>
      </c>
      <c r="C49" s="20">
        <v>1025</v>
      </c>
      <c r="D49" s="9">
        <v>44.4</v>
      </c>
      <c r="E49" s="8">
        <f t="shared" si="18"/>
        <v>7.3999999999999996E-2</v>
      </c>
      <c r="F49" s="41">
        <v>0.90900000000000003</v>
      </c>
      <c r="G49" s="9">
        <v>950</v>
      </c>
      <c r="H49" s="9">
        <v>36.5</v>
      </c>
      <c r="I49" s="8">
        <f t="shared" si="19"/>
        <v>6.0833333333333336E-2</v>
      </c>
      <c r="J49" s="41">
        <v>0.93300000000000005</v>
      </c>
      <c r="K49" s="20">
        <v>850</v>
      </c>
      <c r="L49" s="41">
        <v>29.2</v>
      </c>
      <c r="M49" s="8">
        <f t="shared" si="20"/>
        <v>4.8666666666666664E-2</v>
      </c>
      <c r="N49" s="41">
        <v>0.95299999999999996</v>
      </c>
      <c r="O49" s="20">
        <v>765</v>
      </c>
      <c r="P49" s="41">
        <v>27.9</v>
      </c>
      <c r="Q49" s="8">
        <f t="shared" si="21"/>
        <v>4.65E-2</v>
      </c>
      <c r="R49" s="41">
        <v>0.95799999999999996</v>
      </c>
      <c r="S49" s="20">
        <v>655</v>
      </c>
      <c r="T49" s="41">
        <v>28.6</v>
      </c>
      <c r="U49" s="8">
        <f t="shared" si="22"/>
        <v>4.766666666666667E-2</v>
      </c>
      <c r="V49" s="41">
        <v>0.95499999999999996</v>
      </c>
    </row>
    <row r="50" spans="1:22" ht="15.75" customHeight="1">
      <c r="C50" s="20"/>
      <c r="D50" s="9"/>
      <c r="G50" s="9"/>
      <c r="H50" s="9"/>
      <c r="K50" s="20"/>
      <c r="O50" s="20"/>
      <c r="S50" s="20"/>
      <c r="T50" s="2"/>
    </row>
    <row r="51" spans="1:22" ht="15.75" customHeight="1">
      <c r="B51" s="6" t="s">
        <v>4</v>
      </c>
      <c r="C51" s="20"/>
      <c r="D51" s="2">
        <f>SUMPRODUCT(C42:C49,D42:D49)/SUM(C42:C49)</f>
        <v>30.598436308161709</v>
      </c>
      <c r="E51" s="12">
        <f>SUMPRODUCT(C42:C49,E42:E49)/SUM(C42:C49)</f>
        <v>5.0997393846936183E-2</v>
      </c>
      <c r="G51" s="9"/>
      <c r="H51" s="2">
        <f>SUMPRODUCT(G42:G49,H42:H49)/SUM(G42:G49)</f>
        <v>24.322779922779922</v>
      </c>
      <c r="I51" s="12">
        <f>SUMPRODUCT(G42:G49,I42:I49)/SUM(G42:G49)</f>
        <v>4.0537966537966541E-2</v>
      </c>
      <c r="K51" s="20"/>
      <c r="L51" s="2">
        <f>SUMPRODUCT(K42:K49,L42:L49)/SUM(K42:K49)</f>
        <v>22.403284313725489</v>
      </c>
      <c r="M51" s="12">
        <f>SUMPRODUCT(K42:K49,M42:M49)/SUM(K42:K49)</f>
        <v>3.7338807189542488E-2</v>
      </c>
      <c r="O51" s="20"/>
      <c r="P51" s="2">
        <f>SUMPRODUCT(O42:O49,P42:P49)/SUM(O42:O49)</f>
        <v>20.999141876430205</v>
      </c>
      <c r="Q51" s="12">
        <f>SUMPRODUCT(O42:O49,Q42:Q49)/SUM(O42:O49)</f>
        <v>3.499856979405034E-2</v>
      </c>
      <c r="S51" s="20"/>
      <c r="T51" s="2">
        <f>SUMPRODUCT(S42:S49,T42:T49)/SUM(S42:S49)</f>
        <v>20.209471516815373</v>
      </c>
      <c r="U51" s="12">
        <f>SUMPRODUCT(S42:S49,U42:U49)/SUM(S42:S49)</f>
        <v>3.3682452528025625E-2</v>
      </c>
    </row>
    <row r="52" spans="1:22" ht="15.75" customHeight="1">
      <c r="E52">
        <v>5.23</v>
      </c>
      <c r="H52" s="2"/>
      <c r="I52">
        <v>4.3099999999999996</v>
      </c>
      <c r="M52">
        <v>3.66</v>
      </c>
      <c r="Q52">
        <v>3.54</v>
      </c>
      <c r="U52">
        <v>3.36</v>
      </c>
    </row>
    <row r="53" spans="1:22" ht="15.75" customHeight="1">
      <c r="C53" s="6">
        <f>SUM(C42:C49)</f>
        <v>13110</v>
      </c>
      <c r="G53" s="6">
        <f>SUM(G42:G49)</f>
        <v>11655</v>
      </c>
      <c r="K53" s="6">
        <f>SUM(K42:K49)</f>
        <v>10200</v>
      </c>
      <c r="O53" s="6">
        <f>SUM(O42:O49)</f>
        <v>8740</v>
      </c>
      <c r="S53" s="6">
        <f>SUM(S42:S49)</f>
        <v>7285</v>
      </c>
    </row>
    <row r="54" spans="1:22" ht="15.75" customHeight="1"/>
    <row r="55" spans="1:22" ht="15.75" customHeight="1"/>
    <row r="56" spans="1:22" ht="15.75" customHeight="1">
      <c r="A56" s="6" t="s">
        <v>20</v>
      </c>
      <c r="D56" s="32">
        <v>0.1</v>
      </c>
      <c r="E56" s="30"/>
      <c r="F56" s="30"/>
      <c r="G56" s="18"/>
      <c r="H56" s="32">
        <v>0.2</v>
      </c>
      <c r="I56" s="30"/>
      <c r="J56" s="30"/>
      <c r="K56" s="18"/>
      <c r="L56" s="32">
        <v>0.3</v>
      </c>
      <c r="M56" s="30"/>
      <c r="N56" s="30"/>
      <c r="O56" s="18"/>
      <c r="P56" s="32">
        <v>0.4</v>
      </c>
      <c r="Q56" s="30"/>
      <c r="R56" s="30"/>
      <c r="S56" s="18"/>
      <c r="T56" s="32">
        <v>0.5</v>
      </c>
      <c r="U56" s="30"/>
      <c r="V56" s="30"/>
    </row>
    <row r="57" spans="1:22" ht="15.75" customHeight="1">
      <c r="B57" s="3" t="s">
        <v>0</v>
      </c>
      <c r="C57" s="19" t="s">
        <v>17</v>
      </c>
      <c r="D57" s="4" t="s">
        <v>1</v>
      </c>
      <c r="E57" s="3" t="s">
        <v>2</v>
      </c>
      <c r="F57" s="3" t="s">
        <v>3</v>
      </c>
      <c r="G57" s="19" t="s">
        <v>17</v>
      </c>
      <c r="H57" s="4" t="s">
        <v>1</v>
      </c>
      <c r="I57" s="3" t="s">
        <v>2</v>
      </c>
      <c r="J57" s="3" t="s">
        <v>3</v>
      </c>
      <c r="K57" s="19" t="s">
        <v>17</v>
      </c>
      <c r="L57" s="3" t="s">
        <v>1</v>
      </c>
      <c r="M57" s="3" t="s">
        <v>2</v>
      </c>
      <c r="N57" s="3" t="s">
        <v>3</v>
      </c>
      <c r="O57" s="19" t="s">
        <v>17</v>
      </c>
      <c r="P57" s="3" t="s">
        <v>1</v>
      </c>
      <c r="Q57" s="3" t="s">
        <v>2</v>
      </c>
      <c r="R57" s="3" t="s">
        <v>3</v>
      </c>
      <c r="S57" s="19" t="s">
        <v>17</v>
      </c>
      <c r="T57" s="3" t="s">
        <v>1</v>
      </c>
      <c r="U57" s="3" t="s">
        <v>2</v>
      </c>
      <c r="V57" s="3" t="s">
        <v>3</v>
      </c>
    </row>
    <row r="58" spans="1:22" ht="15.75" customHeight="1">
      <c r="B58" s="6">
        <v>0</v>
      </c>
      <c r="C58" s="20">
        <v>1435</v>
      </c>
      <c r="D58" s="9">
        <v>44.7</v>
      </c>
      <c r="E58" s="8">
        <f t="shared" ref="E58:E65" si="23">D58/$A$5</f>
        <v>7.4500000000000011E-2</v>
      </c>
      <c r="F58" s="41">
        <v>0.84599999999999997</v>
      </c>
      <c r="G58" s="9">
        <v>1275</v>
      </c>
      <c r="H58" s="9">
        <v>34.799999999999997</v>
      </c>
      <c r="I58" s="8">
        <f t="shared" ref="I58:I65" si="24">H58/$A$5</f>
        <v>5.7999999999999996E-2</v>
      </c>
      <c r="J58" s="41">
        <v>0.90300000000000002</v>
      </c>
      <c r="K58" s="20">
        <v>1055</v>
      </c>
      <c r="L58" s="41">
        <v>31</v>
      </c>
      <c r="M58" s="8">
        <f t="shared" ref="M58:M65" si="25">L58/$A$5</f>
        <v>5.1666666666666666E-2</v>
      </c>
      <c r="N58" s="41">
        <v>0.92600000000000005</v>
      </c>
      <c r="O58" s="20">
        <v>905</v>
      </c>
      <c r="P58" s="41">
        <v>30</v>
      </c>
      <c r="Q58" s="8">
        <f t="shared" ref="Q58:Q65" si="26">P58/$A$5</f>
        <v>0.05</v>
      </c>
      <c r="R58" s="41">
        <v>0.92900000000000005</v>
      </c>
      <c r="S58" s="20">
        <v>765</v>
      </c>
      <c r="T58" s="41">
        <v>31.9</v>
      </c>
      <c r="U58" s="8">
        <f t="shared" ref="U58:U65" si="27">T58/$A$5</f>
        <v>5.3166666666666668E-2</v>
      </c>
      <c r="V58" s="41">
        <v>0.91900000000000004</v>
      </c>
    </row>
    <row r="59" spans="1:22" ht="15.75" customHeight="1">
      <c r="B59" s="6">
        <v>1</v>
      </c>
      <c r="C59" s="20">
        <v>2520</v>
      </c>
      <c r="D59" s="9">
        <v>12.8</v>
      </c>
      <c r="E59" s="8">
        <f t="shared" si="23"/>
        <v>2.1333333333333336E-2</v>
      </c>
      <c r="F59" s="41">
        <v>0.83299999999999996</v>
      </c>
      <c r="G59" s="9">
        <v>2280</v>
      </c>
      <c r="H59" s="9">
        <v>11</v>
      </c>
      <c r="I59" s="8">
        <f t="shared" si="24"/>
        <v>1.8333333333333333E-2</v>
      </c>
      <c r="J59" s="41">
        <v>0.84599999999999997</v>
      </c>
      <c r="K59" s="20">
        <v>2075</v>
      </c>
      <c r="L59" s="41">
        <v>11.2</v>
      </c>
      <c r="M59" s="8">
        <f t="shared" si="25"/>
        <v>1.8666666666666665E-2</v>
      </c>
      <c r="N59" s="41">
        <v>0.84499999999999997</v>
      </c>
      <c r="O59" s="20">
        <v>1815</v>
      </c>
      <c r="P59" s="41">
        <v>10.7</v>
      </c>
      <c r="Q59" s="8">
        <f t="shared" si="26"/>
        <v>1.7833333333333333E-2</v>
      </c>
      <c r="R59" s="41">
        <v>0.85399999999999998</v>
      </c>
      <c r="S59" s="20">
        <v>1505</v>
      </c>
      <c r="T59" s="41">
        <v>10.5</v>
      </c>
      <c r="U59" s="8">
        <f t="shared" si="27"/>
        <v>1.7500000000000002E-2</v>
      </c>
      <c r="V59" s="41">
        <v>0.85599999999999998</v>
      </c>
    </row>
    <row r="60" spans="1:22" ht="15.75" customHeight="1">
      <c r="B60" s="6">
        <v>2</v>
      </c>
      <c r="C60" s="20">
        <v>1440</v>
      </c>
      <c r="D60" s="9">
        <v>38.200000000000003</v>
      </c>
      <c r="E60" s="8">
        <f t="shared" si="23"/>
        <v>6.3666666666666677E-2</v>
      </c>
      <c r="F60" s="41">
        <v>0.83599999999999997</v>
      </c>
      <c r="G60" s="9">
        <v>1280</v>
      </c>
      <c r="H60" s="9">
        <v>19.5</v>
      </c>
      <c r="I60" s="8">
        <f t="shared" si="24"/>
        <v>3.2500000000000001E-2</v>
      </c>
      <c r="J60" s="41">
        <v>0.96399999999999997</v>
      </c>
      <c r="K60" s="20">
        <v>1115</v>
      </c>
      <c r="L60" s="41">
        <v>16.399999999999999</v>
      </c>
      <c r="M60" s="8">
        <f t="shared" si="25"/>
        <v>2.7333333333333331E-2</v>
      </c>
      <c r="N60" s="41">
        <v>0.97199999999999998</v>
      </c>
      <c r="O60" s="20">
        <v>950</v>
      </c>
      <c r="P60" s="41">
        <v>15.4</v>
      </c>
      <c r="Q60" s="8">
        <f t="shared" si="26"/>
        <v>2.5666666666666667E-2</v>
      </c>
      <c r="R60" s="41">
        <v>0.97199999999999998</v>
      </c>
      <c r="S60" s="20">
        <v>795</v>
      </c>
      <c r="T60" s="41">
        <v>13.6</v>
      </c>
      <c r="U60" s="8">
        <f t="shared" si="27"/>
        <v>2.2666666666666665E-2</v>
      </c>
      <c r="V60" s="41">
        <v>0.97899999999999998</v>
      </c>
    </row>
    <row r="61" spans="1:22" ht="15.75" customHeight="1">
      <c r="B61" s="6">
        <v>3</v>
      </c>
      <c r="C61" s="20">
        <v>2020</v>
      </c>
      <c r="D61" s="9">
        <v>20.3</v>
      </c>
      <c r="E61" s="8">
        <f t="shared" si="23"/>
        <v>3.3833333333333333E-2</v>
      </c>
      <c r="F61" s="41">
        <v>0.876</v>
      </c>
      <c r="G61" s="9">
        <v>1830</v>
      </c>
      <c r="H61" s="9">
        <v>19.2</v>
      </c>
      <c r="I61" s="8">
        <f t="shared" si="24"/>
        <v>3.2000000000000001E-2</v>
      </c>
      <c r="J61" s="41">
        <v>0.88500000000000001</v>
      </c>
      <c r="K61" s="20">
        <v>1670</v>
      </c>
      <c r="L61" s="41">
        <v>18.7</v>
      </c>
      <c r="M61" s="8">
        <f t="shared" si="25"/>
        <v>3.1166666666666665E-2</v>
      </c>
      <c r="N61" s="41">
        <v>0.89300000000000002</v>
      </c>
      <c r="O61" s="20">
        <v>1300</v>
      </c>
      <c r="P61" s="41">
        <v>18.100000000000001</v>
      </c>
      <c r="Q61" s="8">
        <f t="shared" si="26"/>
        <v>3.0166666666666668E-2</v>
      </c>
      <c r="R61" s="41">
        <v>0.89300000000000002</v>
      </c>
      <c r="S61" s="20">
        <v>1120</v>
      </c>
      <c r="T61" s="41">
        <v>18.8</v>
      </c>
      <c r="U61" s="8">
        <f t="shared" si="27"/>
        <v>3.1333333333333331E-2</v>
      </c>
      <c r="V61" s="41">
        <v>0.89400000000000002</v>
      </c>
    </row>
    <row r="62" spans="1:22" ht="15.75" customHeight="1">
      <c r="B62" s="6">
        <v>4</v>
      </c>
      <c r="C62" s="20">
        <v>2285</v>
      </c>
      <c r="D62" s="9">
        <v>29.7</v>
      </c>
      <c r="E62" s="8">
        <f t="shared" si="23"/>
        <v>4.9499999999999995E-2</v>
      </c>
      <c r="F62" s="41">
        <v>0.95099999999999996</v>
      </c>
      <c r="G62" s="9">
        <v>2015</v>
      </c>
      <c r="H62" s="9">
        <v>25.5</v>
      </c>
      <c r="I62" s="8">
        <f t="shared" si="24"/>
        <v>4.2500000000000003E-2</v>
      </c>
      <c r="J62" s="41">
        <v>0.96099999999999997</v>
      </c>
      <c r="K62" s="20">
        <v>1725</v>
      </c>
      <c r="L62" s="41">
        <v>23.3</v>
      </c>
      <c r="M62" s="8">
        <f t="shared" si="25"/>
        <v>3.8833333333333338E-2</v>
      </c>
      <c r="N62" s="41">
        <v>0.96799999999999997</v>
      </c>
      <c r="O62" s="20">
        <v>1505</v>
      </c>
      <c r="P62" s="41">
        <v>21.7</v>
      </c>
      <c r="Q62" s="8">
        <f t="shared" si="26"/>
        <v>3.6166666666666666E-2</v>
      </c>
      <c r="R62" s="41">
        <v>0.97199999999999998</v>
      </c>
      <c r="S62" s="20">
        <v>1225</v>
      </c>
      <c r="T62" s="41">
        <v>18.899999999999999</v>
      </c>
      <c r="U62" s="8">
        <f t="shared" si="27"/>
        <v>3.15E-2</v>
      </c>
      <c r="V62" s="41">
        <v>0.97899999999999998</v>
      </c>
    </row>
    <row r="63" spans="1:22" ht="15.75" customHeight="1">
      <c r="B63" s="6">
        <v>5</v>
      </c>
      <c r="C63" s="20">
        <v>1100</v>
      </c>
      <c r="D63" s="9">
        <v>44.1</v>
      </c>
      <c r="E63" s="8">
        <f t="shared" si="23"/>
        <v>7.3499999999999996E-2</v>
      </c>
      <c r="F63" s="41">
        <v>0.88800000000000001</v>
      </c>
      <c r="G63" s="9">
        <v>990</v>
      </c>
      <c r="H63" s="9">
        <v>33.299999999999997</v>
      </c>
      <c r="I63" s="8">
        <f t="shared" si="24"/>
        <v>5.5499999999999994E-2</v>
      </c>
      <c r="J63" s="41">
        <v>0.94099999999999995</v>
      </c>
      <c r="K63" s="20">
        <v>865</v>
      </c>
      <c r="L63" s="41">
        <v>32.9</v>
      </c>
      <c r="M63" s="8">
        <f t="shared" si="25"/>
        <v>5.4833333333333331E-2</v>
      </c>
      <c r="N63" s="41">
        <v>0.94799999999999995</v>
      </c>
      <c r="O63" s="20">
        <v>740</v>
      </c>
      <c r="P63" s="41">
        <v>28.7</v>
      </c>
      <c r="Q63" s="8">
        <f t="shared" si="26"/>
        <v>4.7833333333333332E-2</v>
      </c>
      <c r="R63" s="41">
        <v>0.95899999999999996</v>
      </c>
      <c r="S63" s="20">
        <v>625</v>
      </c>
      <c r="T63" s="41">
        <v>28.2</v>
      </c>
      <c r="U63" s="8">
        <f t="shared" si="27"/>
        <v>4.7E-2</v>
      </c>
      <c r="V63" s="41">
        <v>0.95799999999999996</v>
      </c>
    </row>
    <row r="64" spans="1:22" ht="15.75" customHeight="1">
      <c r="B64" s="6">
        <v>6</v>
      </c>
      <c r="C64" s="20">
        <v>1290</v>
      </c>
      <c r="D64" s="9">
        <v>54.5</v>
      </c>
      <c r="E64" s="8">
        <f t="shared" si="23"/>
        <v>9.0833333333333335E-2</v>
      </c>
      <c r="F64" s="41">
        <v>0.876</v>
      </c>
      <c r="G64" s="9">
        <v>1115</v>
      </c>
      <c r="H64" s="9">
        <v>31.4</v>
      </c>
      <c r="I64" s="8">
        <f t="shared" si="24"/>
        <v>5.2333333333333329E-2</v>
      </c>
      <c r="J64" s="41">
        <v>0.95499999999999996</v>
      </c>
      <c r="K64" s="20">
        <v>950</v>
      </c>
      <c r="L64" s="41">
        <v>25.5</v>
      </c>
      <c r="M64" s="8">
        <f t="shared" si="25"/>
        <v>4.2500000000000003E-2</v>
      </c>
      <c r="N64" s="41">
        <v>0.97099999999999997</v>
      </c>
      <c r="O64" s="20">
        <v>845</v>
      </c>
      <c r="P64" s="41">
        <v>22.8</v>
      </c>
      <c r="Q64" s="8">
        <f t="shared" si="26"/>
        <v>3.7999999999999999E-2</v>
      </c>
      <c r="R64" s="41">
        <v>0.97399999999999998</v>
      </c>
      <c r="S64" s="20">
        <v>700</v>
      </c>
      <c r="T64" s="41">
        <v>23.2</v>
      </c>
      <c r="U64" s="8">
        <f t="shared" si="27"/>
        <v>3.8666666666666669E-2</v>
      </c>
      <c r="V64" s="41">
        <v>0.97299999999999998</v>
      </c>
    </row>
    <row r="65" spans="2:22" ht="15.75" customHeight="1">
      <c r="B65" s="6">
        <v>7</v>
      </c>
      <c r="C65" s="20">
        <v>1020</v>
      </c>
      <c r="D65" s="9">
        <v>46.4</v>
      </c>
      <c r="E65" s="8">
        <f t="shared" si="23"/>
        <v>7.7333333333333337E-2</v>
      </c>
      <c r="F65" s="41">
        <v>0.89200000000000002</v>
      </c>
      <c r="G65" s="9">
        <v>870</v>
      </c>
      <c r="H65" s="9">
        <v>32.9</v>
      </c>
      <c r="I65" s="8">
        <f t="shared" si="24"/>
        <v>5.4833333333333331E-2</v>
      </c>
      <c r="J65" s="41">
        <v>0.93899999999999995</v>
      </c>
      <c r="K65" s="20">
        <v>745</v>
      </c>
      <c r="L65" s="41">
        <v>33.799999999999997</v>
      </c>
      <c r="M65" s="8">
        <f t="shared" si="25"/>
        <v>5.6333333333333326E-2</v>
      </c>
      <c r="N65" s="41">
        <v>0.93500000000000005</v>
      </c>
      <c r="O65" s="20">
        <v>680</v>
      </c>
      <c r="P65" s="41">
        <v>28.7</v>
      </c>
      <c r="Q65" s="8">
        <f t="shared" si="26"/>
        <v>4.7833333333333332E-2</v>
      </c>
      <c r="R65" s="41">
        <v>0.96</v>
      </c>
      <c r="S65" s="20">
        <v>550</v>
      </c>
      <c r="T65" s="41">
        <v>27.1</v>
      </c>
      <c r="U65" s="8">
        <f t="shared" si="27"/>
        <v>4.5166666666666667E-2</v>
      </c>
      <c r="V65" s="41">
        <v>0.96299999999999997</v>
      </c>
    </row>
    <row r="66" spans="2:22" ht="15.75" customHeight="1">
      <c r="C66" s="20"/>
      <c r="D66" s="9"/>
      <c r="G66" s="9"/>
      <c r="H66" s="9"/>
      <c r="K66" s="20"/>
      <c r="O66" s="20"/>
      <c r="S66" s="20"/>
    </row>
    <row r="67" spans="2:22" ht="15.75" customHeight="1">
      <c r="B67" s="6" t="s">
        <v>4</v>
      </c>
      <c r="C67" s="20"/>
      <c r="D67" s="2">
        <f>SUMPRODUCT(C58:C65,D58:D65)/SUM(C58:C65)</f>
        <v>32.526468344774983</v>
      </c>
      <c r="E67" s="12">
        <f>SUMPRODUCT(C58:C65,E58:E65)/SUM(C58:C65)</f>
        <v>5.4210780574624966E-2</v>
      </c>
      <c r="G67" s="9"/>
      <c r="H67" s="2">
        <f>SUMPRODUCT(G58:G65,H58:H65)/SUM(G58:G65)</f>
        <v>23.812054912054911</v>
      </c>
      <c r="I67" s="12">
        <f>SUMPRODUCT(G58:G65,I58:I65)/SUM(G58:G65)</f>
        <v>3.9686758186758181E-2</v>
      </c>
      <c r="K67" s="20"/>
      <c r="L67" s="2">
        <f>SUMPRODUCT(K58:K65,L58:L65)/SUM(K58:K65)</f>
        <v>21.91343137254902</v>
      </c>
      <c r="M67" s="12">
        <f>SUMPRODUCT(K58:K65,M58:M65)/SUM(K58:K65)</f>
        <v>3.6522385620915032E-2</v>
      </c>
      <c r="O67" s="20"/>
      <c r="P67" s="2">
        <f>SUMPRODUCT(O58:O65,P58:P65)/SUM(O58:O65)</f>
        <v>20.298512585812357</v>
      </c>
      <c r="Q67" s="12">
        <f>SUMPRODUCT(O58:O65,Q58:Q65)/SUM(O58:O65)</f>
        <v>3.3830854309687262E-2</v>
      </c>
      <c r="S67" s="20"/>
      <c r="T67" s="2">
        <f>SUMPRODUCT(S58:S65,T58:T65)/SUM(S58:S65)</f>
        <v>19.766163349347977</v>
      </c>
      <c r="U67" s="12">
        <f>SUMPRODUCT(S58:S65,U58:U65)/SUM(S58:S65)</f>
        <v>3.2943605582246627E-2</v>
      </c>
    </row>
    <row r="68" spans="2:22" ht="15.75" customHeight="1">
      <c r="E68">
        <v>5.27</v>
      </c>
      <c r="I68">
        <v>4.28</v>
      </c>
      <c r="M68">
        <v>3.67</v>
      </c>
      <c r="Q68">
        <v>3.51</v>
      </c>
      <c r="U68">
        <v>3.39</v>
      </c>
    </row>
    <row r="69" spans="2:22" ht="15.75" customHeight="1">
      <c r="C69" s="6">
        <f>SUM(C58:C65)</f>
        <v>13110</v>
      </c>
      <c r="G69" s="6">
        <f>SUM(G58:G65)</f>
        <v>11655</v>
      </c>
      <c r="K69" s="6">
        <f>SUM(K58:K65)</f>
        <v>10200</v>
      </c>
      <c r="O69" s="6">
        <f>SUM(O58:O65)</f>
        <v>8740</v>
      </c>
      <c r="S69" s="6">
        <f>SUM(S58:S65)</f>
        <v>7285</v>
      </c>
    </row>
    <row r="70" spans="2:22" ht="15.75" customHeight="1"/>
    <row r="71" spans="2:22" ht="15.75" customHeight="1"/>
    <row r="72" spans="2:22" ht="15.75" customHeight="1"/>
    <row r="73" spans="2:22" ht="15.75" customHeight="1"/>
    <row r="74" spans="2:22" ht="15.75" customHeight="1"/>
    <row r="75" spans="2:22" ht="15.75" customHeight="1"/>
    <row r="76" spans="2:22" ht="15.75" customHeight="1"/>
    <row r="77" spans="2:22" ht="15.75" customHeight="1"/>
    <row r="78" spans="2:22" ht="15.75" customHeight="1"/>
    <row r="79" spans="2:22" ht="15.75" customHeight="1"/>
    <row r="80" spans="2:2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D24:F24"/>
    <mergeCell ref="H24:J24"/>
    <mergeCell ref="T24:V24"/>
    <mergeCell ref="D56:F56"/>
    <mergeCell ref="H56:J56"/>
    <mergeCell ref="L56:N56"/>
    <mergeCell ref="P56:R56"/>
    <mergeCell ref="T56:V56"/>
    <mergeCell ref="L24:N24"/>
    <mergeCell ref="P24:R24"/>
    <mergeCell ref="D40:F40"/>
    <mergeCell ref="H40:J40"/>
    <mergeCell ref="L40:N40"/>
    <mergeCell ref="P40:R40"/>
    <mergeCell ref="T40:V40"/>
    <mergeCell ref="D7:F7"/>
    <mergeCell ref="H7:J7"/>
    <mergeCell ref="L7:N7"/>
    <mergeCell ref="P7:R7"/>
    <mergeCell ref="T7:V7"/>
  </mergeCells>
  <pageMargins left="0.7" right="0.7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3:AA1000"/>
  <sheetViews>
    <sheetView topLeftCell="A4" workbookViewId="0">
      <selection activeCell="I21" sqref="I21"/>
    </sheetView>
  </sheetViews>
  <sheetFormatPr baseColWidth="10" defaultColWidth="14.42578125" defaultRowHeight="15" customHeight="1"/>
  <cols>
    <col min="1" max="1" width="15.85546875" customWidth="1"/>
    <col min="2" max="2" width="12.5703125" customWidth="1"/>
    <col min="3" max="27" width="10.7109375" customWidth="1"/>
  </cols>
  <sheetData>
    <row r="3" spans="1:25">
      <c r="B3" s="6">
        <v>17510</v>
      </c>
      <c r="C3" s="6" t="s">
        <v>14</v>
      </c>
      <c r="D3" s="6">
        <v>906</v>
      </c>
      <c r="E3" s="6" t="s">
        <v>15</v>
      </c>
    </row>
    <row r="4" spans="1:25">
      <c r="A4" s="6" t="s">
        <v>21</v>
      </c>
    </row>
    <row r="5" spans="1:25">
      <c r="A5" s="6">
        <v>759</v>
      </c>
    </row>
    <row r="7" spans="1:25">
      <c r="A7" s="6" t="s">
        <v>20</v>
      </c>
      <c r="D7" s="32">
        <v>0.1</v>
      </c>
      <c r="E7" s="30"/>
      <c r="F7" s="30"/>
      <c r="G7" s="18"/>
      <c r="H7" s="32">
        <v>0.2</v>
      </c>
      <c r="I7" s="30"/>
      <c r="J7" s="30"/>
      <c r="K7" s="18"/>
      <c r="L7" s="32">
        <v>0.3</v>
      </c>
      <c r="M7" s="30"/>
      <c r="N7" s="30"/>
      <c r="O7" s="18"/>
      <c r="P7" s="32">
        <v>0.4</v>
      </c>
      <c r="Q7" s="30"/>
      <c r="R7" s="30"/>
      <c r="S7" s="18"/>
      <c r="T7" s="32">
        <v>0.5</v>
      </c>
      <c r="U7" s="30"/>
      <c r="V7" s="30"/>
      <c r="W7" s="1"/>
      <c r="X7" s="2"/>
      <c r="Y7" s="2"/>
    </row>
    <row r="8" spans="1:25">
      <c r="B8" s="3" t="s">
        <v>0</v>
      </c>
      <c r="C8" s="19" t="s">
        <v>17</v>
      </c>
      <c r="D8" s="4" t="s">
        <v>1</v>
      </c>
      <c r="E8" s="3" t="s">
        <v>2</v>
      </c>
      <c r="F8" s="3" t="s">
        <v>3</v>
      </c>
      <c r="G8" s="19" t="s">
        <v>17</v>
      </c>
      <c r="H8" s="4" t="s">
        <v>1</v>
      </c>
      <c r="I8" s="3" t="s">
        <v>2</v>
      </c>
      <c r="J8" s="3" t="s">
        <v>3</v>
      </c>
      <c r="K8" s="19" t="s">
        <v>17</v>
      </c>
      <c r="L8" s="3" t="s">
        <v>1</v>
      </c>
      <c r="M8" s="3" t="s">
        <v>2</v>
      </c>
      <c r="N8" s="3" t="s">
        <v>3</v>
      </c>
      <c r="O8" s="19" t="s">
        <v>17</v>
      </c>
      <c r="P8" s="3" t="s">
        <v>1</v>
      </c>
      <c r="Q8" s="3" t="s">
        <v>2</v>
      </c>
      <c r="R8" s="3" t="s">
        <v>3</v>
      </c>
      <c r="S8" s="19" t="s">
        <v>17</v>
      </c>
      <c r="T8" s="3" t="s">
        <v>1</v>
      </c>
      <c r="U8" s="3" t="s">
        <v>2</v>
      </c>
      <c r="V8" s="3" t="s">
        <v>3</v>
      </c>
    </row>
    <row r="9" spans="1:25">
      <c r="B9" s="6">
        <v>0</v>
      </c>
      <c r="C9" s="24">
        <f t="shared" ref="C9:V9" si="0">AVERAGE(C26,C42,C57)</f>
        <v>1555</v>
      </c>
      <c r="D9" s="25">
        <f t="shared" si="0"/>
        <v>34.800000000000004</v>
      </c>
      <c r="E9" s="21">
        <f t="shared" si="0"/>
        <v>4.5849802371541508E-2</v>
      </c>
      <c r="F9" s="20">
        <f t="shared" si="0"/>
        <v>0.83233333333333326</v>
      </c>
      <c r="G9" s="24">
        <f t="shared" si="0"/>
        <v>1371.6666666666667</v>
      </c>
      <c r="H9" s="25">
        <f t="shared" si="0"/>
        <v>29.166666666666668</v>
      </c>
      <c r="I9" s="21">
        <f t="shared" si="0"/>
        <v>3.8427755819060168E-2</v>
      </c>
      <c r="J9" s="20">
        <f t="shared" si="0"/>
        <v>0.87966666666666671</v>
      </c>
      <c r="K9" s="24">
        <f t="shared" si="0"/>
        <v>1253.3333333333333</v>
      </c>
      <c r="L9" s="25">
        <f t="shared" si="0"/>
        <v>27.166666666666668</v>
      </c>
      <c r="M9" s="21">
        <f t="shared" si="0"/>
        <v>3.5792709705753184E-2</v>
      </c>
      <c r="N9" s="20">
        <f t="shared" si="0"/>
        <v>0.90033333333333332</v>
      </c>
      <c r="O9" s="24">
        <f t="shared" si="0"/>
        <v>1098.3333333333333</v>
      </c>
      <c r="P9" s="25">
        <f t="shared" si="0"/>
        <v>26.700000000000003</v>
      </c>
      <c r="Q9" s="21">
        <f t="shared" si="0"/>
        <v>3.5177865612648219E-2</v>
      </c>
      <c r="R9" s="20">
        <f t="shared" si="0"/>
        <v>0.90733333333333333</v>
      </c>
      <c r="S9" s="24">
        <f t="shared" si="0"/>
        <v>946.66666666666663</v>
      </c>
      <c r="T9" s="25">
        <f t="shared" si="0"/>
        <v>25.866666666666664</v>
      </c>
      <c r="U9" s="21">
        <f t="shared" si="0"/>
        <v>3.4079929732103643E-2</v>
      </c>
      <c r="V9" s="20">
        <f t="shared" si="0"/>
        <v>0.91133333333333333</v>
      </c>
    </row>
    <row r="10" spans="1:25">
      <c r="B10" s="6">
        <v>1</v>
      </c>
      <c r="C10" s="24">
        <f t="shared" ref="C10:V10" si="1">AVERAGE(C27,C43,C58)</f>
        <v>2643.3333333333335</v>
      </c>
      <c r="D10" s="25">
        <f t="shared" si="1"/>
        <v>30.966666666666665</v>
      </c>
      <c r="E10" s="21">
        <f t="shared" si="1"/>
        <v>4.0799297321036453E-2</v>
      </c>
      <c r="F10" s="20">
        <f t="shared" si="1"/>
        <v>0.88966666666666672</v>
      </c>
      <c r="G10" s="24">
        <f t="shared" si="1"/>
        <v>2350</v>
      </c>
      <c r="H10" s="25">
        <f t="shared" si="1"/>
        <v>27.333333333333332</v>
      </c>
      <c r="I10" s="21">
        <f t="shared" si="1"/>
        <v>3.6012296881862103E-2</v>
      </c>
      <c r="J10" s="20">
        <f t="shared" si="1"/>
        <v>0.91166666666666674</v>
      </c>
      <c r="K10" s="24">
        <f t="shared" si="1"/>
        <v>2028.3333333333333</v>
      </c>
      <c r="L10" s="25">
        <f t="shared" si="1"/>
        <v>25.100000000000005</v>
      </c>
      <c r="M10" s="21">
        <f t="shared" si="1"/>
        <v>3.3069828722002634E-2</v>
      </c>
      <c r="N10" s="20">
        <f t="shared" si="1"/>
        <v>0.90800000000000003</v>
      </c>
      <c r="O10" s="24">
        <f t="shared" si="1"/>
        <v>1671.6666666666667</v>
      </c>
      <c r="P10" s="25">
        <f t="shared" si="1"/>
        <v>23.766666666666666</v>
      </c>
      <c r="Q10" s="21">
        <f t="shared" si="1"/>
        <v>3.1313131313131314E-2</v>
      </c>
      <c r="R10" s="20">
        <f t="shared" si="1"/>
        <v>0.91733333333333344</v>
      </c>
      <c r="S10" s="24">
        <f t="shared" si="1"/>
        <v>1378.3333333333333</v>
      </c>
      <c r="T10" s="25">
        <f t="shared" si="1"/>
        <v>24</v>
      </c>
      <c r="U10" s="21">
        <f t="shared" si="1"/>
        <v>3.1620553359683799E-2</v>
      </c>
      <c r="V10" s="20">
        <f t="shared" si="1"/>
        <v>0.91633333333333333</v>
      </c>
    </row>
    <row r="11" spans="1:25">
      <c r="B11" s="6">
        <v>2</v>
      </c>
      <c r="C11" s="24">
        <f t="shared" ref="C11:V11" si="2">AVERAGE(C28,C44,C59)</f>
        <v>1306.6666666666667</v>
      </c>
      <c r="D11" s="25">
        <f t="shared" si="2"/>
        <v>43.4</v>
      </c>
      <c r="E11" s="21">
        <f t="shared" si="2"/>
        <v>5.7180500658761534E-2</v>
      </c>
      <c r="F11" s="20">
        <f t="shared" si="2"/>
        <v>0.94666666666666666</v>
      </c>
      <c r="G11" s="24">
        <f t="shared" si="2"/>
        <v>1176.6666666666667</v>
      </c>
      <c r="H11" s="25">
        <f t="shared" si="2"/>
        <v>30.900000000000002</v>
      </c>
      <c r="I11" s="21">
        <f t="shared" si="2"/>
        <v>4.0711462450592879E-2</v>
      </c>
      <c r="J11" s="20">
        <f t="shared" si="2"/>
        <v>0.96966666666666657</v>
      </c>
      <c r="K11" s="24">
        <f t="shared" si="2"/>
        <v>1040</v>
      </c>
      <c r="L11" s="25">
        <f t="shared" si="2"/>
        <v>28.2</v>
      </c>
      <c r="M11" s="21">
        <f t="shared" si="2"/>
        <v>3.7154150197628459E-2</v>
      </c>
      <c r="N11" s="20">
        <f t="shared" si="2"/>
        <v>0.97333333333333327</v>
      </c>
      <c r="O11" s="24">
        <f t="shared" si="2"/>
        <v>888.33333333333337</v>
      </c>
      <c r="P11" s="25">
        <f t="shared" si="2"/>
        <v>26.966666666666669</v>
      </c>
      <c r="Q11" s="21">
        <f t="shared" si="2"/>
        <v>3.5529205094422485E-2</v>
      </c>
      <c r="R11" s="20">
        <f t="shared" si="2"/>
        <v>0.97366666666666657</v>
      </c>
      <c r="S11" s="24">
        <f t="shared" si="2"/>
        <v>733.33333333333337</v>
      </c>
      <c r="T11" s="25">
        <f t="shared" si="2"/>
        <v>26.033333333333331</v>
      </c>
      <c r="U11" s="21">
        <f t="shared" si="2"/>
        <v>3.4299516908212563E-2</v>
      </c>
      <c r="V11" s="20">
        <f t="shared" si="2"/>
        <v>0.97499999999999998</v>
      </c>
    </row>
    <row r="12" spans="1:25">
      <c r="B12" s="6">
        <v>3</v>
      </c>
      <c r="C12" s="24">
        <f t="shared" ref="C12:V12" si="3">AVERAGE(C29,C45,C60)</f>
        <v>1925</v>
      </c>
      <c r="D12" s="25">
        <f t="shared" si="3"/>
        <v>39.166666666666664</v>
      </c>
      <c r="E12" s="21">
        <f t="shared" si="3"/>
        <v>5.160298638559508E-2</v>
      </c>
      <c r="F12" s="20">
        <f t="shared" si="3"/>
        <v>0.91433333333333333</v>
      </c>
      <c r="G12" s="24">
        <f t="shared" si="3"/>
        <v>1681.6666666666667</v>
      </c>
      <c r="H12" s="25">
        <f t="shared" si="3"/>
        <v>30.900000000000002</v>
      </c>
      <c r="I12" s="21">
        <f t="shared" si="3"/>
        <v>4.0711462450592886E-2</v>
      </c>
      <c r="J12" s="20">
        <f t="shared" si="3"/>
        <v>0.94199999999999984</v>
      </c>
      <c r="K12" s="24">
        <f t="shared" si="3"/>
        <v>1501.6666666666667</v>
      </c>
      <c r="L12" s="25">
        <f t="shared" si="3"/>
        <v>29.666666666666668</v>
      </c>
      <c r="M12" s="21">
        <f t="shared" si="3"/>
        <v>3.9086517347386912E-2</v>
      </c>
      <c r="N12" s="20">
        <f t="shared" si="3"/>
        <v>0.94533333333333325</v>
      </c>
      <c r="O12" s="24">
        <f t="shared" si="3"/>
        <v>1280</v>
      </c>
      <c r="P12" s="25">
        <f t="shared" si="3"/>
        <v>28.933333333333337</v>
      </c>
      <c r="Q12" s="21">
        <f t="shared" si="3"/>
        <v>3.8120333772507682E-2</v>
      </c>
      <c r="R12" s="20">
        <f t="shared" si="3"/>
        <v>0.94599999999999984</v>
      </c>
      <c r="S12" s="24">
        <f t="shared" si="3"/>
        <v>1065</v>
      </c>
      <c r="T12" s="25">
        <f t="shared" si="3"/>
        <v>27.566666666666666</v>
      </c>
      <c r="U12" s="21">
        <f t="shared" si="3"/>
        <v>3.6319718928414582E-2</v>
      </c>
      <c r="V12" s="20">
        <f t="shared" si="3"/>
        <v>0.95033333333333336</v>
      </c>
    </row>
    <row r="13" spans="1:25">
      <c r="B13" s="6">
        <v>4</v>
      </c>
      <c r="C13" s="24">
        <f t="shared" ref="C13:V13" si="4">AVERAGE(C30,C46,C61)</f>
        <v>2205</v>
      </c>
      <c r="D13" s="25">
        <f t="shared" si="4"/>
        <v>34.700000000000003</v>
      </c>
      <c r="E13" s="21">
        <f t="shared" si="4"/>
        <v>4.5718050065876148E-2</v>
      </c>
      <c r="F13" s="20">
        <f t="shared" si="4"/>
        <v>0.96233333333333315</v>
      </c>
      <c r="G13" s="24">
        <f t="shared" si="4"/>
        <v>1973.3333333333333</v>
      </c>
      <c r="H13" s="25">
        <f t="shared" si="4"/>
        <v>30.633333333333336</v>
      </c>
      <c r="I13" s="21">
        <f t="shared" si="4"/>
        <v>4.0360122968818614E-2</v>
      </c>
      <c r="J13" s="20">
        <f t="shared" si="4"/>
        <v>0.96933333333333327</v>
      </c>
      <c r="K13" s="24">
        <f t="shared" si="4"/>
        <v>1695</v>
      </c>
      <c r="L13" s="25">
        <f t="shared" si="4"/>
        <v>26.266666666666666</v>
      </c>
      <c r="M13" s="21">
        <f t="shared" si="4"/>
        <v>3.4606938954765042E-2</v>
      </c>
      <c r="N13" s="20">
        <f t="shared" si="4"/>
        <v>0.97733333333333328</v>
      </c>
      <c r="O13" s="24">
        <f t="shared" si="4"/>
        <v>1451.6666666666667</v>
      </c>
      <c r="P13" s="25">
        <f t="shared" si="4"/>
        <v>24.766666666666669</v>
      </c>
      <c r="Q13" s="21">
        <f t="shared" si="4"/>
        <v>3.2630654369784802E-2</v>
      </c>
      <c r="R13" s="20">
        <f t="shared" si="4"/>
        <v>0.96699999999999997</v>
      </c>
      <c r="S13" s="24">
        <f t="shared" si="4"/>
        <v>1183.3333333333333</v>
      </c>
      <c r="T13" s="25">
        <f t="shared" si="4"/>
        <v>24.066666666666666</v>
      </c>
      <c r="U13" s="21">
        <f t="shared" si="4"/>
        <v>3.1708388230127359E-2</v>
      </c>
      <c r="V13" s="20">
        <f t="shared" si="4"/>
        <v>0.98033333333333328</v>
      </c>
    </row>
    <row r="14" spans="1:25">
      <c r="B14" s="6">
        <v>5</v>
      </c>
      <c r="C14" s="24">
        <f t="shared" ref="C14:V14" si="5">AVERAGE(C31,C47,C62)</f>
        <v>1011.6666666666666</v>
      </c>
      <c r="D14" s="25">
        <f t="shared" si="5"/>
        <v>34.699999999999996</v>
      </c>
      <c r="E14" s="21">
        <f t="shared" si="5"/>
        <v>4.5718050065876148E-2</v>
      </c>
      <c r="F14" s="20">
        <f t="shared" si="5"/>
        <v>0.90899999999999992</v>
      </c>
      <c r="G14" s="24">
        <f t="shared" si="5"/>
        <v>885</v>
      </c>
      <c r="H14" s="25">
        <f t="shared" si="5"/>
        <v>30.733333333333334</v>
      </c>
      <c r="I14" s="21">
        <f t="shared" si="5"/>
        <v>4.0491875274483974E-2</v>
      </c>
      <c r="J14" s="20">
        <f t="shared" si="5"/>
        <v>0.93400000000000005</v>
      </c>
      <c r="K14" s="24">
        <f t="shared" si="5"/>
        <v>765</v>
      </c>
      <c r="L14" s="25">
        <f t="shared" si="5"/>
        <v>27.266666666666669</v>
      </c>
      <c r="M14" s="21">
        <f t="shared" si="5"/>
        <v>3.592446201141853E-2</v>
      </c>
      <c r="N14" s="20">
        <f t="shared" si="5"/>
        <v>0.94266666666666665</v>
      </c>
      <c r="O14" s="24">
        <f t="shared" si="5"/>
        <v>668.33333333333337</v>
      </c>
      <c r="P14" s="25">
        <f t="shared" si="5"/>
        <v>26.966666666666669</v>
      </c>
      <c r="Q14" s="21">
        <f t="shared" si="5"/>
        <v>3.5529205094422485E-2</v>
      </c>
      <c r="R14" s="20">
        <f t="shared" si="5"/>
        <v>0.94200000000000006</v>
      </c>
      <c r="S14" s="24">
        <f t="shared" si="5"/>
        <v>561.66666666666663</v>
      </c>
      <c r="T14" s="25">
        <f t="shared" si="5"/>
        <v>26.633333333333336</v>
      </c>
      <c r="U14" s="21">
        <f t="shared" si="5"/>
        <v>3.5090030742204653E-2</v>
      </c>
      <c r="V14" s="20">
        <f t="shared" si="5"/>
        <v>0.94466666666666665</v>
      </c>
    </row>
    <row r="15" spans="1:25">
      <c r="B15" s="6">
        <v>6</v>
      </c>
      <c r="C15" s="24">
        <f t="shared" ref="C15:V15" si="6">AVERAGE(C32,C48,C63)</f>
        <v>1086.6666666666667</v>
      </c>
      <c r="D15" s="25">
        <f t="shared" si="6"/>
        <v>58.133333333333326</v>
      </c>
      <c r="E15" s="21">
        <f t="shared" si="6"/>
        <v>7.659200702678963E-2</v>
      </c>
      <c r="F15" s="20">
        <f t="shared" si="6"/>
        <v>0.92400000000000004</v>
      </c>
      <c r="G15" s="24">
        <f t="shared" si="6"/>
        <v>973.33333333333337</v>
      </c>
      <c r="H15" s="25">
        <f t="shared" si="6"/>
        <v>44.233333333333327</v>
      </c>
      <c r="I15" s="21">
        <f t="shared" si="6"/>
        <v>5.827843653930611E-2</v>
      </c>
      <c r="J15" s="20">
        <f t="shared" si="6"/>
        <v>0.95433333333333337</v>
      </c>
      <c r="K15" s="24">
        <f t="shared" si="6"/>
        <v>825</v>
      </c>
      <c r="L15" s="25">
        <f t="shared" si="6"/>
        <v>37.333333333333336</v>
      </c>
      <c r="M15" s="21">
        <f t="shared" si="6"/>
        <v>4.9187527448397016E-2</v>
      </c>
      <c r="N15" s="20">
        <f t="shared" si="6"/>
        <v>0.96466666666666667</v>
      </c>
      <c r="O15" s="24">
        <f t="shared" si="6"/>
        <v>715</v>
      </c>
      <c r="P15" s="25">
        <f t="shared" si="6"/>
        <v>34.000000000000007</v>
      </c>
      <c r="Q15" s="21">
        <f t="shared" si="6"/>
        <v>4.4795783926218712E-2</v>
      </c>
      <c r="R15" s="20">
        <f t="shared" si="6"/>
        <v>0.96933333333333327</v>
      </c>
      <c r="S15" s="24">
        <f t="shared" si="6"/>
        <v>603.33333333333337</v>
      </c>
      <c r="T15" s="25">
        <f t="shared" si="6"/>
        <v>32.333333333333336</v>
      </c>
      <c r="U15" s="21">
        <f t="shared" si="6"/>
        <v>4.259991216512956E-2</v>
      </c>
      <c r="V15" s="20">
        <f t="shared" si="6"/>
        <v>0.97166666666666668</v>
      </c>
    </row>
    <row r="16" spans="1:25">
      <c r="B16" s="6">
        <v>7</v>
      </c>
      <c r="C16" s="24">
        <f t="shared" ref="C16:V16" si="7">AVERAGE(C33,C49,C64)</f>
        <v>1391.6666666666667</v>
      </c>
      <c r="D16" s="25">
        <f t="shared" si="7"/>
        <v>41.133333333333333</v>
      </c>
      <c r="E16" s="21">
        <f t="shared" si="7"/>
        <v>5.4194115063680277E-2</v>
      </c>
      <c r="F16" s="20">
        <f t="shared" si="7"/>
        <v>0.93800000000000006</v>
      </c>
      <c r="G16" s="24">
        <f t="shared" si="7"/>
        <v>1253.3333333333333</v>
      </c>
      <c r="H16" s="25">
        <f t="shared" si="7"/>
        <v>30.566666666666666</v>
      </c>
      <c r="I16" s="21">
        <f t="shared" si="7"/>
        <v>4.0272288098375054E-2</v>
      </c>
      <c r="J16" s="20">
        <f t="shared" si="7"/>
        <v>0.96499999999999986</v>
      </c>
      <c r="K16" s="24">
        <f t="shared" si="7"/>
        <v>1101.6666666666667</v>
      </c>
      <c r="L16" s="25">
        <f t="shared" si="7"/>
        <v>27.133333333333336</v>
      </c>
      <c r="M16" s="21">
        <f t="shared" si="7"/>
        <v>3.5748792270531404E-2</v>
      </c>
      <c r="N16" s="20">
        <f t="shared" si="7"/>
        <v>0.97066666666666668</v>
      </c>
      <c r="O16" s="24">
        <f t="shared" si="7"/>
        <v>976.66666666666663</v>
      </c>
      <c r="P16" s="25">
        <f t="shared" si="7"/>
        <v>25.466666666666669</v>
      </c>
      <c r="Q16" s="21">
        <f t="shared" si="7"/>
        <v>3.3552920509442245E-2</v>
      </c>
      <c r="R16" s="20">
        <f t="shared" si="7"/>
        <v>0.97466666666666668</v>
      </c>
      <c r="S16" s="24">
        <f t="shared" si="7"/>
        <v>818.33333333333337</v>
      </c>
      <c r="T16" s="25">
        <f t="shared" si="7"/>
        <v>24.733333333333334</v>
      </c>
      <c r="U16" s="21">
        <f t="shared" si="7"/>
        <v>3.2586736934563022E-2</v>
      </c>
      <c r="V16" s="20">
        <f t="shared" si="7"/>
        <v>0.97599999999999998</v>
      </c>
    </row>
    <row r="17" spans="1:27">
      <c r="C17" s="20"/>
      <c r="D17" s="9"/>
      <c r="E17" s="8"/>
      <c r="G17" s="9"/>
      <c r="H17" s="9"/>
      <c r="I17" s="8"/>
      <c r="K17" s="20"/>
      <c r="M17" s="8"/>
      <c r="O17" s="20"/>
      <c r="Q17" s="8"/>
      <c r="S17" s="20"/>
      <c r="U17" s="8"/>
    </row>
    <row r="18" spans="1:27">
      <c r="B18" s="6" t="s">
        <v>4</v>
      </c>
      <c r="C18" s="20"/>
      <c r="D18" s="22">
        <f t="shared" ref="D18:F18" si="8">AVERAGE(D35,D51,D66)</f>
        <v>38.134590476190482</v>
      </c>
      <c r="E18" s="43">
        <f t="shared" si="8"/>
        <v>5.0243202208419602E-2</v>
      </c>
      <c r="F18" s="20" t="e">
        <f t="shared" si="8"/>
        <v>#DIV/0!</v>
      </c>
      <c r="G18" s="20"/>
      <c r="H18" s="22">
        <f t="shared" ref="H18:J18" si="9">AVERAGE(H35,H51,H66)</f>
        <v>31.027975425060728</v>
      </c>
      <c r="I18" s="43">
        <f t="shared" si="9"/>
        <v>4.088007302379542E-2</v>
      </c>
      <c r="J18" s="20" t="e">
        <f t="shared" si="9"/>
        <v>#DIV/0!</v>
      </c>
      <c r="K18" s="20"/>
      <c r="L18" s="22">
        <f t="shared" ref="L18:N18" si="10">AVERAGE(L35,L51,L66)</f>
        <v>27.912210251387531</v>
      </c>
      <c r="M18" s="43">
        <f t="shared" si="10"/>
        <v>3.6774980568363015E-2</v>
      </c>
      <c r="N18" s="20" t="e">
        <f t="shared" si="10"/>
        <v>#DIV/0!</v>
      </c>
      <c r="O18" s="20"/>
      <c r="P18" s="46">
        <f t="shared" ref="P18:R18" si="11">AVERAGE(P35,P51,P66)</f>
        <v>26.66049523809524</v>
      </c>
      <c r="Q18" s="43">
        <f t="shared" si="11"/>
        <v>3.5125817177991091E-2</v>
      </c>
      <c r="R18" s="20" t="e">
        <f t="shared" si="11"/>
        <v>#DIV/0!</v>
      </c>
      <c r="S18" s="20"/>
      <c r="T18" s="22">
        <f t="shared" ref="T18:V18" si="12">AVERAGE(T35,T51,T66)</f>
        <v>25.957796067672614</v>
      </c>
      <c r="U18" s="43">
        <f t="shared" si="12"/>
        <v>3.4199994819067998E-2</v>
      </c>
      <c r="V18" s="20" t="e">
        <f t="shared" si="12"/>
        <v>#DIV/0!</v>
      </c>
    </row>
    <row r="20" spans="1:27">
      <c r="C20" s="28">
        <f>SUM(C9:C16)</f>
        <v>13124.999999999998</v>
      </c>
      <c r="G20" s="28">
        <f>SUM(G9:G16)</f>
        <v>11665.000000000002</v>
      </c>
      <c r="K20" s="28">
        <f>SUM(K9:K16)</f>
        <v>10209.999999999998</v>
      </c>
      <c r="O20" s="28">
        <f>SUM(O9:O16)</f>
        <v>8750</v>
      </c>
      <c r="S20" s="28">
        <f>SUM(S9:S16)</f>
        <v>7290</v>
      </c>
    </row>
    <row r="21" spans="1:27" ht="15.75" customHeight="1">
      <c r="C21" s="6">
        <f>C20/($B$3-$D$3)</f>
        <v>0.79047217537942649</v>
      </c>
      <c r="G21" s="6">
        <f>G20/($B$3-$D$3)</f>
        <v>0.70254155625150572</v>
      </c>
    </row>
    <row r="22" spans="1:27" ht="15.75" customHeight="1"/>
    <row r="23" spans="1:27" ht="15.75" customHeight="1"/>
    <row r="24" spans="1:27" ht="15.75" customHeight="1">
      <c r="A24" s="6" t="s">
        <v>18</v>
      </c>
      <c r="D24" s="32">
        <v>0.1</v>
      </c>
      <c r="E24" s="30"/>
      <c r="F24" s="30"/>
      <c r="G24" s="18"/>
      <c r="H24" s="32">
        <v>0.2</v>
      </c>
      <c r="I24" s="30"/>
      <c r="J24" s="30"/>
      <c r="K24" s="18"/>
      <c r="L24" s="32">
        <v>0.3</v>
      </c>
      <c r="M24" s="30"/>
      <c r="N24" s="30"/>
      <c r="O24" s="18"/>
      <c r="P24" s="32">
        <v>0.4</v>
      </c>
      <c r="Q24" s="30"/>
      <c r="R24" s="30"/>
      <c r="S24" s="18"/>
      <c r="T24" s="32">
        <v>0.5</v>
      </c>
      <c r="U24" s="30"/>
      <c r="V24" s="30"/>
      <c r="X24" s="18"/>
      <c r="Y24" s="32">
        <v>0.8</v>
      </c>
      <c r="Z24" s="30"/>
      <c r="AA24" s="30"/>
    </row>
    <row r="25" spans="1:27" ht="15.75" customHeight="1">
      <c r="B25" s="3" t="s">
        <v>0</v>
      </c>
      <c r="C25" s="19" t="s">
        <v>17</v>
      </c>
      <c r="D25" s="4" t="s">
        <v>1</v>
      </c>
      <c r="E25" s="3" t="s">
        <v>2</v>
      </c>
      <c r="F25" s="3" t="s">
        <v>3</v>
      </c>
      <c r="G25" s="19" t="s">
        <v>17</v>
      </c>
      <c r="H25" s="4" t="s">
        <v>1</v>
      </c>
      <c r="I25" s="3" t="s">
        <v>2</v>
      </c>
      <c r="J25" s="3" t="s">
        <v>3</v>
      </c>
      <c r="K25" s="19" t="s">
        <v>17</v>
      </c>
      <c r="L25" s="3" t="s">
        <v>1</v>
      </c>
      <c r="M25" s="3" t="s">
        <v>2</v>
      </c>
      <c r="N25" s="3" t="s">
        <v>3</v>
      </c>
      <c r="O25" s="19" t="s">
        <v>17</v>
      </c>
      <c r="P25" s="3" t="s">
        <v>1</v>
      </c>
      <c r="Q25" s="3" t="s">
        <v>2</v>
      </c>
      <c r="R25" s="3" t="s">
        <v>3</v>
      </c>
      <c r="S25" s="19" t="s">
        <v>17</v>
      </c>
      <c r="T25" s="3" t="s">
        <v>1</v>
      </c>
      <c r="U25" s="3" t="s">
        <v>2</v>
      </c>
      <c r="V25" s="3" t="s">
        <v>3</v>
      </c>
      <c r="X25" s="19" t="s">
        <v>17</v>
      </c>
      <c r="Y25" s="3" t="s">
        <v>1</v>
      </c>
      <c r="Z25" s="3" t="s">
        <v>2</v>
      </c>
      <c r="AA25" s="3" t="s">
        <v>3</v>
      </c>
    </row>
    <row r="26" spans="1:27" ht="15.75" customHeight="1">
      <c r="B26" s="6">
        <v>0</v>
      </c>
      <c r="C26" s="20">
        <v>1535</v>
      </c>
      <c r="D26" s="9">
        <v>37</v>
      </c>
      <c r="E26" s="8">
        <f t="shared" ref="E26:E33" si="13">D26/$A$5</f>
        <v>4.8748353096179184E-2</v>
      </c>
      <c r="F26" s="41">
        <v>0.82699999999999996</v>
      </c>
      <c r="G26" s="9">
        <v>1375</v>
      </c>
      <c r="H26" s="9">
        <v>29.3</v>
      </c>
      <c r="I26" s="8">
        <f t="shared" ref="I26:I33" si="14">H26/$A$5</f>
        <v>3.8603425559947301E-2</v>
      </c>
      <c r="J26" s="41">
        <v>0.88800000000000001</v>
      </c>
      <c r="K26" s="20">
        <v>1220</v>
      </c>
      <c r="L26" s="41">
        <v>25.8</v>
      </c>
      <c r="M26" s="8">
        <f t="shared" ref="M26:M33" si="15">L26/$A$5</f>
        <v>3.3992094861660077E-2</v>
      </c>
      <c r="N26" s="41">
        <v>0.90800000000000003</v>
      </c>
      <c r="O26" s="20">
        <v>1085</v>
      </c>
      <c r="P26" s="41">
        <v>25.8</v>
      </c>
      <c r="Q26" s="8">
        <f t="shared" ref="Q26:Q33" si="16">P26/$A$5</f>
        <v>3.3992094861660077E-2</v>
      </c>
      <c r="R26" s="41">
        <v>0.92100000000000004</v>
      </c>
      <c r="S26" s="20">
        <v>935</v>
      </c>
      <c r="T26" s="41">
        <v>25.4</v>
      </c>
      <c r="U26" s="8">
        <f t="shared" ref="U26:U33" si="17">T26/$A$5</f>
        <v>3.3465085638998679E-2</v>
      </c>
      <c r="V26" s="41">
        <v>0.91600000000000004</v>
      </c>
      <c r="X26" s="20">
        <v>435</v>
      </c>
      <c r="Y26" s="2">
        <v>18.600000000000001</v>
      </c>
      <c r="Z26" s="8">
        <f t="shared" ref="Z26:Z33" si="18">Y26/$A$5</f>
        <v>2.4505928853754941E-2</v>
      </c>
    </row>
    <row r="27" spans="1:27" ht="15.75" customHeight="1">
      <c r="B27" s="6">
        <v>1</v>
      </c>
      <c r="C27" s="20">
        <v>2710</v>
      </c>
      <c r="D27" s="9">
        <v>34.299999999999997</v>
      </c>
      <c r="E27" s="8">
        <f t="shared" si="13"/>
        <v>4.519104084321475E-2</v>
      </c>
      <c r="F27" s="41">
        <v>0.877</v>
      </c>
      <c r="G27" s="9">
        <v>2325</v>
      </c>
      <c r="H27" s="9">
        <v>26.5</v>
      </c>
      <c r="I27" s="8">
        <f t="shared" si="14"/>
        <v>3.491436100131752E-2</v>
      </c>
      <c r="J27" s="41">
        <v>0.91200000000000003</v>
      </c>
      <c r="K27" s="20">
        <v>2040</v>
      </c>
      <c r="L27" s="41">
        <v>25</v>
      </c>
      <c r="M27" s="8">
        <f t="shared" si="15"/>
        <v>3.2938076416337288E-2</v>
      </c>
      <c r="N27" s="41">
        <v>0.91</v>
      </c>
      <c r="O27" s="20">
        <v>1660</v>
      </c>
      <c r="P27" s="41">
        <v>24.5</v>
      </c>
      <c r="Q27" s="8">
        <f t="shared" si="16"/>
        <v>3.2279314888010543E-2</v>
      </c>
      <c r="R27" s="41">
        <v>0.91800000000000004</v>
      </c>
      <c r="S27" s="20">
        <v>1375</v>
      </c>
      <c r="T27" s="41">
        <v>25.1</v>
      </c>
      <c r="U27" s="8">
        <f t="shared" si="17"/>
        <v>3.3069828722002634E-2</v>
      </c>
      <c r="V27" s="41">
        <v>0.91800000000000004</v>
      </c>
      <c r="X27" s="20">
        <v>785</v>
      </c>
      <c r="Y27" s="2">
        <v>14.9</v>
      </c>
      <c r="Z27" s="8">
        <f t="shared" si="18"/>
        <v>1.9631093544137022E-2</v>
      </c>
    </row>
    <row r="28" spans="1:27" ht="15.75" customHeight="1">
      <c r="B28" s="6">
        <v>2</v>
      </c>
      <c r="C28" s="20">
        <v>1345</v>
      </c>
      <c r="D28" s="9">
        <v>51.5</v>
      </c>
      <c r="E28" s="8">
        <f t="shared" si="13"/>
        <v>6.7852437417654815E-2</v>
      </c>
      <c r="F28" s="41">
        <v>0.93400000000000005</v>
      </c>
      <c r="G28" s="9">
        <v>1225</v>
      </c>
      <c r="H28" s="9">
        <v>32</v>
      </c>
      <c r="I28" s="8">
        <f t="shared" si="14"/>
        <v>4.2160737812911728E-2</v>
      </c>
      <c r="J28" s="41">
        <v>0.96899999999999997</v>
      </c>
      <c r="K28" s="20">
        <v>1070</v>
      </c>
      <c r="L28" s="41">
        <v>29.5</v>
      </c>
      <c r="M28" s="8">
        <f t="shared" si="15"/>
        <v>3.8866930171278E-2</v>
      </c>
      <c r="N28" s="41">
        <v>0.97199999999999998</v>
      </c>
      <c r="O28" s="20">
        <v>940</v>
      </c>
      <c r="P28" s="41">
        <v>27.3</v>
      </c>
      <c r="Q28" s="8">
        <f t="shared" si="16"/>
        <v>3.5968379446640317E-2</v>
      </c>
      <c r="R28" s="41">
        <v>0.97299999999999998</v>
      </c>
      <c r="S28" s="20">
        <v>750</v>
      </c>
      <c r="T28" s="41">
        <v>25.7</v>
      </c>
      <c r="U28" s="8">
        <f t="shared" si="17"/>
        <v>3.3860342555994731E-2</v>
      </c>
      <c r="V28" s="41">
        <v>0.97399999999999998</v>
      </c>
      <c r="X28" s="20">
        <v>790</v>
      </c>
      <c r="Y28" s="2">
        <v>19.7</v>
      </c>
      <c r="Z28" s="8">
        <f t="shared" si="18"/>
        <v>2.5955204216073779E-2</v>
      </c>
    </row>
    <row r="29" spans="1:27" ht="15.75" customHeight="1">
      <c r="B29" s="6">
        <v>3</v>
      </c>
      <c r="C29" s="20">
        <v>1920</v>
      </c>
      <c r="D29" s="9">
        <v>41.2</v>
      </c>
      <c r="E29" s="8">
        <f t="shared" si="13"/>
        <v>5.4281949934123851E-2</v>
      </c>
      <c r="F29" s="41">
        <v>0.89600000000000002</v>
      </c>
      <c r="G29" s="9">
        <v>1690</v>
      </c>
      <c r="H29" s="9">
        <v>31.5</v>
      </c>
      <c r="I29" s="8">
        <f t="shared" si="14"/>
        <v>4.1501976284584984E-2</v>
      </c>
      <c r="J29" s="41">
        <v>0.94</v>
      </c>
      <c r="K29" s="20">
        <v>1525</v>
      </c>
      <c r="L29" s="41">
        <v>30.1</v>
      </c>
      <c r="M29" s="8">
        <f t="shared" si="15"/>
        <v>3.9657444005270097E-2</v>
      </c>
      <c r="N29" s="41">
        <v>0.94599999999999995</v>
      </c>
      <c r="O29" s="20">
        <v>1300</v>
      </c>
      <c r="P29" s="41">
        <v>30.1</v>
      </c>
      <c r="Q29" s="8">
        <f t="shared" si="16"/>
        <v>3.9657444005270097E-2</v>
      </c>
      <c r="R29" s="41">
        <v>0.94299999999999995</v>
      </c>
      <c r="S29" s="20">
        <v>1065</v>
      </c>
      <c r="T29" s="41">
        <v>28.3</v>
      </c>
      <c r="U29" s="8">
        <f t="shared" si="17"/>
        <v>3.7285902503293805E-2</v>
      </c>
      <c r="V29" s="41">
        <v>0.94799999999999995</v>
      </c>
      <c r="X29" s="20">
        <v>40</v>
      </c>
      <c r="Y29" s="2">
        <v>36.299999999999997</v>
      </c>
      <c r="Z29" s="8">
        <f t="shared" si="18"/>
        <v>4.7826086956521734E-2</v>
      </c>
    </row>
    <row r="30" spans="1:27" ht="15.75" customHeight="1">
      <c r="B30" s="6">
        <v>4</v>
      </c>
      <c r="C30" s="20">
        <v>2170</v>
      </c>
      <c r="D30" s="9">
        <v>33</v>
      </c>
      <c r="E30" s="8">
        <f t="shared" si="13"/>
        <v>4.3478260869565216E-2</v>
      </c>
      <c r="F30" s="41">
        <v>0.96599999999999997</v>
      </c>
      <c r="G30" s="9">
        <v>1930</v>
      </c>
      <c r="H30" s="9">
        <v>27.9</v>
      </c>
      <c r="I30" s="8">
        <f t="shared" si="14"/>
        <v>3.6758893280632407E-2</v>
      </c>
      <c r="J30" s="41">
        <v>0.97599999999999998</v>
      </c>
      <c r="K30" s="20">
        <v>1670</v>
      </c>
      <c r="L30" s="41">
        <v>24.8</v>
      </c>
      <c r="M30" s="8">
        <f t="shared" si="15"/>
        <v>3.2674571805006589E-2</v>
      </c>
      <c r="N30" s="41">
        <v>0.98</v>
      </c>
      <c r="O30" s="20">
        <v>1405</v>
      </c>
      <c r="P30" s="41">
        <v>23.8</v>
      </c>
      <c r="Q30" s="8">
        <f t="shared" si="16"/>
        <v>3.13570487483531E-2</v>
      </c>
      <c r="R30" s="41">
        <v>0.98099999999999998</v>
      </c>
      <c r="S30" s="20">
        <v>1180</v>
      </c>
      <c r="T30" s="41">
        <v>24</v>
      </c>
      <c r="U30" s="8">
        <f t="shared" si="17"/>
        <v>3.1620553359683792E-2</v>
      </c>
      <c r="V30" s="41">
        <v>0.98099999999999998</v>
      </c>
      <c r="X30" s="20">
        <v>215</v>
      </c>
      <c r="Y30" s="2">
        <v>24.8</v>
      </c>
      <c r="Z30" s="8">
        <f t="shared" si="18"/>
        <v>3.2674571805006589E-2</v>
      </c>
    </row>
    <row r="31" spans="1:27" ht="15.75" customHeight="1">
      <c r="B31" s="6">
        <v>5</v>
      </c>
      <c r="C31" s="20">
        <v>1025</v>
      </c>
      <c r="D31" s="9">
        <v>34.299999999999997</v>
      </c>
      <c r="E31" s="8">
        <f t="shared" si="13"/>
        <v>4.519104084321475E-2</v>
      </c>
      <c r="F31" s="41">
        <v>0.92400000000000004</v>
      </c>
      <c r="G31" s="9">
        <v>915</v>
      </c>
      <c r="H31" s="9">
        <v>31.3</v>
      </c>
      <c r="I31" s="8">
        <f t="shared" si="14"/>
        <v>4.1238471673254284E-2</v>
      </c>
      <c r="J31" s="41">
        <v>0.93700000000000006</v>
      </c>
      <c r="K31" s="20">
        <v>775</v>
      </c>
      <c r="L31" s="41">
        <v>24.9</v>
      </c>
      <c r="M31" s="8">
        <f t="shared" si="15"/>
        <v>3.2806324110671935E-2</v>
      </c>
      <c r="N31" s="41">
        <v>0.95399999999999996</v>
      </c>
      <c r="O31" s="20">
        <v>705</v>
      </c>
      <c r="P31" s="41">
        <v>26.6</v>
      </c>
      <c r="Q31" s="8">
        <f t="shared" si="16"/>
        <v>3.5046113306982873E-2</v>
      </c>
      <c r="R31" s="41">
        <v>0.94599999999999995</v>
      </c>
      <c r="S31" s="20">
        <v>585</v>
      </c>
      <c r="T31" s="41">
        <v>27.5</v>
      </c>
      <c r="U31" s="8">
        <f t="shared" si="17"/>
        <v>3.6231884057971016E-2</v>
      </c>
      <c r="V31" s="41">
        <v>0.94599999999999995</v>
      </c>
      <c r="X31" s="20">
        <v>130</v>
      </c>
      <c r="Y31" s="2">
        <v>7.7</v>
      </c>
      <c r="Z31" s="8">
        <f t="shared" si="18"/>
        <v>1.0144927536231885E-2</v>
      </c>
    </row>
    <row r="32" spans="1:27" ht="15.75" customHeight="1">
      <c r="B32" s="6">
        <v>6</v>
      </c>
      <c r="C32" s="20">
        <v>1055</v>
      </c>
      <c r="D32" s="9">
        <v>64.099999999999994</v>
      </c>
      <c r="E32" s="8">
        <f t="shared" si="13"/>
        <v>8.4453227931488795E-2</v>
      </c>
      <c r="F32" s="41">
        <v>0.91500000000000004</v>
      </c>
      <c r="G32" s="9">
        <v>975</v>
      </c>
      <c r="H32" s="9">
        <v>46.5</v>
      </c>
      <c r="I32" s="8">
        <f t="shared" si="14"/>
        <v>6.1264822134387352E-2</v>
      </c>
      <c r="J32" s="41">
        <v>0.95099999999999996</v>
      </c>
      <c r="K32" s="20">
        <v>815</v>
      </c>
      <c r="L32" s="41">
        <v>32.9</v>
      </c>
      <c r="M32" s="8">
        <f t="shared" si="15"/>
        <v>4.3346508563899863E-2</v>
      </c>
      <c r="N32" s="41">
        <v>0.97199999999999998</v>
      </c>
      <c r="O32" s="20">
        <v>685</v>
      </c>
      <c r="P32" s="41">
        <v>33.200000000000003</v>
      </c>
      <c r="Q32" s="8">
        <f t="shared" si="16"/>
        <v>4.3741765480895922E-2</v>
      </c>
      <c r="R32" s="41">
        <v>0.97</v>
      </c>
      <c r="S32" s="20">
        <v>585</v>
      </c>
      <c r="T32" s="41">
        <v>30.8</v>
      </c>
      <c r="U32" s="8">
        <f t="shared" si="17"/>
        <v>4.057971014492754E-2</v>
      </c>
      <c r="V32" s="41">
        <v>0.97199999999999998</v>
      </c>
      <c r="X32" s="20">
        <v>335</v>
      </c>
      <c r="Y32" s="2">
        <v>23.5</v>
      </c>
      <c r="Z32" s="8">
        <f t="shared" si="18"/>
        <v>3.0961791831357048E-2</v>
      </c>
    </row>
    <row r="33" spans="1:26" ht="15.75" customHeight="1">
      <c r="B33" s="6">
        <v>7</v>
      </c>
      <c r="C33" s="20">
        <v>1365</v>
      </c>
      <c r="D33" s="9">
        <v>34.1</v>
      </c>
      <c r="E33" s="8">
        <f t="shared" si="13"/>
        <v>4.4927536231884058E-2</v>
      </c>
      <c r="F33" s="41">
        <v>0.96099999999999997</v>
      </c>
      <c r="G33" s="9">
        <v>1230</v>
      </c>
      <c r="H33" s="9">
        <v>31.9</v>
      </c>
      <c r="I33" s="8">
        <f t="shared" si="14"/>
        <v>4.2028985507246375E-2</v>
      </c>
      <c r="J33" s="41">
        <v>0.96199999999999997</v>
      </c>
      <c r="K33" s="20">
        <v>1095</v>
      </c>
      <c r="L33" s="41">
        <v>28</v>
      </c>
      <c r="M33" s="8">
        <f t="shared" si="15"/>
        <v>3.689064558629776E-2</v>
      </c>
      <c r="N33" s="41">
        <v>0.96899999999999997</v>
      </c>
      <c r="O33" s="20">
        <v>970</v>
      </c>
      <c r="P33" s="41">
        <v>24.7</v>
      </c>
      <c r="Q33" s="8">
        <f t="shared" si="16"/>
        <v>3.2542819499341236E-2</v>
      </c>
      <c r="R33" s="41">
        <v>0.97599999999999998</v>
      </c>
      <c r="S33" s="20">
        <v>815</v>
      </c>
      <c r="T33" s="41">
        <v>23.9</v>
      </c>
      <c r="U33" s="8">
        <f t="shared" si="17"/>
        <v>3.1488801054018446E-2</v>
      </c>
      <c r="V33" s="41">
        <v>0.97899999999999998</v>
      </c>
      <c r="X33" s="20">
        <v>190</v>
      </c>
      <c r="Y33" s="2">
        <v>23.3</v>
      </c>
      <c r="Z33" s="8">
        <f t="shared" si="18"/>
        <v>3.0698287220026352E-2</v>
      </c>
    </row>
    <row r="34" spans="1:26" ht="15.75" customHeight="1">
      <c r="C34" s="20"/>
      <c r="D34" s="9"/>
      <c r="G34" s="9"/>
      <c r="H34" s="9"/>
      <c r="K34" s="20"/>
      <c r="O34" s="20"/>
      <c r="S34" s="20"/>
      <c r="X34" s="20"/>
    </row>
    <row r="35" spans="1:26" ht="15.75" customHeight="1">
      <c r="B35" s="6" t="s">
        <v>4</v>
      </c>
      <c r="C35" s="20"/>
      <c r="D35" s="15">
        <f>SUMPRODUCT(C26:C33,D26:D33)/SUM(C26:C33)</f>
        <v>39.547352380952383</v>
      </c>
      <c r="E35" s="12">
        <f>SUMPRODUCT(C26:C33,E26:E33)/SUM(C26:C33)</f>
        <v>5.2104548591505102E-2</v>
      </c>
      <c r="G35" s="9"/>
      <c r="H35" s="15">
        <f>SUMPRODUCT(G26:G33,H26:H33)/SUM(G26:G33)</f>
        <v>30.981225889412773</v>
      </c>
      <c r="I35" s="12">
        <f>SUMPRODUCT(G26:G33,I26:I33)/SUM(G26:G33)</f>
        <v>4.0818479432691408E-2</v>
      </c>
      <c r="K35" s="20"/>
      <c r="L35" s="15">
        <f>SUMPRODUCT(K26:K33,L26:L33)/SUM(K26:K33)</f>
        <v>27.240989226248775</v>
      </c>
      <c r="M35" s="12">
        <f>SUMPRODUCT(K26:K33,M26:M33)/SUM(K26:K33)</f>
        <v>3.5890631391632122E-2</v>
      </c>
      <c r="O35" s="20"/>
      <c r="P35" s="15">
        <f>SUMPRODUCT(O26:O33,P26:P33)/SUM(O26:O33)</f>
        <v>26.554057142857143</v>
      </c>
      <c r="Q35" s="12">
        <f>SUMPRODUCT(O26:O33,Q26:Q33)/SUM(O26:O33)</f>
        <v>3.4985582533408624E-2</v>
      </c>
      <c r="S35" s="20"/>
      <c r="T35" s="15">
        <f>SUMPRODUCT(S26:S33,T26:T33)/SUM(S26:S33)</f>
        <v>26.005486968449933</v>
      </c>
      <c r="U35" s="12">
        <f>SUMPRODUCT(S26:S33,U26:U33)/SUM(S26:S33)</f>
        <v>3.426282868043469E-2</v>
      </c>
      <c r="X35" s="20"/>
      <c r="Y35" s="15">
        <f>AVERAGE(Y26:Y33)</f>
        <v>21.1</v>
      </c>
      <c r="Z35" s="12">
        <f>SUMPRODUCT(X26:X33,Z26:Z33)/SUM(X26:X33)</f>
        <v>2.5012633782735032E-2</v>
      </c>
    </row>
    <row r="36" spans="1:26" ht="15.75" customHeight="1">
      <c r="E36">
        <v>4.8600000000000003</v>
      </c>
      <c r="I36">
        <v>4.05</v>
      </c>
      <c r="M36">
        <v>3.81</v>
      </c>
      <c r="Q36">
        <v>3.67</v>
      </c>
      <c r="U36">
        <v>3.51</v>
      </c>
    </row>
    <row r="37" spans="1:26" ht="15.75" customHeight="1">
      <c r="C37" s="6">
        <f>SUM(C26:C33)</f>
        <v>13125</v>
      </c>
      <c r="G37" s="6">
        <f>SUM(G26:G33)</f>
        <v>11665</v>
      </c>
      <c r="K37" s="6">
        <f>SUM(K26:K33)</f>
        <v>10210</v>
      </c>
      <c r="O37" s="6">
        <f>SUM(O26:O33)</f>
        <v>8750</v>
      </c>
      <c r="S37" s="6">
        <f>SUM(S26:S33)</f>
        <v>7290</v>
      </c>
    </row>
    <row r="38" spans="1:26" ht="15.75" customHeight="1"/>
    <row r="39" spans="1:26" ht="15.75" customHeight="1"/>
    <row r="40" spans="1:26" ht="15.75" customHeight="1">
      <c r="A40" s="6" t="s">
        <v>19</v>
      </c>
      <c r="D40" s="32">
        <v>0.1</v>
      </c>
      <c r="E40" s="30"/>
      <c r="F40" s="30"/>
      <c r="G40" s="18"/>
      <c r="H40" s="32">
        <v>0.2</v>
      </c>
      <c r="I40" s="30"/>
      <c r="J40" s="30"/>
      <c r="K40" s="18"/>
      <c r="L40" s="32">
        <v>0.3</v>
      </c>
      <c r="M40" s="30"/>
      <c r="N40" s="30"/>
      <c r="O40" s="18"/>
      <c r="P40" s="32">
        <v>0.4</v>
      </c>
      <c r="Q40" s="30"/>
      <c r="R40" s="30"/>
      <c r="S40" s="18"/>
      <c r="T40" s="32">
        <v>0.5</v>
      </c>
      <c r="U40" s="30"/>
      <c r="V40" s="30"/>
    </row>
    <row r="41" spans="1:26" ht="15.75" customHeight="1">
      <c r="B41" s="3" t="s">
        <v>0</v>
      </c>
      <c r="C41" s="19" t="s">
        <v>17</v>
      </c>
      <c r="D41" s="4" t="s">
        <v>1</v>
      </c>
      <c r="E41" s="3" t="s">
        <v>2</v>
      </c>
      <c r="F41" s="3" t="s">
        <v>3</v>
      </c>
      <c r="G41" s="19" t="s">
        <v>17</v>
      </c>
      <c r="H41" s="4" t="s">
        <v>1</v>
      </c>
      <c r="I41" s="3" t="s">
        <v>2</v>
      </c>
      <c r="J41" s="3" t="s">
        <v>3</v>
      </c>
      <c r="K41" s="19" t="s">
        <v>17</v>
      </c>
      <c r="L41" s="3" t="s">
        <v>1</v>
      </c>
      <c r="M41" s="3" t="s">
        <v>2</v>
      </c>
      <c r="N41" s="3" t="s">
        <v>3</v>
      </c>
      <c r="O41" s="19" t="s">
        <v>17</v>
      </c>
      <c r="P41" s="3" t="s">
        <v>1</v>
      </c>
      <c r="Q41" s="3" t="s">
        <v>2</v>
      </c>
      <c r="R41" s="3" t="s">
        <v>3</v>
      </c>
      <c r="S41" s="19" t="s">
        <v>17</v>
      </c>
      <c r="T41" s="3" t="s">
        <v>1</v>
      </c>
      <c r="U41" s="3" t="s">
        <v>2</v>
      </c>
      <c r="V41" s="3" t="s">
        <v>3</v>
      </c>
    </row>
    <row r="42" spans="1:26" ht="15.75" customHeight="1">
      <c r="B42" s="6">
        <v>0</v>
      </c>
      <c r="C42" s="20">
        <v>1410</v>
      </c>
      <c r="D42" s="9">
        <v>35.700000000000003</v>
      </c>
      <c r="E42" s="8">
        <f t="shared" ref="E42:E49" si="19">D42/$A$5</f>
        <v>4.703557312252965E-2</v>
      </c>
      <c r="F42" s="41">
        <v>0.77600000000000002</v>
      </c>
      <c r="G42" s="9">
        <v>1290</v>
      </c>
      <c r="H42" s="9">
        <v>28.4</v>
      </c>
      <c r="I42" s="8">
        <f t="shared" ref="I42:I49" si="20">H42/$A$5</f>
        <v>3.7417654808959158E-2</v>
      </c>
      <c r="J42" s="41">
        <v>0.85699999999999998</v>
      </c>
      <c r="K42" s="20">
        <v>1340</v>
      </c>
      <c r="L42" s="41">
        <v>29.6</v>
      </c>
      <c r="M42" s="8">
        <f t="shared" ref="M42:M49" si="21">L42/$A$5</f>
        <v>3.8998682476943346E-2</v>
      </c>
      <c r="N42" s="41">
        <v>0.89600000000000002</v>
      </c>
      <c r="O42" s="20">
        <v>1110</v>
      </c>
      <c r="P42" s="41">
        <v>27.6</v>
      </c>
      <c r="Q42" s="8">
        <f t="shared" ref="Q42:Q49" si="22">P42/$A$5</f>
        <v>3.6363636363636369E-2</v>
      </c>
      <c r="R42" s="41">
        <v>0.89900000000000002</v>
      </c>
      <c r="S42" s="20">
        <v>970</v>
      </c>
      <c r="T42" s="41">
        <v>26.1</v>
      </c>
      <c r="U42" s="8">
        <f t="shared" ref="U42:U49" si="23">T42/$A$5</f>
        <v>3.4387351778656129E-2</v>
      </c>
      <c r="V42" s="41">
        <v>0.90500000000000003</v>
      </c>
    </row>
    <row r="43" spans="1:26" ht="15.75" customHeight="1">
      <c r="B43" s="6">
        <v>1</v>
      </c>
      <c r="C43" s="20">
        <v>2805</v>
      </c>
      <c r="D43" s="9">
        <v>30.8</v>
      </c>
      <c r="E43" s="8">
        <f t="shared" si="19"/>
        <v>4.057971014492754E-2</v>
      </c>
      <c r="F43" s="41">
        <v>0.91100000000000003</v>
      </c>
      <c r="G43" s="9">
        <v>2485</v>
      </c>
      <c r="H43" s="9">
        <v>30</v>
      </c>
      <c r="I43" s="8">
        <f t="shared" si="20"/>
        <v>3.9525691699604744E-2</v>
      </c>
      <c r="J43" s="41">
        <v>0.90800000000000003</v>
      </c>
      <c r="K43" s="20">
        <v>2020</v>
      </c>
      <c r="L43" s="41">
        <v>24.7</v>
      </c>
      <c r="M43" s="8">
        <f t="shared" si="21"/>
        <v>3.2542819499341236E-2</v>
      </c>
      <c r="N43" s="41">
        <v>0.89800000000000002</v>
      </c>
      <c r="O43" s="20">
        <v>1670</v>
      </c>
      <c r="P43" s="41">
        <v>23.1</v>
      </c>
      <c r="Q43" s="8">
        <f t="shared" si="22"/>
        <v>3.0434782608695653E-2</v>
      </c>
      <c r="R43" s="41">
        <v>0.91800000000000004</v>
      </c>
      <c r="S43" s="20">
        <v>1340</v>
      </c>
      <c r="T43" s="41">
        <v>24.1</v>
      </c>
      <c r="U43" s="8">
        <f t="shared" si="23"/>
        <v>3.1752305665349145E-2</v>
      </c>
      <c r="V43" s="41">
        <v>0.91200000000000003</v>
      </c>
    </row>
    <row r="44" spans="1:26" ht="15.75" customHeight="1">
      <c r="B44" s="6">
        <v>2</v>
      </c>
      <c r="C44" s="20">
        <v>1295</v>
      </c>
      <c r="D44" s="9">
        <v>42.6</v>
      </c>
      <c r="E44" s="8">
        <f t="shared" si="19"/>
        <v>5.6126482213438737E-2</v>
      </c>
      <c r="F44" s="41">
        <v>0.94599999999999995</v>
      </c>
      <c r="G44" s="9">
        <v>1135</v>
      </c>
      <c r="H44" s="9">
        <v>32.9</v>
      </c>
      <c r="I44" s="8">
        <f t="shared" si="20"/>
        <v>4.3346508563899863E-2</v>
      </c>
      <c r="J44" s="41">
        <v>0.96599999999999997</v>
      </c>
      <c r="K44" s="20">
        <v>1010</v>
      </c>
      <c r="L44" s="41">
        <v>29</v>
      </c>
      <c r="M44" s="8">
        <f t="shared" si="21"/>
        <v>3.8208168642951248E-2</v>
      </c>
      <c r="N44" s="41">
        <v>0.97099999999999997</v>
      </c>
      <c r="O44" s="20">
        <v>845</v>
      </c>
      <c r="P44" s="41">
        <v>26.5</v>
      </c>
      <c r="Q44" s="8">
        <f t="shared" si="22"/>
        <v>3.491436100131752E-2</v>
      </c>
      <c r="R44" s="41">
        <v>0.97499999999999998</v>
      </c>
      <c r="S44" s="20">
        <v>720</v>
      </c>
      <c r="T44" s="41">
        <v>24.7</v>
      </c>
      <c r="U44" s="8">
        <f t="shared" si="23"/>
        <v>3.2542819499341236E-2</v>
      </c>
      <c r="V44" s="41">
        <v>0.98</v>
      </c>
    </row>
    <row r="45" spans="1:26" ht="15.75" customHeight="1">
      <c r="B45" s="6">
        <v>3</v>
      </c>
      <c r="C45" s="20">
        <v>1880</v>
      </c>
      <c r="D45" s="9">
        <v>38.700000000000003</v>
      </c>
      <c r="E45" s="8">
        <f t="shared" si="19"/>
        <v>5.0988142292490123E-2</v>
      </c>
      <c r="F45" s="41">
        <v>0.91900000000000004</v>
      </c>
      <c r="G45" s="9">
        <v>1655</v>
      </c>
      <c r="H45" s="9">
        <v>31</v>
      </c>
      <c r="I45" s="8">
        <f t="shared" si="20"/>
        <v>4.0843214756258232E-2</v>
      </c>
      <c r="J45" s="41">
        <v>0.94</v>
      </c>
      <c r="K45" s="20">
        <v>1445</v>
      </c>
      <c r="L45" s="41">
        <v>30.9</v>
      </c>
      <c r="M45" s="8">
        <f t="shared" si="21"/>
        <v>4.0711462450592886E-2</v>
      </c>
      <c r="N45" s="41">
        <v>0.93799999999999994</v>
      </c>
      <c r="O45" s="20">
        <v>1275</v>
      </c>
      <c r="P45" s="41">
        <v>29.8</v>
      </c>
      <c r="Q45" s="8">
        <f t="shared" si="22"/>
        <v>3.9262187088274045E-2</v>
      </c>
      <c r="R45" s="41">
        <v>0.94199999999999995</v>
      </c>
      <c r="S45" s="20">
        <v>1075</v>
      </c>
      <c r="T45" s="41">
        <v>28.1</v>
      </c>
      <c r="U45" s="8">
        <f t="shared" si="23"/>
        <v>3.7022397891963113E-2</v>
      </c>
      <c r="V45" s="41">
        <v>0.95099999999999996</v>
      </c>
    </row>
    <row r="46" spans="1:26" ht="15.75" customHeight="1">
      <c r="B46" s="6">
        <v>4</v>
      </c>
      <c r="C46" s="20">
        <v>2200</v>
      </c>
      <c r="D46" s="9">
        <v>38.4</v>
      </c>
      <c r="E46" s="8">
        <f t="shared" si="19"/>
        <v>5.059288537549407E-2</v>
      </c>
      <c r="F46" s="41">
        <v>0.95499999999999996</v>
      </c>
      <c r="G46" s="9">
        <v>1955</v>
      </c>
      <c r="H46" s="9">
        <v>34</v>
      </c>
      <c r="I46" s="8">
        <f t="shared" si="20"/>
        <v>4.4795783926218712E-2</v>
      </c>
      <c r="J46" s="41">
        <v>0.96099999999999997</v>
      </c>
      <c r="K46" s="20">
        <v>1670</v>
      </c>
      <c r="L46" s="41">
        <v>28</v>
      </c>
      <c r="M46" s="8">
        <f t="shared" si="21"/>
        <v>3.689064558629776E-2</v>
      </c>
      <c r="N46" s="41">
        <v>0.97499999999999998</v>
      </c>
      <c r="O46" s="20">
        <v>1475</v>
      </c>
      <c r="P46" s="41">
        <v>25.4</v>
      </c>
      <c r="Q46" s="8">
        <f t="shared" si="22"/>
        <v>3.3465085638998679E-2</v>
      </c>
      <c r="R46" s="41">
        <v>0.94199999999999995</v>
      </c>
      <c r="S46" s="20">
        <v>1185</v>
      </c>
      <c r="T46" s="41">
        <v>24.5</v>
      </c>
      <c r="U46" s="8">
        <f t="shared" si="23"/>
        <v>3.2279314888010543E-2</v>
      </c>
      <c r="V46" s="41">
        <v>0.98</v>
      </c>
    </row>
    <row r="47" spans="1:26" ht="15.75" customHeight="1">
      <c r="B47" s="6">
        <v>5</v>
      </c>
      <c r="C47" s="20">
        <v>975</v>
      </c>
      <c r="D47" s="9">
        <v>31.3</v>
      </c>
      <c r="E47" s="8">
        <f t="shared" si="19"/>
        <v>4.1238471673254284E-2</v>
      </c>
      <c r="F47" s="41">
        <v>0.93100000000000005</v>
      </c>
      <c r="G47" s="9">
        <v>840</v>
      </c>
      <c r="H47" s="9">
        <v>27.3</v>
      </c>
      <c r="I47" s="8">
        <f t="shared" si="20"/>
        <v>3.5968379446640317E-2</v>
      </c>
      <c r="J47" s="41">
        <v>0.94199999999999995</v>
      </c>
      <c r="K47" s="20">
        <v>760</v>
      </c>
      <c r="L47" s="41">
        <v>27.3</v>
      </c>
      <c r="M47" s="8">
        <f t="shared" si="21"/>
        <v>3.5968379446640317E-2</v>
      </c>
      <c r="N47" s="41">
        <v>0.94399999999999995</v>
      </c>
      <c r="O47" s="20">
        <v>650</v>
      </c>
      <c r="P47" s="41">
        <v>26.6</v>
      </c>
      <c r="Q47" s="8">
        <f t="shared" si="22"/>
        <v>3.5046113306982873E-2</v>
      </c>
      <c r="R47" s="41">
        <v>0.94399999999999995</v>
      </c>
      <c r="S47" s="20">
        <v>565</v>
      </c>
      <c r="T47" s="41">
        <v>27.1</v>
      </c>
      <c r="U47" s="8">
        <f t="shared" si="23"/>
        <v>3.5704874835309618E-2</v>
      </c>
      <c r="V47" s="41">
        <v>0.94099999999999995</v>
      </c>
    </row>
    <row r="48" spans="1:26" ht="15.75" customHeight="1">
      <c r="B48" s="6">
        <v>6</v>
      </c>
      <c r="C48" s="20">
        <v>1125</v>
      </c>
      <c r="D48" s="9">
        <v>54.3</v>
      </c>
      <c r="E48" s="8">
        <f t="shared" si="19"/>
        <v>7.1541501976284574E-2</v>
      </c>
      <c r="F48" s="41">
        <v>0.93600000000000005</v>
      </c>
      <c r="G48" s="9">
        <v>1010</v>
      </c>
      <c r="H48" s="9">
        <v>44.5</v>
      </c>
      <c r="I48" s="8">
        <f t="shared" si="20"/>
        <v>5.8629776021080368E-2</v>
      </c>
      <c r="J48" s="41">
        <v>0.95499999999999996</v>
      </c>
      <c r="K48" s="20">
        <v>850</v>
      </c>
      <c r="L48" s="41">
        <v>39.700000000000003</v>
      </c>
      <c r="M48" s="8">
        <f t="shared" si="21"/>
        <v>5.2305665349143611E-2</v>
      </c>
      <c r="N48" s="41">
        <v>0.96</v>
      </c>
      <c r="O48" s="20">
        <v>745</v>
      </c>
      <c r="P48" s="41">
        <v>35.6</v>
      </c>
      <c r="Q48" s="8">
        <f t="shared" si="22"/>
        <v>4.6903820816864297E-2</v>
      </c>
      <c r="R48" s="41">
        <v>0.96699999999999997</v>
      </c>
      <c r="S48" s="20">
        <v>620</v>
      </c>
      <c r="T48" s="41">
        <v>34.4</v>
      </c>
      <c r="U48" s="8">
        <f t="shared" si="23"/>
        <v>4.5322793148880103E-2</v>
      </c>
      <c r="V48" s="41">
        <v>0.97</v>
      </c>
    </row>
    <row r="49" spans="1:22" ht="15.75" customHeight="1">
      <c r="B49" s="6">
        <v>7</v>
      </c>
      <c r="C49" s="20">
        <v>1435</v>
      </c>
      <c r="D49" s="9">
        <v>51.6</v>
      </c>
      <c r="E49" s="8">
        <f t="shared" si="19"/>
        <v>6.7984189723320154E-2</v>
      </c>
      <c r="F49" s="41">
        <v>0.90200000000000002</v>
      </c>
      <c r="G49" s="9">
        <v>1295</v>
      </c>
      <c r="H49" s="9">
        <v>32</v>
      </c>
      <c r="I49" s="8">
        <f t="shared" si="20"/>
        <v>4.2160737812911728E-2</v>
      </c>
      <c r="J49" s="41">
        <v>0.96299999999999997</v>
      </c>
      <c r="K49" s="20">
        <v>1115</v>
      </c>
      <c r="L49" s="41">
        <v>26.6</v>
      </c>
      <c r="M49" s="8">
        <f t="shared" si="21"/>
        <v>3.5046113306982873E-2</v>
      </c>
      <c r="N49" s="41">
        <v>0.97199999999999998</v>
      </c>
      <c r="O49" s="20">
        <v>980</v>
      </c>
      <c r="P49" s="41">
        <v>25.5</v>
      </c>
      <c r="Q49" s="8">
        <f t="shared" si="22"/>
        <v>3.3596837944664032E-2</v>
      </c>
      <c r="R49" s="41">
        <v>0.97499999999999998</v>
      </c>
      <c r="S49" s="20">
        <v>815</v>
      </c>
      <c r="T49" s="41">
        <v>26.1</v>
      </c>
      <c r="U49" s="8">
        <f t="shared" si="23"/>
        <v>3.4387351778656129E-2</v>
      </c>
      <c r="V49" s="41">
        <v>0.97499999999999998</v>
      </c>
    </row>
    <row r="50" spans="1:22" ht="15.75" customHeight="1">
      <c r="C50" s="20"/>
      <c r="D50" s="9"/>
      <c r="G50" s="9"/>
      <c r="H50" s="9"/>
      <c r="K50" s="20"/>
      <c r="O50" s="20"/>
      <c r="S50" s="20"/>
    </row>
    <row r="51" spans="1:22" ht="15.75" customHeight="1">
      <c r="B51" s="6" t="s">
        <v>4</v>
      </c>
      <c r="C51" s="20"/>
      <c r="D51" s="15">
        <f>SUMPRODUCT(C42:C49,D42:D49)/SUM(C42:C49)</f>
        <v>39.221714285714285</v>
      </c>
      <c r="E51" s="12">
        <f>SUMPRODUCT(C42:C49,E42:E49)/SUM(C42:C49)</f>
        <v>5.1675512892904202E-2</v>
      </c>
      <c r="G51" s="9"/>
      <c r="H51" s="15">
        <f>SUMPRODUCT(G42:G49,H42:H49)/SUM(G42:G49)</f>
        <v>32.200557222460354</v>
      </c>
      <c r="I51" s="12">
        <f>SUMPRODUCT(G42:G49,I42:I49)/SUM(G42:G49)</f>
        <v>4.2424976577681621E-2</v>
      </c>
      <c r="K51" s="20"/>
      <c r="L51" s="15">
        <f>SUMPRODUCT(K42:K49,L42:L49)/SUM(K42:K49)</f>
        <v>28.835504407443683</v>
      </c>
      <c r="M51" s="12">
        <f>SUMPRODUCT(K42:K49,M42:M49)/SUM(K42:K49)</f>
        <v>3.7991441907040423E-2</v>
      </c>
      <c r="O51" s="20"/>
      <c r="P51" s="15">
        <f>SUMPRODUCT(O42:O49,P42:P49)/SUM(O42:O49)</f>
        <v>26.956285714285713</v>
      </c>
      <c r="Q51" s="12">
        <f>SUMPRODUCT(O42:O49,Q42:Q49)/SUM(O42:O49)</f>
        <v>3.5515527950310558E-2</v>
      </c>
      <c r="S51" s="20"/>
      <c r="T51" s="15">
        <f>SUMPRODUCT(S42:S49,T42:T49)/SUM(S42:S49)</f>
        <v>26.412345679012347</v>
      </c>
      <c r="U51" s="12">
        <f>SUMPRODUCT(S42:S49,U42:U49)/SUM(S42:S49)</f>
        <v>3.4798874412400982E-2</v>
      </c>
    </row>
    <row r="52" spans="1:22" ht="15.75" customHeight="1">
      <c r="E52">
        <v>4.92</v>
      </c>
      <c r="I52">
        <v>4.07</v>
      </c>
      <c r="M52">
        <v>3.82</v>
      </c>
      <c r="Q52">
        <v>3.66</v>
      </c>
      <c r="U52">
        <v>3.51</v>
      </c>
    </row>
    <row r="53" spans="1:22" ht="15.75" customHeight="1">
      <c r="C53" s="6">
        <f>SUM(C42:C49)</f>
        <v>13125</v>
      </c>
      <c r="G53" s="6">
        <f>SUM(G42:G49)</f>
        <v>11665</v>
      </c>
      <c r="K53" s="6">
        <f>SUM(K42:K49)</f>
        <v>10210</v>
      </c>
      <c r="O53" s="6">
        <f>SUM(O42:O49)</f>
        <v>8750</v>
      </c>
      <c r="S53" s="6">
        <f>SUM(S42:S49)</f>
        <v>7290</v>
      </c>
    </row>
    <row r="54" spans="1:22" ht="15.75" customHeight="1"/>
    <row r="55" spans="1:22" ht="15.75" customHeight="1">
      <c r="A55" s="6" t="s">
        <v>20</v>
      </c>
      <c r="D55" s="32">
        <v>0.1</v>
      </c>
      <c r="E55" s="30"/>
      <c r="F55" s="30"/>
      <c r="G55" s="18"/>
      <c r="H55" s="32">
        <v>0.2</v>
      </c>
      <c r="I55" s="30"/>
      <c r="J55" s="30"/>
      <c r="K55" s="18"/>
      <c r="L55" s="32">
        <v>0.3</v>
      </c>
      <c r="M55" s="30"/>
      <c r="N55" s="30"/>
      <c r="O55" s="18"/>
      <c r="P55" s="32">
        <v>0.4</v>
      </c>
      <c r="Q55" s="30"/>
      <c r="R55" s="30"/>
      <c r="S55" s="18"/>
      <c r="T55" s="32">
        <v>0.5</v>
      </c>
      <c r="U55" s="30"/>
      <c r="V55" s="30"/>
    </row>
    <row r="56" spans="1:22" ht="15.75" customHeight="1">
      <c r="B56" s="3" t="s">
        <v>0</v>
      </c>
      <c r="C56" s="19" t="s">
        <v>17</v>
      </c>
      <c r="D56" s="4" t="s">
        <v>1</v>
      </c>
      <c r="E56" s="3" t="s">
        <v>2</v>
      </c>
      <c r="F56" s="3" t="s">
        <v>3</v>
      </c>
      <c r="G56" s="19" t="s">
        <v>17</v>
      </c>
      <c r="H56" s="4" t="s">
        <v>1</v>
      </c>
      <c r="I56" s="3" t="s">
        <v>2</v>
      </c>
      <c r="J56" s="3" t="s">
        <v>3</v>
      </c>
      <c r="K56" s="19" t="s">
        <v>17</v>
      </c>
      <c r="L56" s="3" t="s">
        <v>1</v>
      </c>
      <c r="M56" s="3" t="s">
        <v>2</v>
      </c>
      <c r="N56" s="3" t="s">
        <v>3</v>
      </c>
      <c r="O56" s="19" t="s">
        <v>17</v>
      </c>
      <c r="P56" s="3" t="s">
        <v>1</v>
      </c>
      <c r="Q56" s="3" t="s">
        <v>2</v>
      </c>
      <c r="R56" s="3" t="s">
        <v>3</v>
      </c>
      <c r="S56" s="19" t="s">
        <v>17</v>
      </c>
      <c r="T56" s="3" t="s">
        <v>1</v>
      </c>
      <c r="U56" s="3" t="s">
        <v>2</v>
      </c>
      <c r="V56" s="3" t="s">
        <v>3</v>
      </c>
    </row>
    <row r="57" spans="1:22" ht="15.75" customHeight="1">
      <c r="B57" s="6">
        <v>0</v>
      </c>
      <c r="C57" s="20">
        <v>1720</v>
      </c>
      <c r="D57" s="9">
        <v>31.7</v>
      </c>
      <c r="E57" s="8">
        <f t="shared" ref="E57:E64" si="24">D57/$A$5</f>
        <v>4.1765480895915676E-2</v>
      </c>
      <c r="F57" s="41">
        <v>0.89400000000000002</v>
      </c>
      <c r="G57" s="9">
        <v>1450</v>
      </c>
      <c r="H57" s="9">
        <v>29.8</v>
      </c>
      <c r="I57" s="8">
        <f t="shared" ref="I57:I64" si="25">H57/$A$5</f>
        <v>3.9262187088274045E-2</v>
      </c>
      <c r="J57" s="41">
        <v>0.89400000000000002</v>
      </c>
      <c r="K57" s="20">
        <v>1200</v>
      </c>
      <c r="L57" s="41">
        <v>26.1</v>
      </c>
      <c r="M57" s="8">
        <f t="shared" ref="M57:M64" si="26">L57/$A$5</f>
        <v>3.4387351778656129E-2</v>
      </c>
      <c r="N57" s="41">
        <v>0.89700000000000002</v>
      </c>
      <c r="O57" s="20">
        <v>1100</v>
      </c>
      <c r="P57" s="41">
        <v>26.7</v>
      </c>
      <c r="Q57" s="8">
        <f t="shared" ref="Q57:Q64" si="27">P57/$A$5</f>
        <v>3.5177865612648219E-2</v>
      </c>
      <c r="R57" s="41">
        <v>0.90200000000000002</v>
      </c>
      <c r="S57" s="20">
        <v>935</v>
      </c>
      <c r="T57" s="41">
        <v>26.1</v>
      </c>
      <c r="U57" s="8">
        <f t="shared" ref="U57:U64" si="28">T57/$A$5</f>
        <v>3.4387351778656129E-2</v>
      </c>
      <c r="V57" s="41">
        <v>0.91300000000000003</v>
      </c>
    </row>
    <row r="58" spans="1:22" ht="15.75" customHeight="1">
      <c r="B58" s="6">
        <v>1</v>
      </c>
      <c r="C58" s="20">
        <v>2415</v>
      </c>
      <c r="D58" s="9">
        <v>27.8</v>
      </c>
      <c r="E58" s="8">
        <f t="shared" si="24"/>
        <v>3.6627140974967061E-2</v>
      </c>
      <c r="F58" s="41">
        <v>0.88100000000000001</v>
      </c>
      <c r="G58" s="9">
        <v>2240</v>
      </c>
      <c r="H58" s="9">
        <v>25.5</v>
      </c>
      <c r="I58" s="8">
        <f t="shared" si="25"/>
        <v>3.3596837944664032E-2</v>
      </c>
      <c r="J58" s="41">
        <v>0.91500000000000004</v>
      </c>
      <c r="K58" s="20">
        <v>2025</v>
      </c>
      <c r="L58" s="41">
        <v>25.6</v>
      </c>
      <c r="M58" s="8">
        <f t="shared" si="26"/>
        <v>3.3728590250329385E-2</v>
      </c>
      <c r="N58" s="41">
        <v>0.91600000000000004</v>
      </c>
      <c r="O58" s="20">
        <v>1685</v>
      </c>
      <c r="P58" s="41">
        <v>23.7</v>
      </c>
      <c r="Q58" s="8">
        <f t="shared" si="27"/>
        <v>3.1225296442687747E-2</v>
      </c>
      <c r="R58" s="41">
        <v>0.91600000000000004</v>
      </c>
      <c r="S58" s="20">
        <v>1420</v>
      </c>
      <c r="T58" s="41">
        <v>22.8</v>
      </c>
      <c r="U58" s="8">
        <f t="shared" si="28"/>
        <v>3.0039525691699605E-2</v>
      </c>
      <c r="V58" s="41">
        <v>0.91900000000000004</v>
      </c>
    </row>
    <row r="59" spans="1:22" ht="15.75" customHeight="1">
      <c r="B59" s="6">
        <v>2</v>
      </c>
      <c r="C59" s="20">
        <v>1280</v>
      </c>
      <c r="D59" s="9">
        <v>36.1</v>
      </c>
      <c r="E59" s="8">
        <f t="shared" si="24"/>
        <v>4.7562582345191041E-2</v>
      </c>
      <c r="F59" s="41">
        <v>0.96</v>
      </c>
      <c r="G59" s="9">
        <v>1170</v>
      </c>
      <c r="H59" s="9">
        <v>27.8</v>
      </c>
      <c r="I59" s="8">
        <f t="shared" si="25"/>
        <v>3.6627140974967061E-2</v>
      </c>
      <c r="J59" s="41">
        <v>0.97399999999999998</v>
      </c>
      <c r="K59" s="20">
        <v>1040</v>
      </c>
      <c r="L59" s="41">
        <v>26.1</v>
      </c>
      <c r="M59" s="8">
        <f t="shared" si="26"/>
        <v>3.4387351778656129E-2</v>
      </c>
      <c r="N59" s="41">
        <v>0.97699999999999998</v>
      </c>
      <c r="O59" s="20">
        <v>880</v>
      </c>
      <c r="P59" s="41">
        <v>27.1</v>
      </c>
      <c r="Q59" s="8">
        <f t="shared" si="27"/>
        <v>3.5704874835309618E-2</v>
      </c>
      <c r="R59" s="41">
        <v>0.97299999999999998</v>
      </c>
      <c r="S59" s="20">
        <v>730</v>
      </c>
      <c r="T59" s="41">
        <v>27.7</v>
      </c>
      <c r="U59" s="8">
        <f t="shared" si="28"/>
        <v>3.6495388669301715E-2</v>
      </c>
      <c r="V59" s="41">
        <v>0.97099999999999997</v>
      </c>
    </row>
    <row r="60" spans="1:22" ht="15.75" customHeight="1">
      <c r="B60" s="6">
        <v>3</v>
      </c>
      <c r="C60" s="20">
        <v>1975</v>
      </c>
      <c r="D60" s="9">
        <v>37.6</v>
      </c>
      <c r="E60" s="8">
        <f t="shared" si="24"/>
        <v>4.9538866930171281E-2</v>
      </c>
      <c r="F60" s="41">
        <v>0.92800000000000005</v>
      </c>
      <c r="G60" s="9">
        <v>1700</v>
      </c>
      <c r="H60" s="9">
        <v>30.2</v>
      </c>
      <c r="I60" s="8">
        <f t="shared" si="25"/>
        <v>3.9789196310935443E-2</v>
      </c>
      <c r="J60" s="41">
        <v>0.94599999999999995</v>
      </c>
      <c r="K60" s="20">
        <v>1535</v>
      </c>
      <c r="L60" s="41">
        <v>28</v>
      </c>
      <c r="M60" s="8">
        <f t="shared" si="26"/>
        <v>3.689064558629776E-2</v>
      </c>
      <c r="N60" s="41">
        <v>0.95199999999999996</v>
      </c>
      <c r="O60" s="20">
        <v>1265</v>
      </c>
      <c r="P60" s="41">
        <v>26.9</v>
      </c>
      <c r="Q60" s="8">
        <f t="shared" si="27"/>
        <v>3.5441370223978919E-2</v>
      </c>
      <c r="R60" s="41">
        <v>0.95299999999999996</v>
      </c>
      <c r="S60" s="20">
        <v>1055</v>
      </c>
      <c r="T60" s="41">
        <v>26.3</v>
      </c>
      <c r="U60" s="8">
        <f t="shared" si="28"/>
        <v>3.4650856389986828E-2</v>
      </c>
      <c r="V60" s="41">
        <v>0.95199999999999996</v>
      </c>
    </row>
    <row r="61" spans="1:22" ht="15.75" customHeight="1">
      <c r="B61" s="6">
        <v>4</v>
      </c>
      <c r="C61" s="20">
        <v>2245</v>
      </c>
      <c r="D61" s="9">
        <v>32.700000000000003</v>
      </c>
      <c r="E61" s="8">
        <f t="shared" si="24"/>
        <v>4.3083003952569171E-2</v>
      </c>
      <c r="F61" s="41">
        <v>0.96599999999999997</v>
      </c>
      <c r="G61" s="9">
        <v>2035</v>
      </c>
      <c r="H61" s="9">
        <v>30</v>
      </c>
      <c r="I61" s="8">
        <f t="shared" si="25"/>
        <v>3.9525691699604744E-2</v>
      </c>
      <c r="J61" s="41">
        <v>0.97099999999999997</v>
      </c>
      <c r="K61" s="20">
        <v>1745</v>
      </c>
      <c r="L61" s="41">
        <v>26</v>
      </c>
      <c r="M61" s="8">
        <f t="shared" si="26"/>
        <v>3.4255599472990776E-2</v>
      </c>
      <c r="N61" s="41">
        <v>0.97699999999999998</v>
      </c>
      <c r="O61" s="20">
        <v>1475</v>
      </c>
      <c r="P61" s="41">
        <v>25.1</v>
      </c>
      <c r="Q61" s="8">
        <f t="shared" si="27"/>
        <v>3.3069828722002634E-2</v>
      </c>
      <c r="R61" s="41">
        <v>0.97799999999999998</v>
      </c>
      <c r="S61" s="20">
        <v>1185</v>
      </c>
      <c r="T61" s="41">
        <v>23.7</v>
      </c>
      <c r="U61" s="8">
        <f t="shared" si="28"/>
        <v>3.1225296442687747E-2</v>
      </c>
      <c r="V61" s="41">
        <v>0.98</v>
      </c>
    </row>
    <row r="62" spans="1:22" ht="15.75" customHeight="1">
      <c r="B62" s="6">
        <v>5</v>
      </c>
      <c r="C62" s="20">
        <v>1035</v>
      </c>
      <c r="D62" s="9">
        <v>38.5</v>
      </c>
      <c r="E62" s="8">
        <f t="shared" si="24"/>
        <v>5.0724637681159424E-2</v>
      </c>
      <c r="F62" s="41">
        <v>0.872</v>
      </c>
      <c r="G62" s="9">
        <v>900</v>
      </c>
      <c r="H62" s="9">
        <v>33.6</v>
      </c>
      <c r="I62" s="8">
        <f t="shared" si="25"/>
        <v>4.4268774703557313E-2</v>
      </c>
      <c r="J62" s="41">
        <v>0.92300000000000004</v>
      </c>
      <c r="K62" s="20">
        <v>760</v>
      </c>
      <c r="L62" s="41">
        <v>29.6</v>
      </c>
      <c r="M62" s="8">
        <f t="shared" si="26"/>
        <v>3.8998682476943346E-2</v>
      </c>
      <c r="N62" s="41">
        <v>0.93</v>
      </c>
      <c r="O62" s="20">
        <v>650</v>
      </c>
      <c r="P62" s="41">
        <v>27.7</v>
      </c>
      <c r="Q62" s="8">
        <f t="shared" si="27"/>
        <v>3.6495388669301715E-2</v>
      </c>
      <c r="R62" s="41">
        <v>0.93600000000000005</v>
      </c>
      <c r="S62" s="20">
        <v>535</v>
      </c>
      <c r="T62" s="41">
        <v>25.3</v>
      </c>
      <c r="U62" s="8">
        <f t="shared" si="28"/>
        <v>3.3333333333333333E-2</v>
      </c>
      <c r="V62" s="41">
        <v>0.94699999999999995</v>
      </c>
    </row>
    <row r="63" spans="1:22" ht="15.75" customHeight="1">
      <c r="B63" s="6">
        <v>6</v>
      </c>
      <c r="C63" s="20">
        <v>1080</v>
      </c>
      <c r="D63" s="9">
        <v>56</v>
      </c>
      <c r="E63" s="8">
        <f t="shared" si="24"/>
        <v>7.378129117259552E-2</v>
      </c>
      <c r="F63" s="41">
        <v>0.92100000000000004</v>
      </c>
      <c r="G63" s="9">
        <v>935</v>
      </c>
      <c r="H63" s="9">
        <v>41.7</v>
      </c>
      <c r="I63" s="8">
        <f t="shared" si="25"/>
        <v>5.4940711462450595E-2</v>
      </c>
      <c r="J63" s="41">
        <v>0.95699999999999996</v>
      </c>
      <c r="K63" s="20">
        <v>810</v>
      </c>
      <c r="L63" s="41">
        <v>39.4</v>
      </c>
      <c r="M63" s="8">
        <f t="shared" si="26"/>
        <v>5.1910408432147559E-2</v>
      </c>
      <c r="N63" s="41">
        <v>0.96199999999999997</v>
      </c>
      <c r="O63" s="20">
        <v>715</v>
      </c>
      <c r="P63" s="41">
        <v>33.200000000000003</v>
      </c>
      <c r="Q63" s="8">
        <f t="shared" si="27"/>
        <v>4.3741765480895922E-2</v>
      </c>
      <c r="R63" s="41">
        <v>0.97099999999999997</v>
      </c>
      <c r="S63" s="20">
        <v>605</v>
      </c>
      <c r="T63" s="41">
        <v>31.8</v>
      </c>
      <c r="U63" s="8">
        <f t="shared" si="28"/>
        <v>4.1897233201581029E-2</v>
      </c>
      <c r="V63" s="41">
        <v>0.97299999999999998</v>
      </c>
    </row>
    <row r="64" spans="1:22" ht="15.75" customHeight="1">
      <c r="B64" s="6">
        <v>7</v>
      </c>
      <c r="C64" s="20">
        <v>1375</v>
      </c>
      <c r="D64" s="9">
        <v>37.700000000000003</v>
      </c>
      <c r="E64" s="8">
        <f t="shared" si="24"/>
        <v>4.9670619235836634E-2</v>
      </c>
      <c r="F64" s="41">
        <v>0.95099999999999996</v>
      </c>
      <c r="G64" s="9">
        <v>1235</v>
      </c>
      <c r="H64" s="9">
        <v>27.8</v>
      </c>
      <c r="I64" s="8">
        <f t="shared" si="25"/>
        <v>3.6627140974967061E-2</v>
      </c>
      <c r="J64" s="41">
        <v>0.97</v>
      </c>
      <c r="K64" s="20">
        <v>1095</v>
      </c>
      <c r="L64" s="41">
        <v>26.8</v>
      </c>
      <c r="M64" s="8">
        <f t="shared" si="26"/>
        <v>3.5309617918313572E-2</v>
      </c>
      <c r="N64" s="41">
        <v>0.97099999999999997</v>
      </c>
      <c r="O64" s="20">
        <v>980</v>
      </c>
      <c r="P64" s="41">
        <v>26.2</v>
      </c>
      <c r="Q64" s="8">
        <f t="shared" si="27"/>
        <v>3.4519104084321475E-2</v>
      </c>
      <c r="R64" s="41">
        <v>0.97299999999999998</v>
      </c>
      <c r="S64" s="20">
        <v>825</v>
      </c>
      <c r="T64" s="41">
        <v>24.2</v>
      </c>
      <c r="U64" s="8">
        <f t="shared" si="28"/>
        <v>3.1884057971014491E-2</v>
      </c>
      <c r="V64" s="41">
        <v>0.97399999999999998</v>
      </c>
    </row>
    <row r="65" spans="2:21" ht="15.75" customHeight="1">
      <c r="C65" s="20"/>
      <c r="D65" s="9"/>
      <c r="G65" s="9"/>
      <c r="H65" s="9"/>
      <c r="K65" s="20"/>
      <c r="O65" s="20"/>
      <c r="S65" s="20"/>
    </row>
    <row r="66" spans="2:21" ht="15.75" customHeight="1">
      <c r="B66" s="6" t="s">
        <v>4</v>
      </c>
      <c r="C66" s="20"/>
      <c r="D66" s="15">
        <f>SUMPRODUCT(C57:C64,D57:D64)/SUM(C57:C64)</f>
        <v>35.634704761904764</v>
      </c>
      <c r="E66" s="12">
        <f>SUMPRODUCT(C57:C64,E57:E64)/SUM(C57:C64)</f>
        <v>4.6949545140849494E-2</v>
      </c>
      <c r="G66" s="9"/>
      <c r="H66" s="15">
        <f>SUMPRODUCT(G57:G64,H57:H64)/SUM(G57:G64)</f>
        <v>29.902143163309045</v>
      </c>
      <c r="I66" s="12">
        <f>SUMPRODUCT(G57:G64,I57:I64)/SUM(G57:G64)</f>
        <v>3.9396763061013237E-2</v>
      </c>
      <c r="K66" s="20"/>
      <c r="L66" s="15">
        <f>SUMPRODUCT(K57:K64,L57:L64)/SUM(K57:K64)</f>
        <v>27.660137120470129</v>
      </c>
      <c r="M66" s="12">
        <f>SUMPRODUCT(K57:K64,M57:M64)/SUM(K57:K64)</f>
        <v>3.6442868406416501E-2</v>
      </c>
      <c r="O66" s="20"/>
      <c r="P66" s="15">
        <f>SUMPRODUCT(O57:O64,P57:P64)/SUM(O57:O64)</f>
        <v>26.471142857142858</v>
      </c>
      <c r="Q66" s="12">
        <f>SUMPRODUCT(O57:O64,Q57:Q64)/SUM(O57:O64)</f>
        <v>3.4876341050254091E-2</v>
      </c>
      <c r="S66" s="20"/>
      <c r="T66" s="15">
        <f>SUMPRODUCT(S57:S64,T57:T64)/SUM(S57:S64)</f>
        <v>25.455555555555556</v>
      </c>
      <c r="U66" s="12">
        <f>SUMPRODUCT(S57:S64,U57:U64)/SUM(S57:S64)</f>
        <v>3.3538281364368323E-2</v>
      </c>
    </row>
    <row r="67" spans="2:21" ht="15.75" customHeight="1">
      <c r="E67">
        <v>4.97</v>
      </c>
      <c r="I67">
        <v>4.07</v>
      </c>
      <c r="M67">
        <v>3.82</v>
      </c>
      <c r="Q67">
        <v>3.65</v>
      </c>
      <c r="U67">
        <v>3.51</v>
      </c>
    </row>
    <row r="68" spans="2:21" ht="15.75" customHeight="1">
      <c r="C68" s="6">
        <f>SUM(C57:C64)</f>
        <v>13125</v>
      </c>
      <c r="G68" s="6">
        <f>SUM(G57:G64)</f>
        <v>11665</v>
      </c>
      <c r="K68" s="6">
        <f>SUM(K57:K64)</f>
        <v>10210</v>
      </c>
      <c r="O68" s="6">
        <f>SUM(O57:O64)</f>
        <v>8750</v>
      </c>
      <c r="S68" s="6">
        <f>SUM(S57:S64)</f>
        <v>7290</v>
      </c>
    </row>
    <row r="69" spans="2:21" ht="15.75" customHeight="1"/>
    <row r="70" spans="2:21" ht="15.75" customHeight="1"/>
    <row r="71" spans="2:21" ht="15.75" customHeight="1"/>
    <row r="72" spans="2:21" ht="15.75" customHeight="1"/>
    <row r="73" spans="2:21" ht="15.75" customHeight="1"/>
    <row r="74" spans="2:21" ht="15.75" customHeight="1"/>
    <row r="75" spans="2:21" ht="15.75" customHeight="1"/>
    <row r="76" spans="2:21" ht="15.75" customHeight="1"/>
    <row r="77" spans="2:21" ht="15.75" customHeight="1"/>
    <row r="78" spans="2:21" ht="15.75" customHeight="1"/>
    <row r="79" spans="2:21" ht="15.75" customHeight="1"/>
    <row r="80" spans="2:21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H55:J55"/>
    <mergeCell ref="L55:N55"/>
    <mergeCell ref="P55:R55"/>
    <mergeCell ref="T55:V55"/>
    <mergeCell ref="D24:F24"/>
    <mergeCell ref="D40:F40"/>
    <mergeCell ref="H40:J40"/>
    <mergeCell ref="L40:N40"/>
    <mergeCell ref="P40:R40"/>
    <mergeCell ref="T40:V40"/>
    <mergeCell ref="D55:F55"/>
    <mergeCell ref="L24:N24"/>
    <mergeCell ref="P24:R24"/>
    <mergeCell ref="Y24:AA24"/>
    <mergeCell ref="D7:F7"/>
    <mergeCell ref="H7:J7"/>
    <mergeCell ref="L7:N7"/>
    <mergeCell ref="P7:R7"/>
    <mergeCell ref="T7:V7"/>
    <mergeCell ref="H24:J24"/>
    <mergeCell ref="T24:V24"/>
  </mergeCells>
  <pageMargins left="0.7" right="0.7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3:Y1000"/>
  <sheetViews>
    <sheetView workbookViewId="0">
      <selection activeCell="F3" sqref="F3"/>
    </sheetView>
  </sheetViews>
  <sheetFormatPr baseColWidth="10" defaultColWidth="14.42578125" defaultRowHeight="15" customHeight="1"/>
  <cols>
    <col min="1" max="1" width="10.7109375" customWidth="1"/>
    <col min="2" max="2" width="12.5703125" customWidth="1"/>
    <col min="3" max="26" width="10.7109375" customWidth="1"/>
  </cols>
  <sheetData>
    <row r="3" spans="1:25">
      <c r="B3" s="6">
        <v>17515</v>
      </c>
      <c r="C3" s="6" t="s">
        <v>14</v>
      </c>
      <c r="D3" s="6">
        <v>115</v>
      </c>
      <c r="E3" s="6" t="s">
        <v>15</v>
      </c>
    </row>
    <row r="4" spans="1:25">
      <c r="A4" s="6" t="s">
        <v>9</v>
      </c>
    </row>
    <row r="5" spans="1:25">
      <c r="A5" s="6">
        <v>496</v>
      </c>
    </row>
    <row r="7" spans="1:25">
      <c r="D7" s="32">
        <v>0.1</v>
      </c>
      <c r="E7" s="30"/>
      <c r="F7" s="30"/>
      <c r="G7" s="18"/>
      <c r="H7" s="32">
        <v>0.2</v>
      </c>
      <c r="I7" s="30"/>
      <c r="J7" s="30"/>
      <c r="K7" s="18"/>
      <c r="L7" s="32">
        <v>0.3</v>
      </c>
      <c r="M7" s="30"/>
      <c r="N7" s="30"/>
      <c r="O7" s="18"/>
      <c r="P7" s="32">
        <v>0.4</v>
      </c>
      <c r="Q7" s="30"/>
      <c r="R7" s="30"/>
      <c r="S7" s="18"/>
      <c r="T7" s="32">
        <v>0.5</v>
      </c>
      <c r="U7" s="30"/>
      <c r="V7" s="30"/>
      <c r="W7" s="1"/>
      <c r="X7" s="2"/>
      <c r="Y7" s="2"/>
    </row>
    <row r="8" spans="1:25">
      <c r="B8" s="3" t="s">
        <v>0</v>
      </c>
      <c r="C8" s="19" t="s">
        <v>17</v>
      </c>
      <c r="D8" s="4" t="s">
        <v>1</v>
      </c>
      <c r="E8" s="3" t="s">
        <v>2</v>
      </c>
      <c r="F8" s="3" t="s">
        <v>3</v>
      </c>
      <c r="G8" s="19" t="s">
        <v>17</v>
      </c>
      <c r="H8" s="4" t="s">
        <v>1</v>
      </c>
      <c r="I8" s="3" t="s">
        <v>2</v>
      </c>
      <c r="J8" s="3" t="s">
        <v>3</v>
      </c>
      <c r="K8" s="19" t="s">
        <v>17</v>
      </c>
      <c r="L8" s="3" t="s">
        <v>1</v>
      </c>
      <c r="M8" s="3" t="s">
        <v>2</v>
      </c>
      <c r="N8" s="3" t="s">
        <v>3</v>
      </c>
      <c r="O8" s="19" t="s">
        <v>17</v>
      </c>
      <c r="P8" s="3" t="s">
        <v>1</v>
      </c>
      <c r="Q8" s="3" t="s">
        <v>2</v>
      </c>
      <c r="R8" s="3" t="s">
        <v>3</v>
      </c>
      <c r="S8" s="19" t="s">
        <v>17</v>
      </c>
      <c r="T8" s="3" t="s">
        <v>1</v>
      </c>
      <c r="U8" s="3" t="s">
        <v>2</v>
      </c>
      <c r="V8" s="3" t="s">
        <v>3</v>
      </c>
    </row>
    <row r="9" spans="1:25">
      <c r="B9" s="6">
        <v>0</v>
      </c>
      <c r="C9" s="24">
        <f t="shared" ref="C9:V9" si="0">AVERAGE(C26,C42,C58)</f>
        <v>1478.3333333333333</v>
      </c>
      <c r="D9" s="25">
        <f t="shared" si="0"/>
        <v>23.933333333333334</v>
      </c>
      <c r="E9" s="21">
        <f t="shared" si="0"/>
        <v>4.8252688172043014E-2</v>
      </c>
      <c r="F9" s="20">
        <f t="shared" si="0"/>
        <v>0.77233333333333343</v>
      </c>
      <c r="G9" s="24">
        <f t="shared" si="0"/>
        <v>1425</v>
      </c>
      <c r="H9" s="25">
        <f t="shared" si="0"/>
        <v>19.099999999999998</v>
      </c>
      <c r="I9" s="21">
        <f t="shared" si="0"/>
        <v>3.8508064516129037E-2</v>
      </c>
      <c r="J9" s="20">
        <f t="shared" si="0"/>
        <v>0.88633333333333331</v>
      </c>
      <c r="K9" s="24">
        <f t="shared" si="0"/>
        <v>1423.3333333333333</v>
      </c>
      <c r="L9" s="25">
        <f t="shared" si="0"/>
        <v>18.733333333333334</v>
      </c>
      <c r="M9" s="21">
        <f t="shared" si="0"/>
        <v>3.7768817204301079E-2</v>
      </c>
      <c r="N9" s="20">
        <f t="shared" si="0"/>
        <v>0.91800000000000015</v>
      </c>
      <c r="O9" s="24">
        <f t="shared" si="0"/>
        <v>1306.6666666666667</v>
      </c>
      <c r="P9" s="25">
        <f t="shared" si="0"/>
        <v>19.966666666666665</v>
      </c>
      <c r="Q9" s="21">
        <f t="shared" si="0"/>
        <v>4.0255376344086026E-2</v>
      </c>
      <c r="R9" s="20">
        <f t="shared" si="0"/>
        <v>0.92233333333333345</v>
      </c>
      <c r="S9" s="24">
        <f t="shared" si="0"/>
        <v>1091.6666666666667</v>
      </c>
      <c r="T9" s="25">
        <f t="shared" si="0"/>
        <v>19.666666666666668</v>
      </c>
      <c r="U9" s="21">
        <f t="shared" si="0"/>
        <v>3.9650537634408602E-2</v>
      </c>
      <c r="V9" s="20">
        <f t="shared" si="0"/>
        <v>0.9245000000000001</v>
      </c>
    </row>
    <row r="10" spans="1:25">
      <c r="B10" s="6">
        <v>1</v>
      </c>
      <c r="C10" s="24">
        <f t="shared" ref="C10:V10" si="1">AVERAGE(C27,C43,C59)</f>
        <v>2653.3333333333335</v>
      </c>
      <c r="D10" s="25">
        <f t="shared" si="1"/>
        <v>21.833333333333332</v>
      </c>
      <c r="E10" s="21">
        <f t="shared" si="1"/>
        <v>4.4018817204301071E-2</v>
      </c>
      <c r="F10" s="20">
        <f t="shared" si="1"/>
        <v>0.89600000000000002</v>
      </c>
      <c r="G10" s="24">
        <f t="shared" si="1"/>
        <v>2245</v>
      </c>
      <c r="H10" s="25">
        <f t="shared" si="1"/>
        <v>16.866666666666664</v>
      </c>
      <c r="I10" s="21">
        <f t="shared" si="1"/>
        <v>3.400537634408602E-2</v>
      </c>
      <c r="J10" s="20">
        <f t="shared" si="1"/>
        <v>0.90533333333333343</v>
      </c>
      <c r="K10" s="24">
        <f t="shared" si="1"/>
        <v>1798.3333333333333</v>
      </c>
      <c r="L10" s="25">
        <f t="shared" si="1"/>
        <v>14.5</v>
      </c>
      <c r="M10" s="21">
        <f t="shared" si="1"/>
        <v>2.9233870967741937E-2</v>
      </c>
      <c r="N10" s="20">
        <f t="shared" si="1"/>
        <v>0.89733333333333343</v>
      </c>
      <c r="O10" s="24">
        <f t="shared" si="1"/>
        <v>1461.6666666666667</v>
      </c>
      <c r="P10" s="25">
        <f t="shared" si="1"/>
        <v>13.6</v>
      </c>
      <c r="Q10" s="21">
        <f t="shared" si="1"/>
        <v>2.7419354838709678E-2</v>
      </c>
      <c r="R10" s="20">
        <f t="shared" si="1"/>
        <v>0.8783333333333333</v>
      </c>
      <c r="S10" s="24">
        <f t="shared" si="1"/>
        <v>1200</v>
      </c>
      <c r="T10" s="25">
        <f t="shared" si="1"/>
        <v>13.6</v>
      </c>
      <c r="U10" s="21">
        <f t="shared" si="1"/>
        <v>2.7419354838709678E-2</v>
      </c>
      <c r="V10" s="20">
        <f t="shared" si="1"/>
        <v>0.879</v>
      </c>
    </row>
    <row r="11" spans="1:25">
      <c r="B11" s="6">
        <v>2</v>
      </c>
      <c r="C11" s="24">
        <f t="shared" ref="C11:V11" si="2">AVERAGE(C28,C44,C60)</f>
        <v>913.33333333333337</v>
      </c>
      <c r="D11" s="25">
        <f t="shared" si="2"/>
        <v>46.166666666666664</v>
      </c>
      <c r="E11" s="21">
        <f t="shared" si="2"/>
        <v>9.3077956989247312E-2</v>
      </c>
      <c r="F11" s="20">
        <f t="shared" si="2"/>
        <v>0.86799999999999999</v>
      </c>
      <c r="G11" s="24">
        <f t="shared" si="2"/>
        <v>793.33333333333337</v>
      </c>
      <c r="H11" s="25">
        <f t="shared" si="2"/>
        <v>33</v>
      </c>
      <c r="I11" s="21">
        <f t="shared" si="2"/>
        <v>6.6532258064516125E-2</v>
      </c>
      <c r="J11" s="20">
        <f t="shared" si="2"/>
        <v>0.93233333333333324</v>
      </c>
      <c r="K11" s="24">
        <f t="shared" si="2"/>
        <v>663.33333333333337</v>
      </c>
      <c r="L11" s="25">
        <f t="shared" si="2"/>
        <v>31.7</v>
      </c>
      <c r="M11" s="21">
        <f t="shared" si="2"/>
        <v>6.3911290322580652E-2</v>
      </c>
      <c r="N11" s="20">
        <f t="shared" si="2"/>
        <v>0.94</v>
      </c>
      <c r="O11" s="24">
        <f t="shared" si="2"/>
        <v>558.33333333333337</v>
      </c>
      <c r="P11" s="25">
        <f t="shared" si="2"/>
        <v>27.066666666666663</v>
      </c>
      <c r="Q11" s="21">
        <f t="shared" si="2"/>
        <v>5.4569892473118276E-2</v>
      </c>
      <c r="R11" s="20">
        <f t="shared" si="2"/>
        <v>0.95233333333333325</v>
      </c>
      <c r="S11" s="24">
        <f t="shared" si="2"/>
        <v>478.33333333333331</v>
      </c>
      <c r="T11" s="25">
        <f t="shared" si="2"/>
        <v>25.900000000000002</v>
      </c>
      <c r="U11" s="21">
        <f t="shared" si="2"/>
        <v>5.2217741935483869E-2</v>
      </c>
      <c r="V11" s="20">
        <f t="shared" si="2"/>
        <v>0.95750000000000002</v>
      </c>
    </row>
    <row r="12" spans="1:25">
      <c r="B12" s="6">
        <v>3</v>
      </c>
      <c r="C12" s="24">
        <f t="shared" ref="C12:V12" si="3">AVERAGE(C29,C45,C61)</f>
        <v>1896.6666666666667</v>
      </c>
      <c r="D12" s="25">
        <f t="shared" si="3"/>
        <v>32.666666666666664</v>
      </c>
      <c r="E12" s="21">
        <f t="shared" si="3"/>
        <v>6.5860215053763452E-2</v>
      </c>
      <c r="F12" s="20">
        <f t="shared" si="3"/>
        <v>0.89033333333333331</v>
      </c>
      <c r="G12" s="24">
        <f t="shared" si="3"/>
        <v>1663.3333333333333</v>
      </c>
      <c r="H12" s="25">
        <f t="shared" si="3"/>
        <v>25.266666666666666</v>
      </c>
      <c r="I12" s="21">
        <f t="shared" si="3"/>
        <v>5.0940860215053764E-2</v>
      </c>
      <c r="J12" s="20">
        <f t="shared" si="3"/>
        <v>0.92733333333333334</v>
      </c>
      <c r="K12" s="24">
        <f t="shared" si="3"/>
        <v>1461.6666666666667</v>
      </c>
      <c r="L12" s="25">
        <f t="shared" si="3"/>
        <v>23.866666666666664</v>
      </c>
      <c r="M12" s="21">
        <f t="shared" si="3"/>
        <v>4.8118279569892473E-2</v>
      </c>
      <c r="N12" s="20">
        <f t="shared" si="3"/>
        <v>0.93266666666666664</v>
      </c>
      <c r="O12" s="24">
        <f t="shared" si="3"/>
        <v>1216.6666666666667</v>
      </c>
      <c r="P12" s="25">
        <f t="shared" si="3"/>
        <v>22.933333333333334</v>
      </c>
      <c r="Q12" s="21">
        <f t="shared" si="3"/>
        <v>4.6236559139784951E-2</v>
      </c>
      <c r="R12" s="20">
        <f t="shared" si="3"/>
        <v>0.93499999999999994</v>
      </c>
      <c r="S12" s="24">
        <f t="shared" si="3"/>
        <v>1013.3333333333334</v>
      </c>
      <c r="T12" s="25">
        <f t="shared" si="3"/>
        <v>21.833333333333332</v>
      </c>
      <c r="U12" s="21">
        <f t="shared" si="3"/>
        <v>4.4018817204301085E-2</v>
      </c>
      <c r="V12" s="20">
        <f t="shared" si="3"/>
        <v>0.94599999999999995</v>
      </c>
    </row>
    <row r="13" spans="1:25">
      <c r="B13" s="6">
        <v>4</v>
      </c>
      <c r="C13" s="24">
        <f t="shared" ref="C13:V13" si="4">AVERAGE(C30,C46,C62)</f>
        <v>1645</v>
      </c>
      <c r="D13" s="25">
        <f t="shared" si="4"/>
        <v>26.866666666666664</v>
      </c>
      <c r="E13" s="21">
        <f t="shared" si="4"/>
        <v>5.4166666666666669E-2</v>
      </c>
      <c r="F13" s="20">
        <f t="shared" si="4"/>
        <v>0.93599999999999994</v>
      </c>
      <c r="G13" s="24">
        <f t="shared" si="4"/>
        <v>1456.6666666666667</v>
      </c>
      <c r="H13" s="25">
        <f t="shared" si="4"/>
        <v>22.066666666666666</v>
      </c>
      <c r="I13" s="21">
        <f t="shared" si="4"/>
        <v>4.4489247311827962E-2</v>
      </c>
      <c r="J13" s="20">
        <f t="shared" si="4"/>
        <v>0.95733333333333326</v>
      </c>
      <c r="K13" s="24">
        <f t="shared" si="4"/>
        <v>1241.6666666666667</v>
      </c>
      <c r="L13" s="25">
        <f t="shared" si="4"/>
        <v>20.633333333333333</v>
      </c>
      <c r="M13" s="21">
        <f t="shared" si="4"/>
        <v>4.1599462365591401E-2</v>
      </c>
      <c r="N13" s="20">
        <f t="shared" si="4"/>
        <v>0.96299999999999997</v>
      </c>
      <c r="O13" s="24">
        <f t="shared" si="4"/>
        <v>1056.6666666666667</v>
      </c>
      <c r="P13" s="25">
        <f t="shared" si="4"/>
        <v>20.566666666666666</v>
      </c>
      <c r="Q13" s="21">
        <f t="shared" si="4"/>
        <v>4.1465053763440861E-2</v>
      </c>
      <c r="R13" s="20">
        <f t="shared" si="4"/>
        <v>0.96333333333333326</v>
      </c>
      <c r="S13" s="24">
        <f t="shared" si="4"/>
        <v>863.33333333333337</v>
      </c>
      <c r="T13" s="25">
        <f t="shared" si="4"/>
        <v>20.966666666666665</v>
      </c>
      <c r="U13" s="21">
        <f t="shared" si="4"/>
        <v>4.2271505376344082E-2</v>
      </c>
      <c r="V13" s="20">
        <f t="shared" si="4"/>
        <v>0.96249999999999991</v>
      </c>
    </row>
    <row r="14" spans="1:25">
      <c r="B14" s="6">
        <v>5</v>
      </c>
      <c r="C14" s="24">
        <f t="shared" ref="C14:V14" si="5">AVERAGE(C31,C47,C63)</f>
        <v>933.33333333333337</v>
      </c>
      <c r="D14" s="25">
        <f t="shared" si="5"/>
        <v>30.666666666666668</v>
      </c>
      <c r="E14" s="21">
        <f t="shared" si="5"/>
        <v>6.1827956989247312E-2</v>
      </c>
      <c r="F14" s="20">
        <f t="shared" si="5"/>
        <v>0.77666666666666673</v>
      </c>
      <c r="G14" s="24">
        <f t="shared" si="5"/>
        <v>848.33333333333337</v>
      </c>
      <c r="H14" s="25">
        <f t="shared" si="5"/>
        <v>23.5</v>
      </c>
      <c r="I14" s="21">
        <f t="shared" si="5"/>
        <v>4.7379032258064523E-2</v>
      </c>
      <c r="J14" s="20">
        <f t="shared" si="5"/>
        <v>0.85266666666666657</v>
      </c>
      <c r="K14" s="24">
        <f t="shared" si="5"/>
        <v>756.66666666666663</v>
      </c>
      <c r="L14" s="25">
        <f t="shared" si="5"/>
        <v>23.3</v>
      </c>
      <c r="M14" s="21">
        <f t="shared" si="5"/>
        <v>4.6975806451612902E-2</v>
      </c>
      <c r="N14" s="20">
        <f t="shared" si="5"/>
        <v>0.85633333333333328</v>
      </c>
      <c r="O14" s="24">
        <f t="shared" si="5"/>
        <v>676.66666666666663</v>
      </c>
      <c r="P14" s="25">
        <f t="shared" si="5"/>
        <v>22.2</v>
      </c>
      <c r="Q14" s="21">
        <f t="shared" si="5"/>
        <v>4.4758064516129036E-2</v>
      </c>
      <c r="R14" s="20">
        <f t="shared" si="5"/>
        <v>0.88533333333333342</v>
      </c>
      <c r="S14" s="24">
        <f t="shared" si="5"/>
        <v>578.33333333333337</v>
      </c>
      <c r="T14" s="25">
        <f t="shared" si="5"/>
        <v>20.3</v>
      </c>
      <c r="U14" s="21">
        <f t="shared" si="5"/>
        <v>4.0927419354838714E-2</v>
      </c>
      <c r="V14" s="20">
        <f t="shared" si="5"/>
        <v>0.90700000000000003</v>
      </c>
    </row>
    <row r="15" spans="1:25">
      <c r="B15" s="6">
        <v>6</v>
      </c>
      <c r="C15" s="24">
        <f t="shared" ref="C15:V15" si="6">AVERAGE(C32,C48,C64)</f>
        <v>1181.6666666666667</v>
      </c>
      <c r="D15" s="25">
        <f t="shared" si="6"/>
        <v>38.166666666666664</v>
      </c>
      <c r="E15" s="21">
        <f t="shared" si="6"/>
        <v>7.6948924731182797E-2</v>
      </c>
      <c r="F15" s="20">
        <f t="shared" si="6"/>
        <v>0.9</v>
      </c>
      <c r="G15" s="24">
        <f t="shared" si="6"/>
        <v>1043.3333333333333</v>
      </c>
      <c r="H15" s="25">
        <f t="shared" si="6"/>
        <v>29.366666666666664</v>
      </c>
      <c r="I15" s="21">
        <f t="shared" si="6"/>
        <v>5.9206989247311825E-2</v>
      </c>
      <c r="J15" s="20">
        <f t="shared" si="6"/>
        <v>0.93666666666666654</v>
      </c>
      <c r="K15" s="24">
        <f t="shared" si="6"/>
        <v>908.33333333333337</v>
      </c>
      <c r="L15" s="25">
        <f t="shared" si="6"/>
        <v>25.400000000000002</v>
      </c>
      <c r="M15" s="21">
        <f t="shared" si="6"/>
        <v>5.1209677419354838E-2</v>
      </c>
      <c r="N15" s="20">
        <f t="shared" si="6"/>
        <v>0.95233333333333337</v>
      </c>
      <c r="O15" s="24">
        <f t="shared" si="6"/>
        <v>758.33333333333337</v>
      </c>
      <c r="P15" s="25">
        <f t="shared" si="6"/>
        <v>23.066666666666663</v>
      </c>
      <c r="Q15" s="21">
        <f t="shared" si="6"/>
        <v>4.6505376344086025E-2</v>
      </c>
      <c r="R15" s="20">
        <f t="shared" si="6"/>
        <v>0.95966666666666667</v>
      </c>
      <c r="S15" s="24">
        <f t="shared" si="6"/>
        <v>640</v>
      </c>
      <c r="T15" s="25">
        <f t="shared" si="6"/>
        <v>22.366666666666664</v>
      </c>
      <c r="U15" s="21">
        <f t="shared" si="6"/>
        <v>4.5094086021505379E-2</v>
      </c>
      <c r="V15" s="20">
        <f t="shared" si="6"/>
        <v>0.96</v>
      </c>
    </row>
    <row r="16" spans="1:25">
      <c r="B16" s="6">
        <v>7</v>
      </c>
      <c r="C16" s="24">
        <f t="shared" ref="C16:V16" si="7">AVERAGE(C33,C49,C65)</f>
        <v>2423.3333333333335</v>
      </c>
      <c r="D16" s="25">
        <f t="shared" si="7"/>
        <v>23.7</v>
      </c>
      <c r="E16" s="21">
        <f t="shared" si="7"/>
        <v>4.7782258064516137E-2</v>
      </c>
      <c r="F16" s="20">
        <f t="shared" si="7"/>
        <v>0.95733333333333326</v>
      </c>
      <c r="G16" s="24">
        <f t="shared" si="7"/>
        <v>2190</v>
      </c>
      <c r="H16" s="25">
        <f t="shared" si="7"/>
        <v>20.3</v>
      </c>
      <c r="I16" s="21">
        <f t="shared" si="7"/>
        <v>4.0927419354838714E-2</v>
      </c>
      <c r="J16" s="20">
        <f t="shared" si="7"/>
        <v>0.96766666666666667</v>
      </c>
      <c r="K16" s="24">
        <f t="shared" si="7"/>
        <v>1956.6666666666667</v>
      </c>
      <c r="L16" s="25">
        <f t="shared" si="7"/>
        <v>18.900000000000002</v>
      </c>
      <c r="M16" s="21">
        <f t="shared" si="7"/>
        <v>3.8104838709677423E-2</v>
      </c>
      <c r="N16" s="20">
        <f t="shared" si="7"/>
        <v>0.96933333333333327</v>
      </c>
      <c r="O16" s="24">
        <f t="shared" si="7"/>
        <v>1715</v>
      </c>
      <c r="P16" s="25">
        <f t="shared" si="7"/>
        <v>18.433333333333334</v>
      </c>
      <c r="Q16" s="21">
        <f t="shared" si="7"/>
        <v>3.7163978494623655E-2</v>
      </c>
      <c r="R16" s="20">
        <f t="shared" si="7"/>
        <v>0.97100000000000009</v>
      </c>
      <c r="S16" s="24">
        <f t="shared" si="7"/>
        <v>1425</v>
      </c>
      <c r="T16" s="25">
        <f t="shared" si="7"/>
        <v>18.666666666666668</v>
      </c>
      <c r="U16" s="21">
        <f t="shared" si="7"/>
        <v>3.7634408602150532E-2</v>
      </c>
      <c r="V16" s="20">
        <f t="shared" si="7"/>
        <v>0.96849999999999992</v>
      </c>
    </row>
    <row r="17" spans="1:22">
      <c r="C17" s="24"/>
      <c r="D17" s="20"/>
      <c r="E17" s="21"/>
      <c r="F17" s="20"/>
      <c r="G17" s="24"/>
      <c r="H17" s="20"/>
      <c r="I17" s="21"/>
      <c r="J17" s="20"/>
      <c r="K17" s="20"/>
      <c r="L17" s="20"/>
      <c r="M17" s="21"/>
      <c r="N17" s="20"/>
      <c r="O17" s="20"/>
      <c r="P17" s="20"/>
      <c r="Q17" s="21"/>
      <c r="R17" s="20"/>
      <c r="S17" s="24"/>
      <c r="T17" s="20"/>
      <c r="U17" s="21"/>
      <c r="V17" s="20"/>
    </row>
    <row r="18" spans="1:22">
      <c r="B18" s="6" t="s">
        <v>4</v>
      </c>
      <c r="C18" s="20"/>
      <c r="D18" s="22">
        <f t="shared" ref="D18:F18" si="8">AVERAGE(D35,D51,D67)</f>
        <v>28.387746031746033</v>
      </c>
      <c r="E18" s="43">
        <f t="shared" si="8"/>
        <v>5.7233358934971841E-2</v>
      </c>
      <c r="F18" s="20" t="e">
        <f t="shared" si="8"/>
        <v>#DIV/0!</v>
      </c>
      <c r="G18" s="20"/>
      <c r="H18" s="22">
        <f t="shared" ref="H18:J18" si="9">AVERAGE(H35,H51,H67)</f>
        <v>22.33736248035434</v>
      </c>
      <c r="I18" s="43">
        <f t="shared" si="9"/>
        <v>4.503500500071439E-2</v>
      </c>
      <c r="J18" s="20" t="e">
        <f t="shared" si="9"/>
        <v>#DIV/0!</v>
      </c>
      <c r="K18" s="20"/>
      <c r="L18" s="22">
        <f t="shared" ref="L18:N18" si="10">AVERAGE(L35,L51,L67)</f>
        <v>20.764332353901406</v>
      </c>
      <c r="M18" s="43">
        <f t="shared" si="10"/>
        <v>4.1863573294156055E-2</v>
      </c>
      <c r="N18" s="20" t="e">
        <f t="shared" si="10"/>
        <v>#DIV/0!</v>
      </c>
      <c r="O18" s="20"/>
      <c r="P18" s="22">
        <f t="shared" ref="P18:R18" si="11">AVERAGE(P35,P51,P67)</f>
        <v>19.990742857142859</v>
      </c>
      <c r="Q18" s="43">
        <f t="shared" si="11"/>
        <v>4.0303917050691244E-2</v>
      </c>
      <c r="R18" s="20" t="e">
        <f t="shared" si="11"/>
        <v>#DIV/0!</v>
      </c>
      <c r="S18" s="20"/>
      <c r="T18" s="22">
        <f t="shared" ref="T18:V18" si="12">AVERAGE(T35,T51,T67)</f>
        <v>19.619204389574762</v>
      </c>
      <c r="U18" s="43">
        <f t="shared" si="12"/>
        <v>3.9554847559626537E-2</v>
      </c>
      <c r="V18" s="20" t="e">
        <f t="shared" si="12"/>
        <v>#DIV/0!</v>
      </c>
    </row>
    <row r="20" spans="1:22">
      <c r="C20" s="28">
        <f>SUM(C9:C16)</f>
        <v>13125.000000000002</v>
      </c>
      <c r="G20" s="28">
        <f>SUM(G9:G16)</f>
        <v>11665</v>
      </c>
      <c r="K20" s="28">
        <f>SUM(K9:K16)</f>
        <v>10210</v>
      </c>
      <c r="O20" s="28">
        <f>SUM(O9:O16)</f>
        <v>8750</v>
      </c>
      <c r="S20" s="28">
        <f>SUM(S9:S16)</f>
        <v>7290</v>
      </c>
    </row>
    <row r="21" spans="1:22" ht="15.75" customHeight="1">
      <c r="C21" s="6">
        <f>C20/($B$3-$D$3)</f>
        <v>0.7543103448275863</v>
      </c>
      <c r="G21" s="6">
        <f>G20/($B$3-$D$3)</f>
        <v>0.67040229885057467</v>
      </c>
    </row>
    <row r="22" spans="1:22" ht="15.75" customHeight="1"/>
    <row r="23" spans="1:22" ht="15.75" customHeight="1"/>
    <row r="24" spans="1:22" ht="15.75" customHeight="1">
      <c r="A24" s="6" t="s">
        <v>18</v>
      </c>
      <c r="D24" s="32">
        <v>0.1</v>
      </c>
      <c r="E24" s="30"/>
      <c r="F24" s="30"/>
      <c r="G24" s="18"/>
      <c r="H24" s="32">
        <v>0.2</v>
      </c>
      <c r="I24" s="30"/>
      <c r="J24" s="30"/>
      <c r="K24" s="18"/>
      <c r="L24" s="32">
        <v>0.3</v>
      </c>
      <c r="M24" s="30"/>
      <c r="N24" s="30"/>
      <c r="O24" s="18"/>
      <c r="P24" s="32">
        <v>0.4</v>
      </c>
      <c r="Q24" s="30"/>
      <c r="R24" s="30"/>
      <c r="S24" s="18"/>
      <c r="T24" s="32">
        <v>0.5</v>
      </c>
      <c r="U24" s="30"/>
      <c r="V24" s="30"/>
    </row>
    <row r="25" spans="1:22" ht="15.75" customHeight="1">
      <c r="B25" s="3" t="s">
        <v>0</v>
      </c>
      <c r="C25" s="19" t="s">
        <v>17</v>
      </c>
      <c r="D25" s="4" t="s">
        <v>1</v>
      </c>
      <c r="E25" s="3" t="s">
        <v>2</v>
      </c>
      <c r="F25" s="3" t="s">
        <v>3</v>
      </c>
      <c r="G25" s="19" t="s">
        <v>17</v>
      </c>
      <c r="H25" s="4" t="s">
        <v>1</v>
      </c>
      <c r="I25" s="3" t="s">
        <v>2</v>
      </c>
      <c r="J25" s="3" t="s">
        <v>3</v>
      </c>
      <c r="K25" s="19" t="s">
        <v>17</v>
      </c>
      <c r="L25" s="3" t="s">
        <v>1</v>
      </c>
      <c r="M25" s="3" t="s">
        <v>2</v>
      </c>
      <c r="N25" s="3" t="s">
        <v>3</v>
      </c>
      <c r="O25" s="19" t="s">
        <v>17</v>
      </c>
      <c r="P25" s="3" t="s">
        <v>1</v>
      </c>
      <c r="Q25" s="3" t="s">
        <v>2</v>
      </c>
      <c r="R25" s="3" t="s">
        <v>3</v>
      </c>
      <c r="S25" s="19" t="s">
        <v>17</v>
      </c>
      <c r="T25" s="3" t="s">
        <v>1</v>
      </c>
      <c r="U25" s="3" t="s">
        <v>2</v>
      </c>
      <c r="V25" s="3" t="s">
        <v>3</v>
      </c>
    </row>
    <row r="26" spans="1:22" ht="15.75" customHeight="1">
      <c r="B26" s="6">
        <v>0</v>
      </c>
      <c r="C26" s="20">
        <v>1490</v>
      </c>
      <c r="D26" s="9">
        <v>23.1</v>
      </c>
      <c r="E26" s="8">
        <f t="shared" ref="E26:E33" si="13">D26/$A$5</f>
        <v>4.6572580645161295E-2</v>
      </c>
      <c r="F26" s="41">
        <v>0.78300000000000003</v>
      </c>
      <c r="G26" s="9">
        <v>1250</v>
      </c>
      <c r="H26" s="9">
        <v>18.600000000000001</v>
      </c>
      <c r="I26" s="8">
        <f t="shared" ref="I26:I33" si="14">H26/$A$5</f>
        <v>3.7500000000000006E-2</v>
      </c>
      <c r="J26" s="41">
        <v>0.871</v>
      </c>
      <c r="K26" s="20">
        <v>1215</v>
      </c>
      <c r="L26" s="41">
        <v>19.2</v>
      </c>
      <c r="M26" s="8">
        <f t="shared" ref="M26:M33" si="15">L26/$A$5</f>
        <v>3.870967741935484E-2</v>
      </c>
      <c r="N26" s="41">
        <v>0.90400000000000003</v>
      </c>
      <c r="O26" s="20">
        <v>1270</v>
      </c>
      <c r="P26" s="41">
        <v>20.2</v>
      </c>
      <c r="Q26" s="8">
        <f t="shared" ref="Q26:Q33" si="16">P26/$A$5</f>
        <v>4.0725806451612903E-2</v>
      </c>
      <c r="R26" s="41">
        <v>0.92300000000000004</v>
      </c>
      <c r="S26" s="20">
        <v>1075</v>
      </c>
      <c r="T26" s="41">
        <v>19.600000000000001</v>
      </c>
      <c r="U26" s="8">
        <f t="shared" ref="U26:U33" si="17">T26/$A$5</f>
        <v>3.9516129032258068E-2</v>
      </c>
    </row>
    <row r="27" spans="1:22" ht="15.75" customHeight="1">
      <c r="B27" s="6">
        <v>1</v>
      </c>
      <c r="C27" s="20">
        <v>2655</v>
      </c>
      <c r="D27" s="9">
        <v>20.7</v>
      </c>
      <c r="E27" s="8">
        <f t="shared" si="13"/>
        <v>4.1733870967741934E-2</v>
      </c>
      <c r="F27" s="41">
        <v>0.89800000000000002</v>
      </c>
      <c r="G27" s="9">
        <v>2405</v>
      </c>
      <c r="H27" s="9">
        <v>17.399999999999999</v>
      </c>
      <c r="I27" s="8">
        <f t="shared" si="14"/>
        <v>3.5080645161290322E-2</v>
      </c>
      <c r="J27" s="41">
        <v>0.92</v>
      </c>
      <c r="K27" s="20">
        <v>1940</v>
      </c>
      <c r="L27" s="41">
        <v>15</v>
      </c>
      <c r="M27" s="8">
        <f t="shared" si="15"/>
        <v>3.0241935483870969E-2</v>
      </c>
      <c r="N27" s="41">
        <v>0.92</v>
      </c>
      <c r="O27" s="20">
        <v>1485</v>
      </c>
      <c r="P27" s="41">
        <v>13.8</v>
      </c>
      <c r="Q27" s="8">
        <f t="shared" si="16"/>
        <v>2.7822580645161292E-2</v>
      </c>
      <c r="R27" s="41">
        <v>0.871</v>
      </c>
      <c r="S27" s="20">
        <v>1210</v>
      </c>
      <c r="T27" s="41">
        <v>13.5</v>
      </c>
      <c r="U27" s="8">
        <f t="shared" si="17"/>
        <v>2.7217741935483871E-2</v>
      </c>
    </row>
    <row r="28" spans="1:22" ht="15.75" customHeight="1">
      <c r="B28" s="6">
        <v>2</v>
      </c>
      <c r="C28" s="20">
        <v>935</v>
      </c>
      <c r="D28" s="9">
        <v>62.3</v>
      </c>
      <c r="E28" s="8">
        <f t="shared" si="13"/>
        <v>0.12560483870967742</v>
      </c>
      <c r="F28" s="41">
        <v>0.77400000000000002</v>
      </c>
      <c r="G28" s="9">
        <v>835</v>
      </c>
      <c r="H28" s="9">
        <v>29.6</v>
      </c>
      <c r="I28" s="8">
        <f t="shared" si="14"/>
        <v>5.9677419354838709E-2</v>
      </c>
      <c r="J28" s="41">
        <v>0.94699999999999995</v>
      </c>
      <c r="K28" s="20">
        <v>700</v>
      </c>
      <c r="L28" s="41">
        <v>32</v>
      </c>
      <c r="M28" s="8">
        <f t="shared" si="15"/>
        <v>6.4516129032258063E-2</v>
      </c>
      <c r="N28" s="41">
        <v>0.93400000000000005</v>
      </c>
      <c r="O28" s="20">
        <v>590</v>
      </c>
      <c r="P28" s="41">
        <v>30.2</v>
      </c>
      <c r="Q28" s="8">
        <f t="shared" si="16"/>
        <v>6.0887096774193544E-2</v>
      </c>
      <c r="R28" s="41">
        <v>0.94299999999999995</v>
      </c>
      <c r="S28" s="20">
        <v>495</v>
      </c>
      <c r="T28" s="41">
        <v>27.6</v>
      </c>
      <c r="U28" s="8">
        <f t="shared" si="17"/>
        <v>5.5645161290322584E-2</v>
      </c>
    </row>
    <row r="29" spans="1:22" ht="15.75" customHeight="1">
      <c r="B29" s="6">
        <v>3</v>
      </c>
      <c r="C29" s="20">
        <v>1960</v>
      </c>
      <c r="D29" s="9">
        <v>31.6</v>
      </c>
      <c r="E29" s="8">
        <f t="shared" si="13"/>
        <v>6.3709677419354835E-2</v>
      </c>
      <c r="F29" s="41">
        <v>0.9</v>
      </c>
      <c r="G29" s="9">
        <v>1605</v>
      </c>
      <c r="H29" s="9">
        <v>25.5</v>
      </c>
      <c r="I29" s="8">
        <f t="shared" si="14"/>
        <v>5.1411290322580648E-2</v>
      </c>
      <c r="J29" s="41">
        <v>0.92600000000000005</v>
      </c>
      <c r="K29" s="20">
        <v>1385</v>
      </c>
      <c r="L29" s="41">
        <v>24.6</v>
      </c>
      <c r="M29" s="8">
        <f t="shared" si="15"/>
        <v>4.9596774193548389E-2</v>
      </c>
      <c r="N29" s="41">
        <v>0.92900000000000005</v>
      </c>
      <c r="O29" s="20">
        <v>1190</v>
      </c>
      <c r="P29" s="41">
        <v>24.8</v>
      </c>
      <c r="Q29" s="8">
        <f t="shared" si="16"/>
        <v>0.05</v>
      </c>
      <c r="R29" s="41">
        <v>0.92400000000000004</v>
      </c>
      <c r="S29" s="20">
        <v>975</v>
      </c>
      <c r="T29" s="41">
        <v>23.2</v>
      </c>
      <c r="U29" s="8">
        <f t="shared" si="17"/>
        <v>4.6774193548387098E-2</v>
      </c>
    </row>
    <row r="30" spans="1:22" ht="15.75" customHeight="1">
      <c r="B30" s="6">
        <v>4</v>
      </c>
      <c r="C30" s="20">
        <v>1590</v>
      </c>
      <c r="D30" s="9">
        <v>24</v>
      </c>
      <c r="E30" s="8">
        <f t="shared" si="13"/>
        <v>4.8387096774193547E-2</v>
      </c>
      <c r="F30" s="41">
        <v>0.94799999999999995</v>
      </c>
      <c r="G30" s="9">
        <v>1490</v>
      </c>
      <c r="H30" s="9">
        <v>22.1</v>
      </c>
      <c r="I30" s="8">
        <f t="shared" si="14"/>
        <v>4.4556451612903232E-2</v>
      </c>
      <c r="J30" s="41">
        <v>0.95499999999999996</v>
      </c>
      <c r="K30" s="20">
        <v>1300</v>
      </c>
      <c r="L30" s="41">
        <v>21.5</v>
      </c>
      <c r="M30" s="8">
        <f t="shared" si="15"/>
        <v>4.334677419354839E-2</v>
      </c>
      <c r="N30" s="41">
        <v>0.95799999999999996</v>
      </c>
      <c r="O30" s="20">
        <v>1090</v>
      </c>
      <c r="P30" s="41">
        <v>20.9</v>
      </c>
      <c r="Q30" s="8">
        <f t="shared" si="16"/>
        <v>4.2137096774193548E-2</v>
      </c>
      <c r="R30" s="41">
        <v>0.95899999999999996</v>
      </c>
      <c r="S30" s="20">
        <v>925</v>
      </c>
      <c r="T30" s="41">
        <v>20.7</v>
      </c>
      <c r="U30" s="8">
        <f t="shared" si="17"/>
        <v>4.1733870967741934E-2</v>
      </c>
    </row>
    <row r="31" spans="1:22" ht="15.75" customHeight="1">
      <c r="B31" s="6">
        <v>5</v>
      </c>
      <c r="C31" s="20">
        <v>955</v>
      </c>
      <c r="D31" s="9">
        <v>29.1</v>
      </c>
      <c r="E31" s="8">
        <f t="shared" si="13"/>
        <v>5.8669354838709678E-2</v>
      </c>
      <c r="F31" s="41">
        <v>0.79800000000000004</v>
      </c>
      <c r="G31" s="9">
        <v>850</v>
      </c>
      <c r="H31" s="9">
        <v>21.7</v>
      </c>
      <c r="I31" s="8">
        <f t="shared" si="14"/>
        <v>4.3749999999999997E-2</v>
      </c>
      <c r="J31" s="41">
        <v>0.876</v>
      </c>
      <c r="K31" s="20">
        <v>795</v>
      </c>
      <c r="L31" s="41">
        <v>21.3</v>
      </c>
      <c r="M31" s="8">
        <f t="shared" si="15"/>
        <v>4.2943548387096776E-2</v>
      </c>
      <c r="N31" s="41">
        <v>0.88800000000000001</v>
      </c>
      <c r="O31" s="20">
        <v>685</v>
      </c>
      <c r="P31" s="41">
        <v>23.5</v>
      </c>
      <c r="Q31" s="8">
        <f t="shared" si="16"/>
        <v>4.7379032258064516E-2</v>
      </c>
      <c r="R31" s="41">
        <v>0.86199999999999999</v>
      </c>
      <c r="S31" s="20">
        <v>570</v>
      </c>
      <c r="T31" s="41">
        <v>20.2</v>
      </c>
      <c r="U31" s="8">
        <f t="shared" si="17"/>
        <v>4.0725806451612903E-2</v>
      </c>
    </row>
    <row r="32" spans="1:22" ht="15.75" customHeight="1">
      <c r="B32" s="6">
        <v>6</v>
      </c>
      <c r="C32" s="20">
        <v>1130</v>
      </c>
      <c r="D32" s="9">
        <v>45.2</v>
      </c>
      <c r="E32" s="8">
        <f t="shared" si="13"/>
        <v>9.1129032258064527E-2</v>
      </c>
      <c r="F32" s="41">
        <v>0.879</v>
      </c>
      <c r="G32" s="9">
        <v>1025</v>
      </c>
      <c r="H32" s="9">
        <v>33.4</v>
      </c>
      <c r="I32" s="8">
        <f t="shared" si="14"/>
        <v>6.7338709677419353E-2</v>
      </c>
      <c r="J32" s="41">
        <v>0.92600000000000005</v>
      </c>
      <c r="K32" s="20">
        <v>885</v>
      </c>
      <c r="L32" s="41">
        <v>24.2</v>
      </c>
      <c r="M32" s="8">
        <f t="shared" si="15"/>
        <v>4.8790322580645161E-2</v>
      </c>
      <c r="N32" s="41">
        <v>0.95899999999999996</v>
      </c>
      <c r="O32" s="20">
        <v>710</v>
      </c>
      <c r="P32" s="41">
        <v>22.9</v>
      </c>
      <c r="Q32" s="8">
        <f t="shared" si="16"/>
        <v>4.6169354838709674E-2</v>
      </c>
      <c r="R32" s="41">
        <v>0.96</v>
      </c>
      <c r="S32" s="20">
        <v>610</v>
      </c>
      <c r="T32" s="41">
        <v>22.4</v>
      </c>
      <c r="U32" s="8">
        <f t="shared" si="17"/>
        <v>4.5161290322580643E-2</v>
      </c>
    </row>
    <row r="33" spans="1:22" ht="15.75" customHeight="1">
      <c r="B33" s="6">
        <v>7</v>
      </c>
      <c r="C33" s="20">
        <v>2410</v>
      </c>
      <c r="D33" s="9">
        <v>22.6</v>
      </c>
      <c r="E33" s="8">
        <f t="shared" si="13"/>
        <v>4.5564516129032263E-2</v>
      </c>
      <c r="F33" s="41">
        <v>0.96199999999999997</v>
      </c>
      <c r="G33" s="9">
        <v>2205</v>
      </c>
      <c r="H33" s="9">
        <v>20.8</v>
      </c>
      <c r="I33" s="8">
        <f t="shared" si="14"/>
        <v>4.1935483870967745E-2</v>
      </c>
      <c r="J33" s="41">
        <v>0.96699999999999997</v>
      </c>
      <c r="K33" s="20">
        <v>1990</v>
      </c>
      <c r="L33" s="41">
        <v>19.7</v>
      </c>
      <c r="M33" s="8">
        <f t="shared" si="15"/>
        <v>3.9717741935483872E-2</v>
      </c>
      <c r="N33" s="41">
        <v>0.96799999999999997</v>
      </c>
      <c r="O33" s="20">
        <v>1730</v>
      </c>
      <c r="P33" s="41">
        <v>19</v>
      </c>
      <c r="Q33" s="8">
        <f t="shared" si="16"/>
        <v>3.8306451612903226E-2</v>
      </c>
      <c r="R33" s="41">
        <v>0.97199999999999998</v>
      </c>
      <c r="S33" s="20">
        <v>1430</v>
      </c>
      <c r="T33" s="41">
        <v>19.3</v>
      </c>
      <c r="U33" s="8">
        <f t="shared" si="17"/>
        <v>3.8911290322580644E-2</v>
      </c>
    </row>
    <row r="34" spans="1:22" ht="15.75" customHeight="1">
      <c r="C34" s="20"/>
      <c r="D34" s="9"/>
      <c r="G34" s="9"/>
      <c r="H34" s="9"/>
      <c r="K34" s="20"/>
      <c r="O34" s="20"/>
      <c r="S34" s="20"/>
    </row>
    <row r="35" spans="1:22" ht="15.75" customHeight="1">
      <c r="B35" s="6" t="s">
        <v>4</v>
      </c>
      <c r="C35" s="20"/>
      <c r="D35" s="15">
        <f>SUMPRODUCT(C26:C33,D26:D33)/SUM(C26:C33)</f>
        <v>29.032876190476191</v>
      </c>
      <c r="E35" s="12">
        <f>SUMPRODUCT(C26:C33,E26:E33)/SUM(C26:C33)</f>
        <v>5.8534024577572979E-2</v>
      </c>
      <c r="G35" s="9"/>
      <c r="H35" s="15">
        <f>SUMPRODUCT(G26:G33,H26:H33)/SUM(G26:G33)</f>
        <v>22.478654093441921</v>
      </c>
      <c r="I35" s="12">
        <f>SUMPRODUCT(G26:G33,I26:I33)/SUM(G26:G33)</f>
        <v>4.5319867123874841E-2</v>
      </c>
      <c r="K35" s="20"/>
      <c r="L35" s="15">
        <f>SUMPRODUCT(K26:K33,L26:L33)/SUM(K26:K33)</f>
        <v>20.99926542605289</v>
      </c>
      <c r="M35" s="12">
        <f>SUMPRODUCT(K26:K33,M26:M33)/SUM(K26:K33)</f>
        <v>4.2337228681558252E-2</v>
      </c>
      <c r="O35" s="20"/>
      <c r="P35" s="15">
        <f>SUMPRODUCT(O26:O33,P26:P33)/SUM(O26:O33)</f>
        <v>20.741085714285713</v>
      </c>
      <c r="Q35" s="12">
        <f>SUMPRODUCT(O26:O33,Q26:Q33)/SUM(O26:O33)</f>
        <v>4.1816705069124417E-2</v>
      </c>
      <c r="S35" s="20"/>
      <c r="T35" s="15">
        <f>SUMPRODUCT(S26:S33,T26:T33)/SUM(S26:S33)</f>
        <v>19.974142661179698</v>
      </c>
      <c r="U35" s="12">
        <f>SUMPRODUCT(S26:S33,U26:U33)/SUM(S26:S33)</f>
        <v>4.0270448913668738E-2</v>
      </c>
    </row>
    <row r="36" spans="1:22" ht="15.75" customHeight="1">
      <c r="E36">
        <v>5.55</v>
      </c>
      <c r="I36">
        <v>4.5999999999999996</v>
      </c>
      <c r="M36">
        <v>4.18</v>
      </c>
      <c r="Q36">
        <v>4.08</v>
      </c>
      <c r="U36">
        <v>3.87</v>
      </c>
    </row>
    <row r="37" spans="1:22" ht="15.75" customHeight="1">
      <c r="C37" s="6">
        <f>SUM(C26:C33)</f>
        <v>13125</v>
      </c>
      <c r="G37" s="6">
        <f>SUM(G26:G33)</f>
        <v>11665</v>
      </c>
      <c r="K37" s="6">
        <f>SUM(K26:K33)</f>
        <v>10210</v>
      </c>
      <c r="O37" s="6">
        <f>SUM(O26:O33)</f>
        <v>8750</v>
      </c>
      <c r="S37" s="6">
        <f>SUM(S26:S33)</f>
        <v>7290</v>
      </c>
    </row>
    <row r="38" spans="1:22" ht="15.75" customHeight="1">
      <c r="C38" s="6">
        <f>C37/($B$3-$D$3)</f>
        <v>0.75431034482758619</v>
      </c>
      <c r="G38" s="6">
        <f>G37/($B$3-$D$3)</f>
        <v>0.67040229885057467</v>
      </c>
      <c r="K38" s="6">
        <f>K37/($B$3-$D$3)</f>
        <v>0.58678160919540234</v>
      </c>
      <c r="O38" s="6">
        <f>O37/($B$3-$D$3)</f>
        <v>0.50287356321839083</v>
      </c>
      <c r="S38" s="6">
        <f>S37/($B$3-$D$3)</f>
        <v>0.41896551724137931</v>
      </c>
    </row>
    <row r="39" spans="1:22" ht="15.75" customHeight="1"/>
    <row r="40" spans="1:22" ht="15.75" customHeight="1">
      <c r="A40" s="6" t="s">
        <v>19</v>
      </c>
      <c r="D40" s="32">
        <v>0.1</v>
      </c>
      <c r="E40" s="30"/>
      <c r="F40" s="30"/>
      <c r="G40" s="18"/>
      <c r="H40" s="32">
        <v>0.2</v>
      </c>
      <c r="I40" s="30"/>
      <c r="J40" s="30"/>
      <c r="K40" s="18"/>
      <c r="L40" s="32">
        <v>0.3</v>
      </c>
      <c r="M40" s="30"/>
      <c r="N40" s="30"/>
      <c r="O40" s="18"/>
      <c r="P40" s="32">
        <v>0.4</v>
      </c>
      <c r="Q40" s="30"/>
      <c r="R40" s="30"/>
      <c r="S40" s="18"/>
      <c r="T40" s="32">
        <v>0.5</v>
      </c>
      <c r="U40" s="30"/>
      <c r="V40" s="30"/>
    </row>
    <row r="41" spans="1:22" ht="15.75" customHeight="1">
      <c r="B41" s="3" t="s">
        <v>0</v>
      </c>
      <c r="C41" s="19" t="s">
        <v>17</v>
      </c>
      <c r="D41" s="4" t="s">
        <v>1</v>
      </c>
      <c r="E41" s="3" t="s">
        <v>2</v>
      </c>
      <c r="F41" s="3" t="s">
        <v>3</v>
      </c>
      <c r="G41" s="19" t="s">
        <v>17</v>
      </c>
      <c r="H41" s="4" t="s">
        <v>1</v>
      </c>
      <c r="I41" s="3" t="s">
        <v>2</v>
      </c>
      <c r="J41" s="3" t="s">
        <v>3</v>
      </c>
      <c r="K41" s="19" t="s">
        <v>17</v>
      </c>
      <c r="L41" s="3" t="s">
        <v>1</v>
      </c>
      <c r="M41" s="3" t="s">
        <v>2</v>
      </c>
      <c r="N41" s="3" t="s">
        <v>3</v>
      </c>
      <c r="O41" s="19" t="s">
        <v>17</v>
      </c>
      <c r="P41" s="3" t="s">
        <v>1</v>
      </c>
      <c r="Q41" s="3" t="s">
        <v>2</v>
      </c>
      <c r="R41" s="3" t="s">
        <v>3</v>
      </c>
      <c r="S41" s="19" t="s">
        <v>17</v>
      </c>
      <c r="T41" s="3" t="s">
        <v>1</v>
      </c>
      <c r="U41" s="3" t="s">
        <v>2</v>
      </c>
      <c r="V41" s="3" t="s">
        <v>3</v>
      </c>
    </row>
    <row r="42" spans="1:22" ht="15.75" customHeight="1">
      <c r="B42" s="6">
        <v>0</v>
      </c>
      <c r="C42" s="20">
        <v>1300</v>
      </c>
      <c r="D42" s="9">
        <v>24</v>
      </c>
      <c r="E42" s="8">
        <f t="shared" ref="E42:E49" si="18">D42/$A$5</f>
        <v>4.8387096774193547E-2</v>
      </c>
      <c r="F42" s="41">
        <v>0.72599999999999998</v>
      </c>
      <c r="G42" s="9">
        <v>1310</v>
      </c>
      <c r="H42" s="9">
        <v>18.899999999999999</v>
      </c>
      <c r="I42" s="8">
        <f t="shared" ref="I42:I49" si="19">H42/$A$5</f>
        <v>3.8104838709677416E-2</v>
      </c>
      <c r="J42" s="41">
        <v>0.88</v>
      </c>
      <c r="K42" s="20">
        <v>1620</v>
      </c>
      <c r="L42" s="41">
        <v>19.3</v>
      </c>
      <c r="M42" s="8">
        <f t="shared" ref="M42:M49" si="20">L42/$A$5</f>
        <v>3.8911290322580644E-2</v>
      </c>
      <c r="N42" s="41">
        <v>0.92900000000000005</v>
      </c>
      <c r="O42" s="20">
        <v>1345</v>
      </c>
      <c r="P42" s="41">
        <v>20.100000000000001</v>
      </c>
      <c r="Q42" s="8">
        <f t="shared" ref="Q42:Q49" si="21">P42/$A$5</f>
        <v>4.05241935483871E-2</v>
      </c>
      <c r="R42" s="41">
        <v>0.92600000000000005</v>
      </c>
      <c r="S42" s="20">
        <v>1125</v>
      </c>
      <c r="T42" s="41">
        <v>19.899999999999999</v>
      </c>
      <c r="U42" s="8">
        <f t="shared" ref="U42:U49" si="22">T42/$A$5</f>
        <v>4.0120967741935479E-2</v>
      </c>
      <c r="V42" s="41">
        <v>0.92700000000000005</v>
      </c>
    </row>
    <row r="43" spans="1:22" ht="15.75" customHeight="1">
      <c r="B43" s="6">
        <v>1</v>
      </c>
      <c r="C43" s="20">
        <v>2820</v>
      </c>
      <c r="D43" s="9">
        <v>21.4</v>
      </c>
      <c r="E43" s="8">
        <f t="shared" si="18"/>
        <v>4.314516129032258E-2</v>
      </c>
      <c r="F43" s="41">
        <v>0.91900000000000004</v>
      </c>
      <c r="G43" s="9">
        <v>2375</v>
      </c>
      <c r="H43" s="9">
        <v>17</v>
      </c>
      <c r="I43" s="8">
        <f t="shared" si="19"/>
        <v>3.4274193548387094E-2</v>
      </c>
      <c r="J43" s="41">
        <v>0.92400000000000004</v>
      </c>
      <c r="K43" s="20">
        <v>1675</v>
      </c>
      <c r="L43" s="41">
        <v>13.2</v>
      </c>
      <c r="M43" s="8">
        <f t="shared" si="20"/>
        <v>2.661290322580645E-2</v>
      </c>
      <c r="N43" s="41">
        <v>0.88400000000000001</v>
      </c>
      <c r="O43" s="20">
        <v>1460</v>
      </c>
      <c r="P43" s="41">
        <v>13.5</v>
      </c>
      <c r="Q43" s="8">
        <f t="shared" si="21"/>
        <v>2.7217741935483871E-2</v>
      </c>
      <c r="R43" s="41">
        <v>0.879</v>
      </c>
      <c r="S43" s="20">
        <v>1170</v>
      </c>
      <c r="T43" s="41">
        <v>13.9</v>
      </c>
      <c r="U43" s="8">
        <f t="shared" si="22"/>
        <v>2.8024193548387099E-2</v>
      </c>
      <c r="V43" s="41">
        <v>0.872</v>
      </c>
    </row>
    <row r="44" spans="1:22" ht="15.75" customHeight="1">
      <c r="B44" s="6">
        <v>2</v>
      </c>
      <c r="C44" s="20">
        <v>925</v>
      </c>
      <c r="D44" s="9">
        <v>32</v>
      </c>
      <c r="E44" s="8">
        <f t="shared" si="18"/>
        <v>6.4516129032258063E-2</v>
      </c>
      <c r="F44" s="41">
        <v>0.93799999999999994</v>
      </c>
      <c r="G44" s="9">
        <v>785</v>
      </c>
      <c r="H44" s="9">
        <v>26.8</v>
      </c>
      <c r="I44" s="8">
        <f t="shared" si="19"/>
        <v>5.4032258064516128E-2</v>
      </c>
      <c r="J44" s="41">
        <v>0.95399999999999996</v>
      </c>
      <c r="K44" s="20">
        <v>630</v>
      </c>
      <c r="L44" s="41">
        <v>32.200000000000003</v>
      </c>
      <c r="M44" s="8">
        <f t="shared" si="20"/>
        <v>6.4919354838709684E-2</v>
      </c>
      <c r="N44" s="41">
        <v>0.94099999999999995</v>
      </c>
      <c r="O44" s="20">
        <v>535</v>
      </c>
      <c r="P44" s="41">
        <v>26.4</v>
      </c>
      <c r="Q44" s="8">
        <f t="shared" si="21"/>
        <v>5.32258064516129E-2</v>
      </c>
      <c r="R44" s="41">
        <v>0.95299999999999996</v>
      </c>
      <c r="S44" s="20">
        <v>465</v>
      </c>
      <c r="T44" s="41">
        <v>26.5</v>
      </c>
      <c r="U44" s="8">
        <f t="shared" si="22"/>
        <v>5.3427419354838711E-2</v>
      </c>
      <c r="V44" s="41">
        <v>0.95199999999999996</v>
      </c>
    </row>
    <row r="45" spans="1:22" ht="15.75" customHeight="1">
      <c r="B45" s="6">
        <v>3</v>
      </c>
      <c r="C45" s="20">
        <v>1835</v>
      </c>
      <c r="D45" s="9">
        <v>32.6</v>
      </c>
      <c r="E45" s="8">
        <f t="shared" si="18"/>
        <v>6.5725806451612911E-2</v>
      </c>
      <c r="F45" s="41">
        <v>0.89500000000000002</v>
      </c>
      <c r="G45" s="9">
        <v>1650</v>
      </c>
      <c r="H45" s="9">
        <v>25.5</v>
      </c>
      <c r="I45" s="8">
        <f t="shared" si="19"/>
        <v>5.1411290322580648E-2</v>
      </c>
      <c r="J45" s="41">
        <v>0.92600000000000005</v>
      </c>
      <c r="K45" s="20">
        <v>1480</v>
      </c>
      <c r="L45" s="41">
        <v>23.4</v>
      </c>
      <c r="M45" s="8">
        <f t="shared" si="20"/>
        <v>4.7177419354838705E-2</v>
      </c>
      <c r="N45" s="41">
        <v>0.93100000000000005</v>
      </c>
      <c r="O45" s="20">
        <v>1205</v>
      </c>
      <c r="P45" s="41">
        <v>21.5</v>
      </c>
      <c r="Q45" s="8">
        <f t="shared" si="21"/>
        <v>4.334677419354839E-2</v>
      </c>
      <c r="R45" s="41">
        <v>0.94099999999999995</v>
      </c>
      <c r="S45" s="20">
        <v>1020</v>
      </c>
      <c r="T45" s="41">
        <v>20.8</v>
      </c>
      <c r="U45" s="8">
        <f t="shared" si="22"/>
        <v>4.1935483870967745E-2</v>
      </c>
      <c r="V45" s="41">
        <v>0.94699999999999995</v>
      </c>
    </row>
    <row r="46" spans="1:22" ht="15.75" customHeight="1">
      <c r="B46" s="6">
        <v>4</v>
      </c>
      <c r="C46" s="20">
        <v>1695</v>
      </c>
      <c r="D46" s="9">
        <v>29.5</v>
      </c>
      <c r="E46" s="8">
        <f t="shared" si="18"/>
        <v>5.9475806451612906E-2</v>
      </c>
      <c r="F46" s="41">
        <v>0.92200000000000004</v>
      </c>
      <c r="G46" s="9">
        <v>1535</v>
      </c>
      <c r="H46" s="9">
        <v>23.6</v>
      </c>
      <c r="I46" s="8">
        <f t="shared" si="19"/>
        <v>4.7580645161290326E-2</v>
      </c>
      <c r="J46" s="41">
        <v>0.95299999999999996</v>
      </c>
      <c r="K46" s="20">
        <v>1230</v>
      </c>
      <c r="L46" s="41">
        <v>21</v>
      </c>
      <c r="M46" s="8">
        <f t="shared" si="20"/>
        <v>4.2338709677419352E-2</v>
      </c>
      <c r="N46" s="41">
        <v>0.96199999999999997</v>
      </c>
      <c r="O46" s="20">
        <v>1100</v>
      </c>
      <c r="P46" s="41">
        <v>21.1</v>
      </c>
      <c r="Q46" s="8">
        <f t="shared" si="21"/>
        <v>4.2540322580645162E-2</v>
      </c>
      <c r="R46" s="41">
        <v>0.96199999999999997</v>
      </c>
      <c r="S46" s="20">
        <v>880</v>
      </c>
      <c r="T46" s="41">
        <v>21.4</v>
      </c>
      <c r="U46" s="8">
        <f t="shared" si="22"/>
        <v>4.314516129032258E-2</v>
      </c>
      <c r="V46" s="41">
        <v>0.96099999999999997</v>
      </c>
    </row>
    <row r="47" spans="1:22" ht="15.75" customHeight="1">
      <c r="B47" s="6">
        <v>5</v>
      </c>
      <c r="C47" s="20">
        <v>930</v>
      </c>
      <c r="D47" s="9">
        <v>27.7</v>
      </c>
      <c r="E47" s="8">
        <f t="shared" si="18"/>
        <v>5.5846774193548387E-2</v>
      </c>
      <c r="F47" s="41">
        <v>0.83799999999999997</v>
      </c>
      <c r="G47" s="9">
        <v>840</v>
      </c>
      <c r="H47" s="9">
        <v>22.3</v>
      </c>
      <c r="I47" s="8">
        <f t="shared" si="19"/>
        <v>4.4959677419354839E-2</v>
      </c>
      <c r="J47" s="41">
        <v>0.878</v>
      </c>
      <c r="K47" s="20">
        <v>745</v>
      </c>
      <c r="L47" s="41">
        <v>21.5</v>
      </c>
      <c r="M47" s="8">
        <f t="shared" si="20"/>
        <v>4.334677419354839E-2</v>
      </c>
      <c r="N47" s="41">
        <v>0.86199999999999999</v>
      </c>
      <c r="O47" s="20">
        <v>660</v>
      </c>
      <c r="P47" s="41">
        <v>19.100000000000001</v>
      </c>
      <c r="Q47" s="8">
        <f t="shared" si="21"/>
        <v>3.8508064516129037E-2</v>
      </c>
      <c r="R47" s="41">
        <v>0.92400000000000004</v>
      </c>
      <c r="S47" s="20">
        <v>590</v>
      </c>
      <c r="T47" s="41">
        <v>18.7</v>
      </c>
      <c r="U47" s="8">
        <f t="shared" si="22"/>
        <v>3.7701612903225802E-2</v>
      </c>
      <c r="V47" s="41">
        <v>0.92900000000000005</v>
      </c>
    </row>
    <row r="48" spans="1:22" ht="15.75" customHeight="1">
      <c r="B48" s="6">
        <v>6</v>
      </c>
      <c r="C48" s="20">
        <v>1240</v>
      </c>
      <c r="D48" s="9">
        <v>35.700000000000003</v>
      </c>
      <c r="E48" s="8">
        <f t="shared" si="18"/>
        <v>7.1975806451612903E-2</v>
      </c>
      <c r="F48" s="41">
        <v>0.90600000000000003</v>
      </c>
      <c r="G48" s="9">
        <v>1075</v>
      </c>
      <c r="H48" s="9">
        <v>29</v>
      </c>
      <c r="I48" s="8">
        <f t="shared" si="19"/>
        <v>5.8467741935483868E-2</v>
      </c>
      <c r="J48" s="41">
        <v>0.93799999999999994</v>
      </c>
      <c r="K48" s="20">
        <v>920</v>
      </c>
      <c r="L48" s="41">
        <v>25.7</v>
      </c>
      <c r="M48" s="8">
        <f t="shared" si="20"/>
        <v>5.1814516129032255E-2</v>
      </c>
      <c r="N48" s="41">
        <v>0.95199999999999996</v>
      </c>
      <c r="O48" s="20">
        <v>805</v>
      </c>
      <c r="P48" s="41">
        <v>23.7</v>
      </c>
      <c r="Q48" s="8">
        <f t="shared" si="21"/>
        <v>4.778225806451613E-2</v>
      </c>
      <c r="R48" s="41">
        <v>0.95799999999999996</v>
      </c>
      <c r="S48" s="20">
        <v>680</v>
      </c>
      <c r="T48" s="41">
        <v>23.1</v>
      </c>
      <c r="U48" s="8">
        <f t="shared" si="22"/>
        <v>4.6572580645161295E-2</v>
      </c>
      <c r="V48" s="41">
        <v>0.95799999999999996</v>
      </c>
    </row>
    <row r="49" spans="1:22" ht="15.75" customHeight="1">
      <c r="B49" s="6">
        <v>7</v>
      </c>
      <c r="C49" s="20">
        <v>2380</v>
      </c>
      <c r="D49" s="9">
        <v>27</v>
      </c>
      <c r="E49" s="8">
        <f t="shared" si="18"/>
        <v>5.4435483870967742E-2</v>
      </c>
      <c r="F49" s="41">
        <v>0.94799999999999995</v>
      </c>
      <c r="G49" s="9">
        <v>2095</v>
      </c>
      <c r="H49" s="9">
        <v>20.9</v>
      </c>
      <c r="I49" s="8">
        <f t="shared" si="19"/>
        <v>4.2137096774193548E-2</v>
      </c>
      <c r="J49" s="41">
        <v>0.96499999999999997</v>
      </c>
      <c r="K49" s="20">
        <v>1910</v>
      </c>
      <c r="L49" s="41">
        <v>18.8</v>
      </c>
      <c r="M49" s="8">
        <f t="shared" si="20"/>
        <v>3.7903225806451613E-2</v>
      </c>
      <c r="N49" s="41">
        <v>0.96799999999999997</v>
      </c>
      <c r="O49" s="20">
        <v>1640</v>
      </c>
      <c r="P49" s="41">
        <v>18.8</v>
      </c>
      <c r="Q49" s="8">
        <f t="shared" si="21"/>
        <v>3.7903225806451613E-2</v>
      </c>
      <c r="R49" s="41">
        <v>0.96699999999999997</v>
      </c>
      <c r="S49" s="20">
        <v>1360</v>
      </c>
      <c r="T49" s="41">
        <v>19</v>
      </c>
      <c r="U49" s="8">
        <f t="shared" si="22"/>
        <v>3.8306451612903226E-2</v>
      </c>
      <c r="V49" s="41">
        <v>0.96499999999999997</v>
      </c>
    </row>
    <row r="50" spans="1:22" ht="15.75" customHeight="1">
      <c r="C50" s="20"/>
      <c r="D50" s="9"/>
      <c r="G50" s="9"/>
      <c r="H50" s="9"/>
      <c r="K50" s="20"/>
      <c r="O50" s="20"/>
      <c r="S50" s="20"/>
    </row>
    <row r="51" spans="1:22" ht="15.75" customHeight="1">
      <c r="B51" s="6" t="s">
        <v>4</v>
      </c>
      <c r="C51" s="20"/>
      <c r="D51" s="15">
        <f>SUMPRODUCT(C42:C49,D42:D49)/SUM(C42:C49)</f>
        <v>27.829371428571427</v>
      </c>
      <c r="E51" s="12">
        <f>SUMPRODUCT(C42:C49,E42:E49)/SUM(C42:C49)</f>
        <v>5.6107603686635948E-2</v>
      </c>
      <c r="G51" s="9"/>
      <c r="H51" s="15">
        <f>SUMPRODUCT(G42:G49,H42:H49)/SUM(G42:G49)</f>
        <v>22.131633090441493</v>
      </c>
      <c r="I51" s="12">
        <f>SUMPRODUCT(G42:G49,I42:I49)/SUM(G42:G49)</f>
        <v>4.4620228004922366E-2</v>
      </c>
      <c r="K51" s="20"/>
      <c r="L51" s="15">
        <f>SUMPRODUCT(K42:K49,L42:L49)/SUM(K42:K49)</f>
        <v>20.538050930460333</v>
      </c>
      <c r="M51" s="12">
        <f>SUMPRODUCT(K42:K49,M42:M49)/SUM(K42:K49)</f>
        <v>4.1407360746895827E-2</v>
      </c>
      <c r="O51" s="20"/>
      <c r="P51" s="15">
        <f>SUMPRODUCT(O42:O49,P42:P49)/SUM(O42:O49)</f>
        <v>19.714571428571428</v>
      </c>
      <c r="Q51" s="12">
        <f>SUMPRODUCT(O42:O49,Q42:Q49)/SUM(O42:O49)</f>
        <v>3.9747119815668204E-2</v>
      </c>
      <c r="S51" s="20"/>
      <c r="T51" s="15">
        <f>SUMPRODUCT(S42:S49,T42:T49)/SUM(S42:S49)</f>
        <v>19.69849108367627</v>
      </c>
      <c r="U51" s="12">
        <f>SUMPRODUCT(S42:S49,U42:U49)/SUM(S42:S49)</f>
        <v>3.9714699765476355E-2</v>
      </c>
    </row>
    <row r="52" spans="1:22" ht="15.75" customHeight="1">
      <c r="E52">
        <v>5.58</v>
      </c>
      <c r="I52">
        <v>4.5599999999999996</v>
      </c>
      <c r="M52">
        <v>4.1500000000000004</v>
      </c>
      <c r="Q52">
        <v>4.08</v>
      </c>
      <c r="U52">
        <v>3.88</v>
      </c>
    </row>
    <row r="53" spans="1:22" ht="15.75" customHeight="1">
      <c r="C53" s="6">
        <f>SUM(C42:C49)</f>
        <v>13125</v>
      </c>
      <c r="G53" s="6">
        <f>SUM(G42:G49)</f>
        <v>11665</v>
      </c>
      <c r="K53" s="6">
        <f>SUM(K42:K49)</f>
        <v>10210</v>
      </c>
      <c r="O53" s="6">
        <f>SUM(O42:O49)</f>
        <v>8750</v>
      </c>
      <c r="S53" s="6">
        <f>SUM(S42:S49)</f>
        <v>7290</v>
      </c>
    </row>
    <row r="54" spans="1:22" ht="15.75" customHeight="1">
      <c r="C54" s="6">
        <f>C53/($B$3-$D$3)</f>
        <v>0.75431034482758619</v>
      </c>
      <c r="G54" s="6">
        <f>G53/($B$3-$D$3)</f>
        <v>0.67040229885057467</v>
      </c>
      <c r="K54" s="6">
        <f>K53/($B$3-$D$3)</f>
        <v>0.58678160919540234</v>
      </c>
      <c r="O54" s="6">
        <f>O53/($B$3-$D$3)</f>
        <v>0.50287356321839083</v>
      </c>
      <c r="S54" s="6">
        <f>S53/($B$3-$D$3)</f>
        <v>0.41896551724137931</v>
      </c>
    </row>
    <row r="55" spans="1:22" ht="15.75" customHeight="1"/>
    <row r="56" spans="1:22" ht="15.75" customHeight="1">
      <c r="A56" s="6" t="s">
        <v>20</v>
      </c>
      <c r="D56" s="32">
        <v>0.1</v>
      </c>
      <c r="E56" s="30"/>
      <c r="F56" s="30"/>
      <c r="G56" s="18"/>
      <c r="H56" s="32">
        <v>0.2</v>
      </c>
      <c r="I56" s="30"/>
      <c r="J56" s="30"/>
      <c r="K56" s="18"/>
      <c r="L56" s="32">
        <v>0.3</v>
      </c>
      <c r="M56" s="30"/>
      <c r="N56" s="30"/>
      <c r="O56" s="18"/>
      <c r="P56" s="32">
        <v>0.4</v>
      </c>
      <c r="Q56" s="30"/>
      <c r="R56" s="30"/>
      <c r="S56" s="18"/>
      <c r="T56" s="32">
        <v>0.5</v>
      </c>
      <c r="U56" s="30"/>
      <c r="V56" s="30"/>
    </row>
    <row r="57" spans="1:22" ht="15.75" customHeight="1">
      <c r="B57" s="3" t="s">
        <v>0</v>
      </c>
      <c r="C57" s="19" t="s">
        <v>17</v>
      </c>
      <c r="D57" s="4" t="s">
        <v>1</v>
      </c>
      <c r="E57" s="3" t="s">
        <v>2</v>
      </c>
      <c r="F57" s="3" t="s">
        <v>3</v>
      </c>
      <c r="G57" s="19" t="s">
        <v>17</v>
      </c>
      <c r="H57" s="4" t="s">
        <v>1</v>
      </c>
      <c r="I57" s="3" t="s">
        <v>2</v>
      </c>
      <c r="J57" s="3" t="s">
        <v>3</v>
      </c>
      <c r="K57" s="19" t="s">
        <v>17</v>
      </c>
      <c r="L57" s="3" t="s">
        <v>1</v>
      </c>
      <c r="M57" s="3" t="s">
        <v>2</v>
      </c>
      <c r="N57" s="3" t="s">
        <v>3</v>
      </c>
      <c r="O57" s="19" t="s">
        <v>17</v>
      </c>
      <c r="P57" s="3" t="s">
        <v>1</v>
      </c>
      <c r="Q57" s="3" t="s">
        <v>2</v>
      </c>
      <c r="R57" s="3" t="s">
        <v>3</v>
      </c>
      <c r="S57" s="19" t="s">
        <v>17</v>
      </c>
      <c r="T57" s="3" t="s">
        <v>1</v>
      </c>
      <c r="U57" s="3" t="s">
        <v>2</v>
      </c>
      <c r="V57" s="3" t="s">
        <v>3</v>
      </c>
    </row>
    <row r="58" spans="1:22" ht="15.75" customHeight="1">
      <c r="B58" s="6">
        <v>0</v>
      </c>
      <c r="C58" s="20">
        <v>1645</v>
      </c>
      <c r="D58" s="9">
        <v>24.7</v>
      </c>
      <c r="E58" s="8">
        <f t="shared" ref="E58:E65" si="23">D58/$A$5</f>
        <v>4.9798387096774192E-2</v>
      </c>
      <c r="F58" s="41">
        <v>0.80800000000000005</v>
      </c>
      <c r="G58" s="9">
        <v>1715</v>
      </c>
      <c r="H58" s="9">
        <v>19.8</v>
      </c>
      <c r="I58" s="8">
        <f t="shared" ref="I58:I65" si="24">H58/$A$5</f>
        <v>3.9919354838709682E-2</v>
      </c>
      <c r="J58" s="41">
        <v>0.90800000000000003</v>
      </c>
      <c r="K58" s="20">
        <v>1435</v>
      </c>
      <c r="L58" s="41">
        <v>17.7</v>
      </c>
      <c r="M58" s="8">
        <f t="shared" ref="M58:M65" si="25">L58/$A$5</f>
        <v>3.5685483870967739E-2</v>
      </c>
      <c r="N58" s="41">
        <v>0.92100000000000004</v>
      </c>
      <c r="O58" s="20">
        <v>1305</v>
      </c>
      <c r="P58" s="41">
        <v>19.600000000000001</v>
      </c>
      <c r="Q58" s="8">
        <f t="shared" ref="Q58:Q65" si="26">P58/$A$5</f>
        <v>3.9516129032258068E-2</v>
      </c>
      <c r="R58" s="41">
        <v>0.91800000000000004</v>
      </c>
      <c r="S58" s="20">
        <v>1075</v>
      </c>
      <c r="T58" s="41">
        <v>19.5</v>
      </c>
      <c r="U58" s="8">
        <f t="shared" ref="U58:U65" si="27">T58/$A$5</f>
        <v>3.9314516129032258E-2</v>
      </c>
      <c r="V58" s="41">
        <v>0.92200000000000004</v>
      </c>
    </row>
    <row r="59" spans="1:22" ht="15.75" customHeight="1">
      <c r="B59" s="6">
        <v>1</v>
      </c>
      <c r="C59" s="20">
        <v>2485</v>
      </c>
      <c r="D59" s="9">
        <v>23.4</v>
      </c>
      <c r="E59" s="8">
        <f t="shared" si="23"/>
        <v>4.7177419354838705E-2</v>
      </c>
      <c r="F59" s="41">
        <v>0.871</v>
      </c>
      <c r="G59" s="9">
        <v>1955</v>
      </c>
      <c r="H59" s="9">
        <v>16.2</v>
      </c>
      <c r="I59" s="8">
        <f t="shared" si="24"/>
        <v>3.2661290322580645E-2</v>
      </c>
      <c r="J59" s="41">
        <v>0.872</v>
      </c>
      <c r="K59" s="20">
        <v>1780</v>
      </c>
      <c r="L59" s="41">
        <v>15.3</v>
      </c>
      <c r="M59" s="8">
        <f t="shared" si="25"/>
        <v>3.084677419354839E-2</v>
      </c>
      <c r="N59" s="41">
        <v>0.88800000000000001</v>
      </c>
      <c r="O59" s="20">
        <v>1440</v>
      </c>
      <c r="P59" s="41">
        <v>13.5</v>
      </c>
      <c r="Q59" s="8">
        <f t="shared" si="26"/>
        <v>2.7217741935483871E-2</v>
      </c>
      <c r="R59" s="41">
        <v>0.88500000000000001</v>
      </c>
      <c r="S59" s="20">
        <v>1220</v>
      </c>
      <c r="T59" s="41">
        <v>13.4</v>
      </c>
      <c r="U59" s="8">
        <f t="shared" si="27"/>
        <v>2.7016129032258064E-2</v>
      </c>
      <c r="V59" s="41">
        <v>0.88600000000000001</v>
      </c>
    </row>
    <row r="60" spans="1:22" ht="15.75" customHeight="1">
      <c r="B60" s="6">
        <v>2</v>
      </c>
      <c r="C60" s="20">
        <v>880</v>
      </c>
      <c r="D60" s="9">
        <v>44.2</v>
      </c>
      <c r="E60" s="8">
        <f t="shared" si="23"/>
        <v>8.9112903225806464E-2</v>
      </c>
      <c r="F60" s="41">
        <v>0.89200000000000002</v>
      </c>
      <c r="G60" s="9">
        <v>760</v>
      </c>
      <c r="H60" s="9">
        <v>42.6</v>
      </c>
      <c r="I60" s="8">
        <f t="shared" si="24"/>
        <v>8.5887096774193553E-2</v>
      </c>
      <c r="J60" s="41">
        <v>0.89600000000000002</v>
      </c>
      <c r="K60" s="20">
        <v>660</v>
      </c>
      <c r="L60" s="41">
        <v>30.9</v>
      </c>
      <c r="M60" s="8">
        <f t="shared" si="25"/>
        <v>6.229838709677419E-2</v>
      </c>
      <c r="N60" s="41">
        <v>0.94499999999999995</v>
      </c>
      <c r="O60" s="20">
        <v>550</v>
      </c>
      <c r="P60" s="41">
        <v>24.6</v>
      </c>
      <c r="Q60" s="8">
        <f t="shared" si="26"/>
        <v>4.9596774193548389E-2</v>
      </c>
      <c r="R60" s="41">
        <v>0.96099999999999997</v>
      </c>
      <c r="S60" s="20">
        <v>475</v>
      </c>
      <c r="T60" s="41">
        <v>23.6</v>
      </c>
      <c r="U60" s="8">
        <f t="shared" si="27"/>
        <v>4.7580645161290326E-2</v>
      </c>
      <c r="V60" s="41">
        <v>0.96299999999999997</v>
      </c>
    </row>
    <row r="61" spans="1:22" ht="15.75" customHeight="1">
      <c r="B61" s="6">
        <v>3</v>
      </c>
      <c r="C61" s="20">
        <v>1895</v>
      </c>
      <c r="D61" s="9">
        <v>33.799999999999997</v>
      </c>
      <c r="E61" s="8">
        <f t="shared" si="23"/>
        <v>6.8145161290322581E-2</v>
      </c>
      <c r="F61" s="41">
        <v>0.876</v>
      </c>
      <c r="G61" s="9">
        <v>1735</v>
      </c>
      <c r="H61" s="9">
        <v>24.8</v>
      </c>
      <c r="I61" s="8">
        <f t="shared" si="24"/>
        <v>0.05</v>
      </c>
      <c r="J61" s="41">
        <v>0.93</v>
      </c>
      <c r="K61" s="20">
        <v>1520</v>
      </c>
      <c r="L61" s="41">
        <v>23.6</v>
      </c>
      <c r="M61" s="8">
        <f t="shared" si="25"/>
        <v>4.7580645161290326E-2</v>
      </c>
      <c r="N61" s="41">
        <v>0.93799999999999994</v>
      </c>
      <c r="O61" s="20">
        <v>1255</v>
      </c>
      <c r="P61" s="41">
        <v>22.5</v>
      </c>
      <c r="Q61" s="8">
        <f t="shared" si="26"/>
        <v>4.5362903225806453E-2</v>
      </c>
      <c r="R61" s="41">
        <v>0.94</v>
      </c>
      <c r="S61" s="20">
        <v>1045</v>
      </c>
      <c r="T61" s="41">
        <v>21.5</v>
      </c>
      <c r="U61" s="8">
        <f t="shared" si="27"/>
        <v>4.334677419354839E-2</v>
      </c>
      <c r="V61" s="41">
        <v>0.94499999999999995</v>
      </c>
    </row>
    <row r="62" spans="1:22" ht="15.75" customHeight="1">
      <c r="B62" s="6">
        <v>4</v>
      </c>
      <c r="C62" s="20">
        <v>1650</v>
      </c>
      <c r="D62" s="9">
        <v>27.1</v>
      </c>
      <c r="E62" s="8">
        <f t="shared" si="23"/>
        <v>5.4637096774193553E-2</v>
      </c>
      <c r="F62" s="41">
        <v>0.93799999999999994</v>
      </c>
      <c r="G62" s="9">
        <v>1345</v>
      </c>
      <c r="H62" s="9">
        <v>20.5</v>
      </c>
      <c r="I62" s="8">
        <f t="shared" si="24"/>
        <v>4.1330645161290321E-2</v>
      </c>
      <c r="J62" s="41">
        <v>0.96399999999999997</v>
      </c>
      <c r="K62" s="20">
        <v>1195</v>
      </c>
      <c r="L62" s="41">
        <v>19.399999999999999</v>
      </c>
      <c r="M62" s="8">
        <f t="shared" si="25"/>
        <v>3.9112903225806447E-2</v>
      </c>
      <c r="N62" s="41">
        <v>0.96899999999999997</v>
      </c>
      <c r="O62" s="20">
        <v>980</v>
      </c>
      <c r="P62" s="41">
        <v>19.7</v>
      </c>
      <c r="Q62" s="8">
        <f t="shared" si="26"/>
        <v>3.9717741935483872E-2</v>
      </c>
      <c r="R62" s="41">
        <v>0.96899999999999997</v>
      </c>
      <c r="S62" s="20">
        <v>785</v>
      </c>
      <c r="T62" s="41">
        <v>20.8</v>
      </c>
      <c r="U62" s="8">
        <f t="shared" si="27"/>
        <v>4.1935483870967745E-2</v>
      </c>
      <c r="V62" s="41">
        <v>0.96399999999999997</v>
      </c>
    </row>
    <row r="63" spans="1:22" ht="15.75" customHeight="1">
      <c r="B63" s="6">
        <v>5</v>
      </c>
      <c r="C63" s="20">
        <v>915</v>
      </c>
      <c r="D63" s="9">
        <v>35.200000000000003</v>
      </c>
      <c r="E63" s="8">
        <f t="shared" si="23"/>
        <v>7.0967741935483872E-2</v>
      </c>
      <c r="F63" s="41">
        <v>0.69399999999999995</v>
      </c>
      <c r="G63" s="9">
        <v>855</v>
      </c>
      <c r="H63" s="9">
        <v>26.5</v>
      </c>
      <c r="I63" s="8">
        <f t="shared" si="24"/>
        <v>5.3427419354838711E-2</v>
      </c>
      <c r="J63" s="41">
        <v>0.80400000000000005</v>
      </c>
      <c r="K63" s="20">
        <v>730</v>
      </c>
      <c r="L63" s="41">
        <v>27.1</v>
      </c>
      <c r="M63" s="8">
        <f t="shared" si="25"/>
        <v>5.4637096774193553E-2</v>
      </c>
      <c r="N63" s="41">
        <v>0.81899999999999995</v>
      </c>
      <c r="O63" s="20">
        <v>685</v>
      </c>
      <c r="P63" s="41">
        <v>24</v>
      </c>
      <c r="Q63" s="8">
        <f t="shared" si="26"/>
        <v>4.8387096774193547E-2</v>
      </c>
      <c r="R63" s="41">
        <v>0.87</v>
      </c>
      <c r="S63" s="20">
        <v>575</v>
      </c>
      <c r="T63" s="41">
        <v>22</v>
      </c>
      <c r="U63" s="8">
        <f t="shared" si="27"/>
        <v>4.4354838709677422E-2</v>
      </c>
      <c r="V63" s="41">
        <v>0.88500000000000001</v>
      </c>
    </row>
    <row r="64" spans="1:22" ht="15.75" customHeight="1">
      <c r="B64" s="6">
        <v>6</v>
      </c>
      <c r="C64" s="20">
        <v>1175</v>
      </c>
      <c r="D64" s="9">
        <v>33.6</v>
      </c>
      <c r="E64" s="8">
        <f t="shared" si="23"/>
        <v>6.7741935483870974E-2</v>
      </c>
      <c r="F64" s="41">
        <v>0.91500000000000004</v>
      </c>
      <c r="G64" s="9">
        <v>1030</v>
      </c>
      <c r="H64" s="9">
        <v>25.7</v>
      </c>
      <c r="I64" s="8">
        <f t="shared" si="24"/>
        <v>5.1814516129032255E-2</v>
      </c>
      <c r="J64" s="41">
        <v>0.94599999999999995</v>
      </c>
      <c r="K64" s="20">
        <v>920</v>
      </c>
      <c r="L64" s="41">
        <v>26.3</v>
      </c>
      <c r="M64" s="8">
        <f t="shared" si="25"/>
        <v>5.3024193548387097E-2</v>
      </c>
      <c r="N64" s="41">
        <v>0.94599999999999995</v>
      </c>
      <c r="O64" s="20">
        <v>760</v>
      </c>
      <c r="P64" s="41">
        <v>22.6</v>
      </c>
      <c r="Q64" s="8">
        <f t="shared" si="26"/>
        <v>4.5564516129032263E-2</v>
      </c>
      <c r="R64" s="41">
        <v>0.96099999999999997</v>
      </c>
      <c r="S64" s="20">
        <v>630</v>
      </c>
      <c r="T64" s="41">
        <v>21.6</v>
      </c>
      <c r="U64" s="8">
        <f t="shared" si="27"/>
        <v>4.3548387096774194E-2</v>
      </c>
      <c r="V64" s="41">
        <v>0.96199999999999997</v>
      </c>
    </row>
    <row r="65" spans="2:22" ht="15.75" customHeight="1">
      <c r="B65" s="6">
        <v>7</v>
      </c>
      <c r="C65" s="20">
        <v>2480</v>
      </c>
      <c r="D65" s="9">
        <v>21.5</v>
      </c>
      <c r="E65" s="8">
        <f t="shared" si="23"/>
        <v>4.334677419354839E-2</v>
      </c>
      <c r="F65" s="41">
        <v>0.96199999999999997</v>
      </c>
      <c r="G65" s="9">
        <v>2270</v>
      </c>
      <c r="H65" s="9">
        <v>19.2</v>
      </c>
      <c r="I65" s="8">
        <f t="shared" si="24"/>
        <v>3.870967741935484E-2</v>
      </c>
      <c r="J65" s="41">
        <v>0.97099999999999997</v>
      </c>
      <c r="K65" s="20">
        <v>1970</v>
      </c>
      <c r="L65" s="41">
        <v>18.2</v>
      </c>
      <c r="M65" s="8">
        <f t="shared" si="25"/>
        <v>3.6693548387096771E-2</v>
      </c>
      <c r="N65" s="41">
        <v>0.97199999999999998</v>
      </c>
      <c r="O65" s="20">
        <v>1775</v>
      </c>
      <c r="P65" s="41">
        <v>17.5</v>
      </c>
      <c r="Q65" s="8">
        <f t="shared" si="26"/>
        <v>3.5282258064516132E-2</v>
      </c>
      <c r="R65" s="41">
        <v>0.97399999999999998</v>
      </c>
      <c r="S65" s="20">
        <v>1485</v>
      </c>
      <c r="T65" s="41">
        <v>17.7</v>
      </c>
      <c r="U65" s="8">
        <f t="shared" si="27"/>
        <v>3.5685483870967739E-2</v>
      </c>
      <c r="V65" s="41">
        <v>0.97199999999999998</v>
      </c>
    </row>
    <row r="66" spans="2:22" ht="15.75" customHeight="1">
      <c r="C66" s="20"/>
      <c r="D66" s="9"/>
      <c r="G66" s="9"/>
      <c r="H66" s="9"/>
      <c r="K66" s="20"/>
      <c r="O66" s="20"/>
      <c r="S66" s="20"/>
    </row>
    <row r="67" spans="2:22" ht="15.75" customHeight="1">
      <c r="B67" s="6" t="s">
        <v>4</v>
      </c>
      <c r="C67" s="20"/>
      <c r="D67" s="15">
        <f>SUMPRODUCT(C58:C65,D58:D65)/SUM(C58:C65)</f>
        <v>28.300990476190478</v>
      </c>
      <c r="E67" s="12">
        <f>SUMPRODUCT(C58:C65,E58:E65)/SUM(C58:C65)</f>
        <v>5.7058448540706609E-2</v>
      </c>
      <c r="G67" s="9"/>
      <c r="H67" s="15">
        <f>SUMPRODUCT(G58:G65,H58:H65)/SUM(G58:G65)</f>
        <v>22.401800257179598</v>
      </c>
      <c r="I67" s="12">
        <f>SUMPRODUCT(G58:G65,I58:I65)/SUM(G58:G65)</f>
        <v>4.516491987334597E-2</v>
      </c>
      <c r="K67" s="20"/>
      <c r="L67" s="15">
        <f>SUMPRODUCT(K58:K65,L58:L65)/SUM(K58:K65)</f>
        <v>20.75568070519099</v>
      </c>
      <c r="M67" s="12">
        <f>SUMPRODUCT(K58:K65,M58:M65)/SUM(K58:K65)</f>
        <v>4.1846130454014092E-2</v>
      </c>
      <c r="O67" s="20"/>
      <c r="P67" s="15">
        <f>SUMPRODUCT(O58:O65,P58:P65)/SUM(O58:O65)</f>
        <v>19.516571428571428</v>
      </c>
      <c r="Q67" s="12">
        <f>SUMPRODUCT(O58:O65,Q58:Q65)/SUM(O58:O65)</f>
        <v>3.9347926267281105E-2</v>
      </c>
      <c r="S67" s="20"/>
      <c r="T67" s="15">
        <f>SUMPRODUCT(S58:S65,T58:T65)/SUM(S58:S65)</f>
        <v>19.184979423868313</v>
      </c>
      <c r="U67" s="12">
        <f>SUMPRODUCT(S58:S65,U58:U65)/SUM(S58:S65)</f>
        <v>3.8679393999734503E-2</v>
      </c>
    </row>
    <row r="68" spans="2:22" ht="15.75" customHeight="1">
      <c r="E68">
        <v>5.57</v>
      </c>
      <c r="I68">
        <v>4.55</v>
      </c>
      <c r="M68">
        <v>4.2</v>
      </c>
      <c r="Q68">
        <v>4.07</v>
      </c>
      <c r="U68">
        <v>3.88</v>
      </c>
    </row>
    <row r="69" spans="2:22" ht="15.75" customHeight="1">
      <c r="C69" s="6">
        <f>SUM(C58:C65)</f>
        <v>13125</v>
      </c>
      <c r="G69" s="6">
        <f>SUM(G58:G65)</f>
        <v>11665</v>
      </c>
      <c r="K69" s="6">
        <f>SUM(K58:K65)</f>
        <v>10210</v>
      </c>
      <c r="O69" s="6">
        <f>SUM(O58:O65)</f>
        <v>8750</v>
      </c>
      <c r="S69" s="6">
        <f>SUM(S58:S65)</f>
        <v>7290</v>
      </c>
    </row>
    <row r="70" spans="2:22" ht="15.75" customHeight="1">
      <c r="C70" s="6">
        <f>C69/($B$3-$D$3)</f>
        <v>0.75431034482758619</v>
      </c>
      <c r="G70" s="6">
        <f>G69/($B$3-$D$3)</f>
        <v>0.67040229885057467</v>
      </c>
      <c r="K70" s="6">
        <f>K69/($B$3-$D$3)</f>
        <v>0.58678160919540234</v>
      </c>
      <c r="O70" s="6">
        <f>O69/($B$3-$D$3)</f>
        <v>0.50287356321839083</v>
      </c>
      <c r="S70" s="6">
        <f>S69/($B$3-$D$3)</f>
        <v>0.41896551724137931</v>
      </c>
    </row>
    <row r="71" spans="2:22" ht="15.75" customHeight="1"/>
    <row r="72" spans="2:22" ht="15.75" customHeight="1"/>
    <row r="73" spans="2:22" ht="15.75" customHeight="1"/>
    <row r="74" spans="2:22" ht="15.75" customHeight="1"/>
    <row r="75" spans="2:22" ht="15.75" customHeight="1"/>
    <row r="76" spans="2:22" ht="15.75" customHeight="1"/>
    <row r="77" spans="2:22" ht="15.75" customHeight="1"/>
    <row r="78" spans="2:22" ht="15.75" customHeight="1"/>
    <row r="79" spans="2:22" ht="15.75" customHeight="1"/>
    <row r="80" spans="2:2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D24:F24"/>
    <mergeCell ref="H24:J24"/>
    <mergeCell ref="T24:V24"/>
    <mergeCell ref="D56:F56"/>
    <mergeCell ref="H56:J56"/>
    <mergeCell ref="L56:N56"/>
    <mergeCell ref="P56:R56"/>
    <mergeCell ref="T56:V56"/>
    <mergeCell ref="L24:N24"/>
    <mergeCell ref="P24:R24"/>
    <mergeCell ref="D40:F40"/>
    <mergeCell ref="H40:J40"/>
    <mergeCell ref="L40:N40"/>
    <mergeCell ref="P40:R40"/>
    <mergeCell ref="T40:V40"/>
    <mergeCell ref="D7:F7"/>
    <mergeCell ref="H7:J7"/>
    <mergeCell ref="L7:N7"/>
    <mergeCell ref="P7:R7"/>
    <mergeCell ref="T7:V7"/>
  </mergeCells>
  <pageMargins left="0.7" right="0.7" top="0.78740157499999996" bottom="0.78740157499999996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3:Y1000"/>
  <sheetViews>
    <sheetView workbookViewId="0">
      <selection activeCell="H3" sqref="H3"/>
    </sheetView>
  </sheetViews>
  <sheetFormatPr baseColWidth="10" defaultColWidth="14.42578125" defaultRowHeight="15" customHeight="1"/>
  <cols>
    <col min="1" max="1" width="10.7109375" customWidth="1"/>
    <col min="2" max="2" width="12.5703125" customWidth="1"/>
    <col min="3" max="26" width="10.7109375" customWidth="1"/>
  </cols>
  <sheetData>
    <row r="3" spans="1:25">
      <c r="B3" s="6">
        <v>17514</v>
      </c>
      <c r="C3" s="6" t="s">
        <v>14</v>
      </c>
      <c r="D3" s="6">
        <v>194</v>
      </c>
      <c r="E3" s="6" t="s">
        <v>15</v>
      </c>
    </row>
    <row r="4" spans="1:25">
      <c r="A4" s="6" t="s">
        <v>30</v>
      </c>
    </row>
    <row r="5" spans="1:25">
      <c r="A5" s="6">
        <v>1159</v>
      </c>
      <c r="B5" s="6">
        <v>496</v>
      </c>
    </row>
    <row r="7" spans="1:25">
      <c r="A7" s="6" t="s">
        <v>20</v>
      </c>
      <c r="D7" s="32">
        <v>0.1</v>
      </c>
      <c r="E7" s="30"/>
      <c r="F7" s="30"/>
      <c r="G7" s="18"/>
      <c r="H7" s="32">
        <v>0.2</v>
      </c>
      <c r="I7" s="30"/>
      <c r="J7" s="30"/>
      <c r="K7" s="18"/>
      <c r="L7" s="32">
        <v>0.3</v>
      </c>
      <c r="M7" s="30"/>
      <c r="N7" s="30"/>
      <c r="O7" s="18"/>
      <c r="P7" s="32">
        <v>0.4</v>
      </c>
      <c r="Q7" s="30"/>
      <c r="R7" s="30"/>
      <c r="S7" s="18"/>
      <c r="T7" s="32">
        <v>0.5</v>
      </c>
      <c r="U7" s="30"/>
      <c r="V7" s="30"/>
      <c r="W7" s="1"/>
      <c r="X7" s="2"/>
      <c r="Y7" s="2"/>
    </row>
    <row r="8" spans="1:25">
      <c r="B8" s="3" t="s">
        <v>0</v>
      </c>
      <c r="C8" s="19" t="s">
        <v>17</v>
      </c>
      <c r="D8" s="4" t="s">
        <v>1</v>
      </c>
      <c r="E8" s="3" t="s">
        <v>2</v>
      </c>
      <c r="F8" s="3" t="s">
        <v>3</v>
      </c>
      <c r="G8" s="19" t="s">
        <v>17</v>
      </c>
      <c r="H8" s="4" t="s">
        <v>1</v>
      </c>
      <c r="I8" s="3" t="s">
        <v>2</v>
      </c>
      <c r="J8" s="3" t="s">
        <v>3</v>
      </c>
      <c r="K8" s="19" t="s">
        <v>17</v>
      </c>
      <c r="L8" s="3" t="s">
        <v>1</v>
      </c>
      <c r="M8" s="3" t="s">
        <v>2</v>
      </c>
      <c r="N8" s="3" t="s">
        <v>3</v>
      </c>
      <c r="O8" s="19" t="s">
        <v>17</v>
      </c>
      <c r="P8" s="3" t="s">
        <v>1</v>
      </c>
      <c r="Q8" s="3" t="s">
        <v>2</v>
      </c>
      <c r="R8" s="3" t="s">
        <v>3</v>
      </c>
      <c r="S8" s="19" t="s">
        <v>17</v>
      </c>
      <c r="T8" s="3" t="s">
        <v>1</v>
      </c>
      <c r="U8" s="3" t="s">
        <v>2</v>
      </c>
      <c r="V8" s="3" t="s">
        <v>3</v>
      </c>
    </row>
    <row r="9" spans="1:25">
      <c r="B9" s="6">
        <v>0</v>
      </c>
      <c r="C9" s="24">
        <f t="shared" ref="C9:V9" si="0">AVERAGE(C26,C42,C58)</f>
        <v>1525</v>
      </c>
      <c r="D9" s="25">
        <f t="shared" si="0"/>
        <v>57.233333333333327</v>
      </c>
      <c r="E9" s="21">
        <f t="shared" si="0"/>
        <v>4.9381650848432553E-2</v>
      </c>
      <c r="F9" s="40">
        <f t="shared" si="0"/>
        <v>0.79400000000000004</v>
      </c>
      <c r="G9" s="24">
        <f t="shared" si="0"/>
        <v>1408.3333333333333</v>
      </c>
      <c r="H9" s="25">
        <f t="shared" si="0"/>
        <v>51</v>
      </c>
      <c r="I9" s="21">
        <f t="shared" si="0"/>
        <v>4.4003451251078511E-2</v>
      </c>
      <c r="J9" s="40">
        <f t="shared" si="0"/>
        <v>0.83366666666666667</v>
      </c>
      <c r="K9" s="24">
        <f t="shared" si="0"/>
        <v>1311.6666666666667</v>
      </c>
      <c r="L9" s="25">
        <f t="shared" si="0"/>
        <v>45.733333333333327</v>
      </c>
      <c r="M9" s="21">
        <f t="shared" si="0"/>
        <v>3.9459303997699167E-2</v>
      </c>
      <c r="N9" s="40">
        <f t="shared" si="0"/>
        <v>0.88933333333333342</v>
      </c>
      <c r="O9" s="24">
        <f t="shared" si="0"/>
        <v>1176.6666666666667</v>
      </c>
      <c r="P9" s="25">
        <f t="shared" si="0"/>
        <v>43.79999999999999</v>
      </c>
      <c r="Q9" s="21">
        <f t="shared" si="0"/>
        <v>3.7791199309749786E-2</v>
      </c>
      <c r="R9" s="40">
        <f t="shared" si="0"/>
        <v>0.90400000000000003</v>
      </c>
      <c r="S9" s="24">
        <f t="shared" si="0"/>
        <v>1015</v>
      </c>
      <c r="T9" s="25">
        <f t="shared" si="0"/>
        <v>42.4</v>
      </c>
      <c r="U9" s="21">
        <f t="shared" si="0"/>
        <v>3.6583261432269198E-2</v>
      </c>
      <c r="V9" s="40">
        <f t="shared" si="0"/>
        <v>0.91300000000000003</v>
      </c>
    </row>
    <row r="10" spans="1:25">
      <c r="B10" s="6">
        <v>1</v>
      </c>
      <c r="C10" s="24">
        <f t="shared" ref="C10:V10" si="1">AVERAGE(C27,C43,C59)</f>
        <v>2056.6666666666665</v>
      </c>
      <c r="D10" s="25">
        <f t="shared" si="1"/>
        <v>57.933333333333337</v>
      </c>
      <c r="E10" s="21">
        <f t="shared" si="1"/>
        <v>4.9985619787172843E-2</v>
      </c>
      <c r="F10" s="40">
        <f t="shared" si="1"/>
        <v>0.88400000000000001</v>
      </c>
      <c r="G10" s="24">
        <f t="shared" si="1"/>
        <v>1785</v>
      </c>
      <c r="H10" s="25">
        <f t="shared" si="1"/>
        <v>47.033333333333331</v>
      </c>
      <c r="I10" s="21">
        <f t="shared" si="1"/>
        <v>4.0580960598216857E-2</v>
      </c>
      <c r="J10" s="40">
        <f t="shared" si="1"/>
        <v>0.91800000000000004</v>
      </c>
      <c r="K10" s="24">
        <f t="shared" si="1"/>
        <v>1493.3333333333333</v>
      </c>
      <c r="L10" s="25">
        <f t="shared" si="1"/>
        <v>44.166666666666664</v>
      </c>
      <c r="M10" s="21">
        <f t="shared" si="1"/>
        <v>3.8107563991947084E-2</v>
      </c>
      <c r="N10" s="40">
        <f t="shared" si="1"/>
        <v>0.91666666666666663</v>
      </c>
      <c r="O10" s="24">
        <f t="shared" si="1"/>
        <v>1253.3333333333333</v>
      </c>
      <c r="P10" s="25">
        <f t="shared" si="1"/>
        <v>43.466666666666661</v>
      </c>
      <c r="Q10" s="21">
        <f t="shared" si="1"/>
        <v>3.7503595053206787E-2</v>
      </c>
      <c r="R10" s="40">
        <f t="shared" si="1"/>
        <v>3.6856666666666666</v>
      </c>
      <c r="S10" s="24">
        <f t="shared" si="1"/>
        <v>1043.3333333333333</v>
      </c>
      <c r="T10" s="25">
        <f t="shared" si="1"/>
        <v>41.93333333333333</v>
      </c>
      <c r="U10" s="21">
        <f t="shared" si="1"/>
        <v>3.6180615473109003E-2</v>
      </c>
      <c r="V10" s="40">
        <f t="shared" si="1"/>
        <v>0.91949999999999998</v>
      </c>
    </row>
    <row r="11" spans="1:25">
      <c r="B11" s="6">
        <v>2</v>
      </c>
      <c r="C11" s="24">
        <f t="shared" ref="C11:V11" si="2">AVERAGE(C28,C44,C60)</f>
        <v>918.33333333333337</v>
      </c>
      <c r="D11" s="25">
        <f t="shared" si="2"/>
        <v>76.86666666666666</v>
      </c>
      <c r="E11" s="21">
        <f t="shared" si="2"/>
        <v>6.6321541558815075E-2</v>
      </c>
      <c r="F11" s="40">
        <f t="shared" si="2"/>
        <v>0.93733333333333346</v>
      </c>
      <c r="G11" s="24">
        <f t="shared" si="2"/>
        <v>813.33333333333337</v>
      </c>
      <c r="H11" s="25">
        <f t="shared" si="2"/>
        <v>58.06666666666667</v>
      </c>
      <c r="I11" s="21">
        <f t="shared" si="2"/>
        <v>5.0100661489790053E-2</v>
      </c>
      <c r="J11" s="40">
        <f t="shared" si="2"/>
        <v>0.95766666666666656</v>
      </c>
      <c r="K11" s="24">
        <f t="shared" si="2"/>
        <v>695</v>
      </c>
      <c r="L11" s="25">
        <f t="shared" si="2"/>
        <v>47.466666666666669</v>
      </c>
      <c r="M11" s="21">
        <f t="shared" si="2"/>
        <v>4.0954846131722754E-2</v>
      </c>
      <c r="N11" s="40">
        <f t="shared" si="2"/>
        <v>0.97400000000000009</v>
      </c>
      <c r="O11" s="24">
        <f t="shared" si="2"/>
        <v>610</v>
      </c>
      <c r="P11" s="25">
        <f t="shared" si="2"/>
        <v>44.033333333333331</v>
      </c>
      <c r="Q11" s="21">
        <f t="shared" si="2"/>
        <v>3.7992522289329887E-2</v>
      </c>
      <c r="R11" s="40">
        <f t="shared" si="2"/>
        <v>0.97733333333333328</v>
      </c>
      <c r="S11" s="24">
        <f t="shared" si="2"/>
        <v>501.66666666666669</v>
      </c>
      <c r="T11" s="25">
        <f t="shared" si="2"/>
        <v>41.93333333333333</v>
      </c>
      <c r="U11" s="21">
        <f t="shared" si="2"/>
        <v>3.6180615473109003E-2</v>
      </c>
      <c r="V11" s="40">
        <f t="shared" si="2"/>
        <v>0.97950000000000004</v>
      </c>
    </row>
    <row r="12" spans="1:25">
      <c r="B12" s="6">
        <v>3</v>
      </c>
      <c r="C12" s="24">
        <f t="shared" ref="C12:V12" si="3">AVERAGE(C29,C45,C61)</f>
        <v>3216.6666666666665</v>
      </c>
      <c r="D12" s="25">
        <f t="shared" si="3"/>
        <v>47.033333333333339</v>
      </c>
      <c r="E12" s="21">
        <f t="shared" si="3"/>
        <v>4.0580960598216857E-2</v>
      </c>
      <c r="F12" s="40">
        <f t="shared" si="3"/>
        <v>0.94666666666666666</v>
      </c>
      <c r="G12" s="24">
        <f t="shared" si="3"/>
        <v>2751.6666666666665</v>
      </c>
      <c r="H12" s="25">
        <f t="shared" si="3"/>
        <v>41.766666666666673</v>
      </c>
      <c r="I12" s="21">
        <f t="shared" si="3"/>
        <v>3.60368133448375E-2</v>
      </c>
      <c r="J12" s="40">
        <f t="shared" si="3"/>
        <v>0.95466666666666666</v>
      </c>
      <c r="K12" s="24">
        <f t="shared" si="3"/>
        <v>2380</v>
      </c>
      <c r="L12" s="25">
        <f t="shared" si="3"/>
        <v>41.133333333333333</v>
      </c>
      <c r="M12" s="21">
        <f t="shared" si="3"/>
        <v>3.5490365257405808E-2</v>
      </c>
      <c r="N12" s="40">
        <f t="shared" si="3"/>
        <v>0.95166666666666666</v>
      </c>
      <c r="O12" s="24">
        <f t="shared" si="3"/>
        <v>2028.3333333333333</v>
      </c>
      <c r="P12" s="25">
        <f t="shared" si="3"/>
        <v>38.466666666666669</v>
      </c>
      <c r="Q12" s="21">
        <f t="shared" si="3"/>
        <v>3.318953120506183E-2</v>
      </c>
      <c r="R12" s="40">
        <f t="shared" si="3"/>
        <v>0.95666666666666655</v>
      </c>
      <c r="S12" s="24">
        <f t="shared" si="3"/>
        <v>1668.3333333333333</v>
      </c>
      <c r="T12" s="25">
        <f t="shared" si="3"/>
        <v>36.6</v>
      </c>
      <c r="U12" s="21">
        <f t="shared" si="3"/>
        <v>3.1578947368421054E-2</v>
      </c>
      <c r="V12" s="40">
        <f t="shared" si="3"/>
        <v>0.96099999999999997</v>
      </c>
    </row>
    <row r="13" spans="1:25">
      <c r="B13" s="6">
        <v>4</v>
      </c>
      <c r="C13" s="24">
        <f t="shared" ref="C13:V13" si="4">AVERAGE(C30,C46,C62)</f>
        <v>1911.6666666666667</v>
      </c>
      <c r="D13" s="25">
        <f t="shared" si="4"/>
        <v>51.133333333333333</v>
      </c>
      <c r="E13" s="21">
        <f t="shared" si="4"/>
        <v>4.4118492953695708E-2</v>
      </c>
      <c r="F13" s="40">
        <f t="shared" si="4"/>
        <v>0.96666666666666667</v>
      </c>
      <c r="G13" s="24">
        <f t="shared" si="4"/>
        <v>1728.3333333333333</v>
      </c>
      <c r="H13" s="25">
        <f t="shared" si="4"/>
        <v>43.166666666666664</v>
      </c>
      <c r="I13" s="21">
        <f t="shared" si="4"/>
        <v>3.7244751222318094E-2</v>
      </c>
      <c r="J13" s="40">
        <f t="shared" si="4"/>
        <v>0.97566666666666668</v>
      </c>
      <c r="K13" s="24">
        <f t="shared" si="4"/>
        <v>1515</v>
      </c>
      <c r="L13" s="25">
        <f t="shared" si="4"/>
        <v>41.333333333333329</v>
      </c>
      <c r="M13" s="21">
        <f t="shared" si="4"/>
        <v>3.5662927811331603E-2</v>
      </c>
      <c r="N13" s="40">
        <f t="shared" si="4"/>
        <v>0.97666666666666668</v>
      </c>
      <c r="O13" s="24">
        <f t="shared" si="4"/>
        <v>1298.3333333333333</v>
      </c>
      <c r="P13" s="25">
        <f t="shared" si="4"/>
        <v>38.333333333333336</v>
      </c>
      <c r="Q13" s="21">
        <f t="shared" si="4"/>
        <v>3.3074489502444633E-2</v>
      </c>
      <c r="R13" s="40">
        <f t="shared" si="4"/>
        <v>0.97966666666666669</v>
      </c>
      <c r="S13" s="24">
        <f t="shared" si="4"/>
        <v>1095</v>
      </c>
      <c r="T13" s="25">
        <f t="shared" si="4"/>
        <v>37.766666666666666</v>
      </c>
      <c r="U13" s="21">
        <f t="shared" si="4"/>
        <v>3.258556226632154E-2</v>
      </c>
      <c r="V13" s="40">
        <f t="shared" si="4"/>
        <v>0.97899999999999998</v>
      </c>
    </row>
    <row r="14" spans="1:25">
      <c r="B14" s="6">
        <v>5</v>
      </c>
      <c r="C14" s="24">
        <f t="shared" ref="C14:V14" si="5">AVERAGE(C31,C47,C63)</f>
        <v>1263.3333333333333</v>
      </c>
      <c r="D14" s="25">
        <f t="shared" si="5"/>
        <v>54.333333333333336</v>
      </c>
      <c r="E14" s="21">
        <f t="shared" si="5"/>
        <v>4.6879493816508487E-2</v>
      </c>
      <c r="F14" s="40">
        <f t="shared" si="5"/>
        <v>0.90066666666666662</v>
      </c>
      <c r="G14" s="24">
        <f t="shared" si="5"/>
        <v>1146.6666666666667</v>
      </c>
      <c r="H14" s="25">
        <f t="shared" si="5"/>
        <v>46.699999999999996</v>
      </c>
      <c r="I14" s="21">
        <f t="shared" si="5"/>
        <v>4.0293356341673851E-2</v>
      </c>
      <c r="J14" s="40">
        <f t="shared" si="5"/>
        <v>0.93566666666666665</v>
      </c>
      <c r="K14" s="24">
        <f t="shared" si="5"/>
        <v>1043.3333333333333</v>
      </c>
      <c r="L14" s="25">
        <f t="shared" si="5"/>
        <v>41.800000000000004</v>
      </c>
      <c r="M14" s="21">
        <f t="shared" si="5"/>
        <v>3.6065573770491799E-2</v>
      </c>
      <c r="N14" s="40">
        <f t="shared" si="5"/>
        <v>0.95233333333333325</v>
      </c>
      <c r="O14" s="24">
        <f t="shared" si="5"/>
        <v>891.66666666666663</v>
      </c>
      <c r="P14" s="25">
        <f t="shared" si="5"/>
        <v>40.300000000000004</v>
      </c>
      <c r="Q14" s="21">
        <f t="shared" si="5"/>
        <v>3.4771354616048321E-2</v>
      </c>
      <c r="R14" s="40">
        <f t="shared" si="5"/>
        <v>0.95533333333333326</v>
      </c>
      <c r="S14" s="24">
        <f t="shared" si="5"/>
        <v>745</v>
      </c>
      <c r="T14" s="25">
        <f t="shared" si="5"/>
        <v>36.9</v>
      </c>
      <c r="U14" s="21">
        <f t="shared" si="5"/>
        <v>3.1837791199309746E-2</v>
      </c>
      <c r="V14" s="40">
        <f t="shared" si="5"/>
        <v>0.96049999999999991</v>
      </c>
    </row>
    <row r="15" spans="1:25">
      <c r="B15" s="6">
        <v>6</v>
      </c>
      <c r="C15" s="24">
        <f t="shared" ref="C15:V15" si="6">AVERAGE(C32,C48,C64)</f>
        <v>1153.3333333333333</v>
      </c>
      <c r="D15" s="25">
        <f t="shared" si="6"/>
        <v>69.2</v>
      </c>
      <c r="E15" s="21">
        <f t="shared" si="6"/>
        <v>5.9706643658326147E-2</v>
      </c>
      <c r="F15" s="40">
        <f t="shared" si="6"/>
        <v>0.94133333333333324</v>
      </c>
      <c r="G15" s="24">
        <f t="shared" si="6"/>
        <v>1075</v>
      </c>
      <c r="H15" s="25">
        <f t="shared" si="6"/>
        <v>59.233333333333327</v>
      </c>
      <c r="I15" s="21">
        <f t="shared" si="6"/>
        <v>5.1107276387690533E-2</v>
      </c>
      <c r="J15" s="40">
        <f t="shared" si="6"/>
        <v>0.95533333333333326</v>
      </c>
      <c r="K15" s="24">
        <f t="shared" si="6"/>
        <v>913.33333333333337</v>
      </c>
      <c r="L15" s="25">
        <f t="shared" si="6"/>
        <v>51.900000000000006</v>
      </c>
      <c r="M15" s="21">
        <f t="shared" si="6"/>
        <v>4.477998274374461E-2</v>
      </c>
      <c r="N15" s="40">
        <f t="shared" si="6"/>
        <v>0.96299999999999997</v>
      </c>
      <c r="O15" s="24">
        <f t="shared" si="6"/>
        <v>773.33333333333337</v>
      </c>
      <c r="P15" s="25">
        <f t="shared" si="6"/>
        <v>46.5</v>
      </c>
      <c r="Q15" s="21">
        <f t="shared" si="6"/>
        <v>4.0120793787748063E-2</v>
      </c>
      <c r="R15" s="40">
        <f t="shared" si="6"/>
        <v>0.96933333333333327</v>
      </c>
      <c r="S15" s="24">
        <f t="shared" si="6"/>
        <v>630</v>
      </c>
      <c r="T15" s="25">
        <f t="shared" si="6"/>
        <v>47.29999999999999</v>
      </c>
      <c r="U15" s="21">
        <f t="shared" si="6"/>
        <v>4.0811044003451251E-2</v>
      </c>
      <c r="V15" s="40">
        <f t="shared" si="6"/>
        <v>0.96350000000000002</v>
      </c>
    </row>
    <row r="16" spans="1:25">
      <c r="B16" s="6">
        <v>7</v>
      </c>
      <c r="C16" s="24">
        <f t="shared" ref="C16:V16" si="7">AVERAGE(C33,C49,C65)</f>
        <v>1055</v>
      </c>
      <c r="D16" s="25">
        <f t="shared" si="7"/>
        <v>57.29999999999999</v>
      </c>
      <c r="E16" s="21">
        <f t="shared" si="7"/>
        <v>4.9439171699741158E-2</v>
      </c>
      <c r="F16" s="40">
        <f t="shared" si="7"/>
        <v>0.94999999999999984</v>
      </c>
      <c r="G16" s="24">
        <f t="shared" si="7"/>
        <v>936.66666666666663</v>
      </c>
      <c r="H16" s="25">
        <f t="shared" si="7"/>
        <v>39.799999999999997</v>
      </c>
      <c r="I16" s="21">
        <f t="shared" si="7"/>
        <v>3.4339948231233826E-2</v>
      </c>
      <c r="J16" s="40">
        <f t="shared" si="7"/>
        <v>0.96799999999999997</v>
      </c>
      <c r="K16" s="24">
        <f t="shared" si="7"/>
        <v>833.33333333333337</v>
      </c>
      <c r="L16" s="25">
        <f t="shared" si="7"/>
        <v>36.666666666666664</v>
      </c>
      <c r="M16" s="21">
        <f t="shared" si="7"/>
        <v>3.1636468219729652E-2</v>
      </c>
      <c r="N16" s="40">
        <f t="shared" si="7"/>
        <v>0.97266666666666668</v>
      </c>
      <c r="O16" s="24">
        <f t="shared" si="7"/>
        <v>698.33333333333337</v>
      </c>
      <c r="P16" s="25">
        <f t="shared" si="7"/>
        <v>32.133333333333333</v>
      </c>
      <c r="Q16" s="21">
        <f t="shared" si="7"/>
        <v>2.7725050330744894E-2</v>
      </c>
      <c r="R16" s="40">
        <f t="shared" si="7"/>
        <v>0.97699999999999998</v>
      </c>
      <c r="S16" s="24">
        <f t="shared" si="7"/>
        <v>576.66666666666663</v>
      </c>
      <c r="T16" s="25">
        <f t="shared" si="7"/>
        <v>32.933333333333337</v>
      </c>
      <c r="U16" s="21">
        <f t="shared" si="7"/>
        <v>2.8415300546448086E-2</v>
      </c>
      <c r="V16" s="40">
        <f t="shared" si="7"/>
        <v>0.97550000000000003</v>
      </c>
    </row>
    <row r="17" spans="1:22">
      <c r="C17" s="24"/>
      <c r="D17" s="9"/>
      <c r="E17" s="8"/>
      <c r="G17" s="9"/>
      <c r="H17" s="9"/>
      <c r="I17" s="8"/>
      <c r="K17" s="24"/>
      <c r="M17" s="8"/>
      <c r="O17" s="20"/>
      <c r="Q17" s="8"/>
      <c r="S17" s="20"/>
      <c r="U17" s="8"/>
    </row>
    <row r="18" spans="1:22">
      <c r="B18" s="6" t="s">
        <v>4</v>
      </c>
      <c r="C18" s="20"/>
      <c r="D18" s="22">
        <f t="shared" ref="D18:F18" si="8">AVERAGE(D35,D51,D67)</f>
        <v>56.147977099236641</v>
      </c>
      <c r="E18" s="43">
        <f t="shared" si="8"/>
        <v>4.8445191630057505E-2</v>
      </c>
      <c r="F18" s="20" t="e">
        <f t="shared" si="8"/>
        <v>#DIV/0!</v>
      </c>
      <c r="G18" s="20"/>
      <c r="H18" s="22">
        <f t="shared" ref="H18:J18" si="9">AVERAGE(H35,H51,H67)</f>
        <v>47.068741949334481</v>
      </c>
      <c r="I18" s="43">
        <f t="shared" si="9"/>
        <v>4.0611511604257529E-2</v>
      </c>
      <c r="J18" s="20" t="e">
        <f t="shared" si="9"/>
        <v>#DIV/0!</v>
      </c>
      <c r="K18" s="20"/>
      <c r="L18" s="22">
        <f t="shared" ref="L18:N18" si="10">AVERAGE(L35,L51,L67)</f>
        <v>43.317247586319752</v>
      </c>
      <c r="M18" s="43">
        <f t="shared" si="10"/>
        <v>3.7374674362657255E-2</v>
      </c>
      <c r="N18" s="20" t="e">
        <f t="shared" si="10"/>
        <v>#DIV/0!</v>
      </c>
      <c r="O18" s="20"/>
      <c r="P18" s="22">
        <f t="shared" ref="P18:R18" si="11">AVERAGE(P35,P51,P67)</f>
        <v>40.694387170675832</v>
      </c>
      <c r="Q18" s="43">
        <f t="shared" si="11"/>
        <v>3.5111636903085275E-2</v>
      </c>
      <c r="R18" s="20" t="e">
        <f t="shared" si="11"/>
        <v>#DIV/0!</v>
      </c>
      <c r="S18" s="20"/>
      <c r="T18" s="22">
        <f t="shared" ref="T18:V18" si="12">AVERAGE(T35,T51,T67)</f>
        <v>39.428865979381449</v>
      </c>
      <c r="U18" s="43">
        <f t="shared" si="12"/>
        <v>3.401972905900038E-2</v>
      </c>
      <c r="V18" s="20" t="e">
        <f t="shared" si="12"/>
        <v>#DIV/0!</v>
      </c>
    </row>
    <row r="20" spans="1:22">
      <c r="C20" s="28">
        <f>SUM(C9:C16)</f>
        <v>13100</v>
      </c>
      <c r="G20" s="28">
        <f>SUM(G9:G16)</f>
        <v>11644.999999999998</v>
      </c>
      <c r="K20" s="28">
        <f>SUM(K9:K16)</f>
        <v>10185.000000000002</v>
      </c>
      <c r="O20" s="28">
        <f>SUM(O9:O16)</f>
        <v>8730</v>
      </c>
      <c r="S20" s="28">
        <f>SUM(S9:S16)</f>
        <v>7275</v>
      </c>
    </row>
    <row r="21" spans="1:22" ht="15.75" customHeight="1">
      <c r="C21" s="6">
        <f>C20/($B$3-$D$3)</f>
        <v>0.75635103926097003</v>
      </c>
      <c r="G21" s="6">
        <f>G20/($B$3-$D$3)</f>
        <v>0.67234411085450341</v>
      </c>
    </row>
    <row r="22" spans="1:22" ht="15.75" customHeight="1"/>
    <row r="23" spans="1:22" ht="15.75" customHeight="1"/>
    <row r="24" spans="1:22" ht="15.75" customHeight="1">
      <c r="A24" s="6" t="s">
        <v>18</v>
      </c>
      <c r="D24" s="32">
        <v>0.1</v>
      </c>
      <c r="E24" s="30"/>
      <c r="F24" s="30"/>
      <c r="G24" s="18"/>
      <c r="H24" s="32">
        <v>0.2</v>
      </c>
      <c r="I24" s="30"/>
      <c r="J24" s="30"/>
      <c r="K24" s="18"/>
      <c r="L24" s="32">
        <v>0.3</v>
      </c>
      <c r="M24" s="30"/>
      <c r="N24" s="30"/>
      <c r="O24" s="18"/>
      <c r="P24" s="32">
        <v>0.4</v>
      </c>
      <c r="Q24" s="30"/>
      <c r="R24" s="30"/>
      <c r="S24" s="18"/>
      <c r="T24" s="32">
        <v>0.5</v>
      </c>
      <c r="U24" s="30"/>
      <c r="V24" s="30"/>
    </row>
    <row r="25" spans="1:22" ht="15.75" customHeight="1">
      <c r="B25" s="3" t="s">
        <v>0</v>
      </c>
      <c r="C25" s="19" t="s">
        <v>17</v>
      </c>
      <c r="D25" s="4" t="s">
        <v>1</v>
      </c>
      <c r="E25" s="3" t="s">
        <v>2</v>
      </c>
      <c r="F25" s="3" t="s">
        <v>3</v>
      </c>
      <c r="G25" s="19" t="s">
        <v>17</v>
      </c>
      <c r="H25" s="4" t="s">
        <v>1</v>
      </c>
      <c r="I25" s="3" t="s">
        <v>2</v>
      </c>
      <c r="J25" s="3" t="s">
        <v>3</v>
      </c>
      <c r="K25" s="19" t="s">
        <v>17</v>
      </c>
      <c r="L25" s="3" t="s">
        <v>1</v>
      </c>
      <c r="M25" s="3" t="s">
        <v>2</v>
      </c>
      <c r="N25" s="3" t="s">
        <v>3</v>
      </c>
      <c r="O25" s="19" t="s">
        <v>17</v>
      </c>
      <c r="P25" s="3" t="s">
        <v>1</v>
      </c>
      <c r="Q25" s="3" t="s">
        <v>2</v>
      </c>
      <c r="R25" s="3" t="s">
        <v>3</v>
      </c>
      <c r="S25" s="19" t="s">
        <v>17</v>
      </c>
      <c r="T25" s="3" t="s">
        <v>1</v>
      </c>
      <c r="U25" s="3" t="s">
        <v>2</v>
      </c>
      <c r="V25" s="3" t="s">
        <v>3</v>
      </c>
    </row>
    <row r="26" spans="1:22" ht="15.75" customHeight="1">
      <c r="B26" s="6">
        <v>0</v>
      </c>
      <c r="C26" s="20">
        <v>1440</v>
      </c>
      <c r="D26" s="9">
        <v>54</v>
      </c>
      <c r="E26" s="8">
        <f t="shared" ref="E26:E33" si="13">D26/$A$5</f>
        <v>4.6591889559965488E-2</v>
      </c>
      <c r="F26" s="41">
        <v>0.80800000000000005</v>
      </c>
      <c r="G26" s="9">
        <v>1435</v>
      </c>
      <c r="H26" s="9">
        <v>51.4</v>
      </c>
      <c r="I26" s="8">
        <f t="shared" ref="I26:I33" si="14">H26/$A$5</f>
        <v>4.4348576358930109E-2</v>
      </c>
      <c r="J26" s="41">
        <v>0.84799999999999998</v>
      </c>
      <c r="K26" s="20">
        <v>1260</v>
      </c>
      <c r="L26" s="41">
        <v>46</v>
      </c>
      <c r="M26" s="8">
        <f t="shared" ref="M26:M33" si="15">L26/$A$5</f>
        <v>3.9689387402933561E-2</v>
      </c>
      <c r="N26" s="41">
        <v>0.89100000000000001</v>
      </c>
      <c r="O26" s="20">
        <v>1210</v>
      </c>
      <c r="P26" s="41">
        <v>43.9</v>
      </c>
      <c r="Q26" s="8">
        <f t="shared" ref="Q26:Q33" si="16">P26/$A$5</f>
        <v>3.7877480586712683E-2</v>
      </c>
      <c r="R26" s="41">
        <v>0.91</v>
      </c>
      <c r="S26" s="20">
        <v>1080</v>
      </c>
      <c r="T26" s="41">
        <v>42</v>
      </c>
      <c r="U26" s="8">
        <f t="shared" ref="U26:U33" si="17">T26/$A$5</f>
        <v>3.6238136324417601E-2</v>
      </c>
      <c r="V26" s="41">
        <v>0.91700000000000004</v>
      </c>
    </row>
    <row r="27" spans="1:22" ht="15.75" customHeight="1">
      <c r="B27" s="6">
        <v>1</v>
      </c>
      <c r="C27" s="20">
        <v>2145</v>
      </c>
      <c r="D27" s="9">
        <v>55.9</v>
      </c>
      <c r="E27" s="8">
        <f t="shared" si="13"/>
        <v>4.823123382226057E-2</v>
      </c>
      <c r="F27" s="41">
        <v>0.9</v>
      </c>
      <c r="G27" s="9">
        <v>1795</v>
      </c>
      <c r="H27" s="9">
        <v>45.9</v>
      </c>
      <c r="I27" s="8">
        <f t="shared" si="14"/>
        <v>3.9603106125970663E-2</v>
      </c>
      <c r="J27" s="41">
        <v>0.91600000000000004</v>
      </c>
      <c r="K27" s="20">
        <v>1535</v>
      </c>
      <c r="L27" s="41">
        <v>45.2</v>
      </c>
      <c r="M27" s="8">
        <f t="shared" si="15"/>
        <v>3.8999137187230373E-2</v>
      </c>
      <c r="N27" s="41">
        <v>0.91700000000000004</v>
      </c>
      <c r="O27" s="20">
        <v>1205</v>
      </c>
      <c r="P27" s="41">
        <v>44.4</v>
      </c>
      <c r="Q27" s="8">
        <f t="shared" si="16"/>
        <v>3.8308886971527178E-2</v>
      </c>
      <c r="R27" s="41">
        <v>0.90700000000000003</v>
      </c>
      <c r="S27" s="20">
        <v>975</v>
      </c>
      <c r="T27" s="41">
        <v>40.700000000000003</v>
      </c>
      <c r="U27" s="8">
        <f t="shared" si="17"/>
        <v>3.5116479723899918E-2</v>
      </c>
      <c r="V27" s="41">
        <v>0.92</v>
      </c>
    </row>
    <row r="28" spans="1:22" ht="15.75" customHeight="1">
      <c r="B28" s="6">
        <v>2</v>
      </c>
      <c r="C28" s="20">
        <v>930</v>
      </c>
      <c r="D28" s="9">
        <v>72.7</v>
      </c>
      <c r="E28" s="8">
        <f t="shared" si="13"/>
        <v>6.2726488352027612E-2</v>
      </c>
      <c r="F28" s="41">
        <v>0.94599999999999995</v>
      </c>
      <c r="G28" s="9">
        <v>820</v>
      </c>
      <c r="H28" s="9">
        <v>58.7</v>
      </c>
      <c r="I28" s="8">
        <f t="shared" si="14"/>
        <v>5.0647109577221745E-2</v>
      </c>
      <c r="J28" s="41">
        <v>0.96</v>
      </c>
      <c r="K28" s="20">
        <v>700</v>
      </c>
      <c r="L28" s="41">
        <v>50.1</v>
      </c>
      <c r="M28" s="8">
        <f t="shared" si="15"/>
        <v>4.3226919758412426E-2</v>
      </c>
      <c r="N28" s="41">
        <v>0.97099999999999997</v>
      </c>
      <c r="O28" s="20">
        <v>575</v>
      </c>
      <c r="P28" s="41">
        <v>46.1</v>
      </c>
      <c r="Q28" s="8">
        <f t="shared" si="16"/>
        <v>3.9775668679896466E-2</v>
      </c>
      <c r="R28" s="41">
        <v>0.97599999999999998</v>
      </c>
      <c r="S28" s="20">
        <v>455</v>
      </c>
      <c r="T28" s="41">
        <v>44.8</v>
      </c>
      <c r="U28" s="8">
        <f t="shared" si="17"/>
        <v>3.8654012079378769E-2</v>
      </c>
      <c r="V28" s="41">
        <v>0.97799999999999998</v>
      </c>
    </row>
    <row r="29" spans="1:22" ht="15.75" customHeight="1">
      <c r="B29" s="6">
        <v>3</v>
      </c>
      <c r="C29" s="20">
        <v>3230</v>
      </c>
      <c r="D29" s="9">
        <v>44.6</v>
      </c>
      <c r="E29" s="8">
        <f t="shared" si="13"/>
        <v>3.8481449525452981E-2</v>
      </c>
      <c r="F29" s="41">
        <v>0.95199999999999996</v>
      </c>
      <c r="G29" s="9">
        <v>2775</v>
      </c>
      <c r="H29" s="9">
        <v>42.6</v>
      </c>
      <c r="I29" s="8">
        <f t="shared" si="14"/>
        <v>3.6755823986194994E-2</v>
      </c>
      <c r="J29" s="41">
        <v>0.95399999999999996</v>
      </c>
      <c r="K29" s="20">
        <v>2365</v>
      </c>
      <c r="L29" s="41">
        <v>40.9</v>
      </c>
      <c r="M29" s="8">
        <f t="shared" si="15"/>
        <v>3.5289042277825713E-2</v>
      </c>
      <c r="N29" s="41">
        <v>0.95299999999999996</v>
      </c>
      <c r="O29" s="20">
        <v>2060</v>
      </c>
      <c r="P29" s="41">
        <v>37.9</v>
      </c>
      <c r="Q29" s="8">
        <f t="shared" si="16"/>
        <v>3.2700603968938736E-2</v>
      </c>
      <c r="R29" s="41">
        <v>0.96</v>
      </c>
      <c r="S29" s="20">
        <v>1665</v>
      </c>
      <c r="T29" s="41">
        <v>37.6</v>
      </c>
      <c r="U29" s="8">
        <f t="shared" si="17"/>
        <v>3.2441760138050044E-2</v>
      </c>
      <c r="V29" s="41">
        <v>0.96199999999999997</v>
      </c>
    </row>
    <row r="30" spans="1:22" ht="15.75" customHeight="1">
      <c r="B30" s="6">
        <v>4</v>
      </c>
      <c r="C30" s="20">
        <v>1910</v>
      </c>
      <c r="D30" s="9">
        <v>44</v>
      </c>
      <c r="E30" s="8">
        <f t="shared" si="13"/>
        <v>3.7963761863675581E-2</v>
      </c>
      <c r="F30" s="41">
        <v>0.97499999999999998</v>
      </c>
      <c r="G30" s="9">
        <v>1740</v>
      </c>
      <c r="H30" s="9">
        <v>43.1</v>
      </c>
      <c r="I30" s="8">
        <f t="shared" si="14"/>
        <v>3.7187230371009496E-2</v>
      </c>
      <c r="J30" s="41">
        <v>0.97599999999999998</v>
      </c>
      <c r="K30" s="20">
        <v>1560</v>
      </c>
      <c r="L30" s="41">
        <v>39.4</v>
      </c>
      <c r="M30" s="8">
        <f t="shared" si="15"/>
        <v>3.3994823123382222E-2</v>
      </c>
      <c r="N30" s="41">
        <v>0.97799999999999998</v>
      </c>
      <c r="O30" s="20">
        <v>1315</v>
      </c>
      <c r="P30" s="41">
        <v>39.799999999999997</v>
      </c>
      <c r="Q30" s="8">
        <f t="shared" si="16"/>
        <v>3.4339948231233819E-2</v>
      </c>
      <c r="R30" s="41">
        <v>0.97799999999999998</v>
      </c>
      <c r="S30" s="20">
        <v>1095</v>
      </c>
      <c r="T30" s="41">
        <v>37</v>
      </c>
      <c r="U30" s="8">
        <f t="shared" si="17"/>
        <v>3.1924072476272651E-2</v>
      </c>
      <c r="V30" s="41">
        <v>0.98099999999999998</v>
      </c>
    </row>
    <row r="31" spans="1:22" ht="15.75" customHeight="1">
      <c r="B31" s="6">
        <v>5</v>
      </c>
      <c r="C31" s="20">
        <v>1260</v>
      </c>
      <c r="D31" s="9">
        <v>50.6</v>
      </c>
      <c r="E31" s="8">
        <f t="shared" si="13"/>
        <v>4.3658326143226921E-2</v>
      </c>
      <c r="F31" s="41">
        <v>0.92400000000000004</v>
      </c>
      <c r="G31" s="9">
        <v>1100</v>
      </c>
      <c r="H31" s="9">
        <v>48.7</v>
      </c>
      <c r="I31" s="8">
        <f t="shared" si="14"/>
        <v>4.2018981880931838E-2</v>
      </c>
      <c r="J31" s="41">
        <v>0.93</v>
      </c>
      <c r="K31" s="20">
        <v>1015</v>
      </c>
      <c r="L31" s="41">
        <v>43.3</v>
      </c>
      <c r="M31" s="8">
        <f t="shared" si="15"/>
        <v>3.7359792924935284E-2</v>
      </c>
      <c r="N31" s="41">
        <v>0.95299999999999996</v>
      </c>
      <c r="O31" s="20">
        <v>890</v>
      </c>
      <c r="P31" s="41">
        <v>43.7</v>
      </c>
      <c r="Q31" s="8">
        <f t="shared" si="16"/>
        <v>3.7704918032786888E-2</v>
      </c>
      <c r="R31" s="41">
        <v>0.95399999999999996</v>
      </c>
      <c r="S31" s="20">
        <v>735</v>
      </c>
      <c r="T31" s="41">
        <v>37.1</v>
      </c>
      <c r="U31" s="8">
        <f t="shared" si="17"/>
        <v>3.2010353753235549E-2</v>
      </c>
      <c r="V31" s="41">
        <v>0.96499999999999997</v>
      </c>
    </row>
    <row r="32" spans="1:22" ht="15.75" customHeight="1">
      <c r="B32" s="6">
        <v>6</v>
      </c>
      <c r="C32" s="20">
        <v>1135</v>
      </c>
      <c r="D32" s="9">
        <v>58.5</v>
      </c>
      <c r="E32" s="8">
        <f t="shared" si="13"/>
        <v>5.0474547023295943E-2</v>
      </c>
      <c r="F32" s="41">
        <v>0.95</v>
      </c>
      <c r="G32" s="9">
        <v>1035</v>
      </c>
      <c r="H32" s="9">
        <v>53.3</v>
      </c>
      <c r="I32" s="8">
        <f t="shared" si="14"/>
        <v>4.5987920621225191E-2</v>
      </c>
      <c r="J32" s="41">
        <v>0.96</v>
      </c>
      <c r="K32" s="20">
        <v>920</v>
      </c>
      <c r="L32" s="41">
        <v>54.1</v>
      </c>
      <c r="M32" s="8">
        <f t="shared" si="15"/>
        <v>4.6678170836928386E-2</v>
      </c>
      <c r="N32" s="41">
        <v>0.96099999999999997</v>
      </c>
      <c r="O32" s="20">
        <v>755</v>
      </c>
      <c r="P32" s="41">
        <v>47.6</v>
      </c>
      <c r="Q32" s="8">
        <f t="shared" si="16"/>
        <v>4.1069887834339951E-2</v>
      </c>
      <c r="R32" s="41">
        <v>0.96499999999999997</v>
      </c>
      <c r="S32" s="20">
        <v>630</v>
      </c>
      <c r="T32" s="41">
        <v>49.8</v>
      </c>
      <c r="U32" s="8">
        <f t="shared" si="17"/>
        <v>4.2968075927523726E-2</v>
      </c>
      <c r="V32" s="41">
        <v>0.96599999999999997</v>
      </c>
    </row>
    <row r="33" spans="1:22" ht="15.75" customHeight="1">
      <c r="B33" s="6">
        <v>7</v>
      </c>
      <c r="C33" s="20">
        <v>1050</v>
      </c>
      <c r="D33" s="9">
        <v>56.3</v>
      </c>
      <c r="E33" s="8">
        <f t="shared" si="13"/>
        <v>4.8576358930112161E-2</v>
      </c>
      <c r="F33" s="41">
        <v>0.95399999999999996</v>
      </c>
      <c r="G33" s="9">
        <v>945</v>
      </c>
      <c r="H33" s="9">
        <v>42.2</v>
      </c>
      <c r="I33" s="8">
        <f t="shared" si="14"/>
        <v>3.6410698878343403E-2</v>
      </c>
      <c r="J33" s="41">
        <v>0.96499999999999997</v>
      </c>
      <c r="K33" s="20">
        <v>830</v>
      </c>
      <c r="L33" s="41">
        <v>36.299999999999997</v>
      </c>
      <c r="M33" s="8">
        <f t="shared" si="15"/>
        <v>3.1320103537532354E-2</v>
      </c>
      <c r="N33" s="41">
        <v>0.97399999999999998</v>
      </c>
      <c r="O33" s="20">
        <v>720</v>
      </c>
      <c r="P33" s="41">
        <v>29.7</v>
      </c>
      <c r="Q33" s="8">
        <f t="shared" si="16"/>
        <v>2.5625539257981018E-2</v>
      </c>
      <c r="R33" s="41">
        <v>0.97799999999999998</v>
      </c>
      <c r="S33" s="20">
        <v>640</v>
      </c>
      <c r="T33" s="41">
        <v>30.3</v>
      </c>
      <c r="U33" s="8">
        <f t="shared" si="17"/>
        <v>2.6143226919758414E-2</v>
      </c>
      <c r="V33" s="41">
        <v>0.97599999999999998</v>
      </c>
    </row>
    <row r="34" spans="1:22" ht="15.75" customHeight="1">
      <c r="C34" s="20"/>
      <c r="D34" s="9"/>
      <c r="G34" s="9"/>
      <c r="H34" s="9"/>
      <c r="K34" s="20"/>
      <c r="O34" s="20"/>
      <c r="S34" s="20"/>
    </row>
    <row r="35" spans="1:22" ht="15.75" customHeight="1">
      <c r="B35" s="6" t="s">
        <v>4</v>
      </c>
      <c r="C35" s="20"/>
      <c r="D35" s="15">
        <f>SUMPRODUCT(C26:C33,D26:D33)/SUM(C26:C33)</f>
        <v>52.110152671755728</v>
      </c>
      <c r="E35" s="12">
        <f>SUMPRODUCT(C26:C33,E26:E33)/SUM(C26:C33)</f>
        <v>4.496130515250709E-2</v>
      </c>
      <c r="G35" s="9"/>
      <c r="H35" s="15">
        <f>SUMPRODUCT(G26:G33,H26:H33)/SUM(G26:G33)</f>
        <v>46.89626449119794</v>
      </c>
      <c r="I35" s="12">
        <f>SUMPRODUCT(G26:G33,I26:I33)/SUM(G26:G33)</f>
        <v>4.046269585090418E-2</v>
      </c>
      <c r="K35" s="20"/>
      <c r="L35" s="15">
        <f>SUMPRODUCT(K26:K33,L26:L33)/SUM(K26:K33)</f>
        <v>43.638193421698574</v>
      </c>
      <c r="M35" s="12">
        <f>SUMPRODUCT(K26:K33,M26:M33)/SUM(K26:K33)</f>
        <v>3.7651590527781345E-2</v>
      </c>
      <c r="O35" s="20"/>
      <c r="P35" s="15">
        <f>SUMPRODUCT(O26:O33,P26:P33)/SUM(O26:O33)</f>
        <v>41.208991981672391</v>
      </c>
      <c r="Q35" s="12">
        <f>SUMPRODUCT(O26:O33,Q26:Q33)/SUM(O26:O33)</f>
        <v>3.5555644505325619E-2</v>
      </c>
      <c r="S35" s="20"/>
      <c r="T35" s="15">
        <f>SUMPRODUCT(S26:S33,T26:T33)/SUM(S26:S33)</f>
        <v>39.392439862542957</v>
      </c>
      <c r="U35" s="12">
        <f>SUMPRODUCT(S26:S33,U26:U33)/SUM(S26:S33)</f>
        <v>3.3988300140244135E-2</v>
      </c>
    </row>
    <row r="36" spans="1:22" ht="15.75" customHeight="1">
      <c r="E36">
        <v>5.39</v>
      </c>
      <c r="I36">
        <v>4.32</v>
      </c>
      <c r="M36">
        <v>3.81</v>
      </c>
      <c r="Q36">
        <v>3.62</v>
      </c>
      <c r="U36">
        <v>3.49</v>
      </c>
    </row>
    <row r="37" spans="1:22" ht="15.75" customHeight="1">
      <c r="C37" s="6">
        <f>SUM(C26:C33)</f>
        <v>13100</v>
      </c>
      <c r="G37" s="6">
        <f>SUM(G26:G33)</f>
        <v>11645</v>
      </c>
      <c r="K37" s="6">
        <f>SUM(K26:K33)</f>
        <v>10185</v>
      </c>
      <c r="O37" s="6">
        <f>SUM(O26:O33)</f>
        <v>8730</v>
      </c>
      <c r="S37" s="6">
        <f>SUM(S26:S33)</f>
        <v>7275</v>
      </c>
    </row>
    <row r="38" spans="1:22" ht="15.75" customHeight="1"/>
    <row r="39" spans="1:22" ht="15.75" customHeight="1"/>
    <row r="40" spans="1:22" ht="15.75" customHeight="1">
      <c r="A40" s="6" t="s">
        <v>19</v>
      </c>
      <c r="D40" s="32">
        <v>0.1</v>
      </c>
      <c r="E40" s="30"/>
      <c r="F40" s="30"/>
      <c r="G40" s="18"/>
      <c r="H40" s="32">
        <v>0.2</v>
      </c>
      <c r="I40" s="30"/>
      <c r="J40" s="30"/>
      <c r="K40" s="18"/>
      <c r="L40" s="32">
        <v>0.3</v>
      </c>
      <c r="M40" s="30"/>
      <c r="N40" s="30"/>
      <c r="O40" s="18"/>
      <c r="P40" s="32">
        <v>0.4</v>
      </c>
      <c r="Q40" s="30"/>
      <c r="R40" s="30"/>
      <c r="S40" s="18"/>
      <c r="T40" s="32">
        <v>0.5</v>
      </c>
      <c r="U40" s="30"/>
      <c r="V40" s="30"/>
    </row>
    <row r="41" spans="1:22" ht="15.75" customHeight="1">
      <c r="B41" s="3" t="s">
        <v>0</v>
      </c>
      <c r="C41" s="19" t="s">
        <v>17</v>
      </c>
      <c r="D41" s="4" t="s">
        <v>1</v>
      </c>
      <c r="E41" s="3" t="s">
        <v>2</v>
      </c>
      <c r="F41" s="3" t="s">
        <v>3</v>
      </c>
      <c r="G41" s="19" t="s">
        <v>17</v>
      </c>
      <c r="H41" s="4" t="s">
        <v>1</v>
      </c>
      <c r="I41" s="3" t="s">
        <v>2</v>
      </c>
      <c r="J41" s="3" t="s">
        <v>3</v>
      </c>
      <c r="K41" s="19" t="s">
        <v>17</v>
      </c>
      <c r="L41" s="3" t="s">
        <v>1</v>
      </c>
      <c r="M41" s="3" t="s">
        <v>2</v>
      </c>
      <c r="N41" s="3" t="s">
        <v>3</v>
      </c>
      <c r="O41" s="19" t="s">
        <v>17</v>
      </c>
      <c r="P41" s="3" t="s">
        <v>1</v>
      </c>
      <c r="Q41" s="3" t="s">
        <v>2</v>
      </c>
      <c r="R41" s="3" t="s">
        <v>3</v>
      </c>
      <c r="S41" s="19" t="s">
        <v>17</v>
      </c>
      <c r="T41" s="3" t="s">
        <v>1</v>
      </c>
      <c r="U41" s="3" t="s">
        <v>2</v>
      </c>
      <c r="V41" s="3" t="s">
        <v>3</v>
      </c>
    </row>
    <row r="42" spans="1:22" ht="15.75" customHeight="1">
      <c r="B42" s="6">
        <v>0</v>
      </c>
      <c r="C42" s="20">
        <v>1520</v>
      </c>
      <c r="D42" s="9">
        <v>53.8</v>
      </c>
      <c r="E42" s="8">
        <f t="shared" ref="E42:E49" si="18">D42/$A$5</f>
        <v>4.6419327006039686E-2</v>
      </c>
      <c r="F42" s="41">
        <v>0.79500000000000004</v>
      </c>
      <c r="G42" s="9">
        <v>1445</v>
      </c>
      <c r="H42" s="9">
        <v>54.1</v>
      </c>
      <c r="I42" s="8">
        <f t="shared" ref="I42:I49" si="19">H42/$A$5</f>
        <v>4.6678170836928386E-2</v>
      </c>
      <c r="J42" s="41">
        <v>0.81899999999999995</v>
      </c>
      <c r="K42" s="20">
        <v>1315</v>
      </c>
      <c r="L42" s="41">
        <v>46.5</v>
      </c>
      <c r="M42" s="8">
        <f t="shared" ref="M42:M49" si="20">L42/$A$5</f>
        <v>4.0120793787748056E-2</v>
      </c>
      <c r="N42" s="41">
        <v>0.88900000000000001</v>
      </c>
      <c r="O42" s="20">
        <v>1165</v>
      </c>
      <c r="P42" s="41">
        <v>43.8</v>
      </c>
      <c r="Q42" s="8">
        <f t="shared" ref="Q42:Q49" si="21">P42/$A$5</f>
        <v>3.7791199309749779E-2</v>
      </c>
      <c r="R42" s="41">
        <v>0.91100000000000003</v>
      </c>
      <c r="S42" s="20">
        <v>980</v>
      </c>
      <c r="T42" s="41">
        <v>42.2</v>
      </c>
      <c r="U42" s="8">
        <f t="shared" ref="U42:U49" si="22">T42/$A$5</f>
        <v>3.6410698878343403E-2</v>
      </c>
      <c r="V42" s="41">
        <v>0.90900000000000003</v>
      </c>
    </row>
    <row r="43" spans="1:22" ht="15.75" customHeight="1">
      <c r="B43" s="6">
        <v>1</v>
      </c>
      <c r="C43" s="20">
        <v>2000</v>
      </c>
      <c r="D43" s="9">
        <v>57.4</v>
      </c>
      <c r="E43" s="8">
        <f t="shared" si="18"/>
        <v>4.9525452976704055E-2</v>
      </c>
      <c r="F43" s="41">
        <v>0.89</v>
      </c>
      <c r="G43" s="9">
        <v>1730</v>
      </c>
      <c r="H43" s="9">
        <v>44.1</v>
      </c>
      <c r="I43" s="8">
        <f t="shared" si="19"/>
        <v>3.8050043140638486E-2</v>
      </c>
      <c r="J43" s="41">
        <v>0.92800000000000005</v>
      </c>
      <c r="K43" s="20">
        <v>1475</v>
      </c>
      <c r="L43" s="41">
        <v>43.8</v>
      </c>
      <c r="M43" s="8">
        <f t="shared" si="20"/>
        <v>3.7791199309749779E-2</v>
      </c>
      <c r="N43" s="41">
        <v>0.92200000000000004</v>
      </c>
      <c r="O43" s="20">
        <v>1275</v>
      </c>
      <c r="P43" s="41">
        <v>42.3</v>
      </c>
      <c r="Q43" s="8">
        <f t="shared" si="21"/>
        <v>3.6496980155306294E-2</v>
      </c>
      <c r="R43" s="41">
        <v>9.24</v>
      </c>
      <c r="S43" s="20">
        <v>1080</v>
      </c>
      <c r="T43" s="41">
        <v>41.9</v>
      </c>
      <c r="U43" s="8">
        <f t="shared" si="22"/>
        <v>3.6151855047454703E-2</v>
      </c>
      <c r="V43" s="41">
        <v>0.91900000000000004</v>
      </c>
    </row>
    <row r="44" spans="1:22" ht="15.75" customHeight="1">
      <c r="B44" s="6">
        <v>2</v>
      </c>
      <c r="C44" s="20">
        <v>900</v>
      </c>
      <c r="D44" s="9">
        <v>78.5</v>
      </c>
      <c r="E44" s="8">
        <f t="shared" si="18"/>
        <v>6.7730802415875757E-2</v>
      </c>
      <c r="F44" s="41">
        <v>0.93700000000000006</v>
      </c>
      <c r="G44" s="9">
        <v>770</v>
      </c>
      <c r="H44" s="9">
        <v>49.6</v>
      </c>
      <c r="I44" s="8">
        <f t="shared" si="19"/>
        <v>4.2795513373597931E-2</v>
      </c>
      <c r="J44" s="41">
        <v>0.97</v>
      </c>
      <c r="K44" s="20">
        <v>670</v>
      </c>
      <c r="L44" s="41">
        <v>45.8</v>
      </c>
      <c r="M44" s="8">
        <f t="shared" si="20"/>
        <v>3.9516824849007766E-2</v>
      </c>
      <c r="N44" s="41">
        <v>0.97599999999999998</v>
      </c>
      <c r="O44" s="20">
        <v>635</v>
      </c>
      <c r="P44" s="41">
        <v>44.1</v>
      </c>
      <c r="Q44" s="8">
        <f t="shared" si="21"/>
        <v>3.8050043140638486E-2</v>
      </c>
      <c r="R44" s="41">
        <v>0.97799999999999998</v>
      </c>
      <c r="S44" s="20">
        <v>535</v>
      </c>
      <c r="T44" s="41">
        <v>40.200000000000003</v>
      </c>
      <c r="U44" s="8">
        <f t="shared" si="22"/>
        <v>3.4685073339085423E-2</v>
      </c>
      <c r="V44" s="41">
        <v>0.98099999999999998</v>
      </c>
    </row>
    <row r="45" spans="1:22" ht="15.75" customHeight="1">
      <c r="B45" s="6">
        <v>3</v>
      </c>
      <c r="C45" s="20">
        <v>3255</v>
      </c>
      <c r="D45" s="9">
        <v>49.3</v>
      </c>
      <c r="E45" s="8">
        <f t="shared" si="18"/>
        <v>4.2536669542709231E-2</v>
      </c>
      <c r="F45" s="41">
        <v>0.94099999999999995</v>
      </c>
      <c r="G45" s="9">
        <v>2640</v>
      </c>
      <c r="H45" s="9">
        <v>39.1</v>
      </c>
      <c r="I45" s="8">
        <f t="shared" si="19"/>
        <v>3.3735979292493529E-2</v>
      </c>
      <c r="J45" s="41">
        <v>0.95499999999999996</v>
      </c>
      <c r="K45" s="20">
        <v>2335</v>
      </c>
      <c r="L45" s="41">
        <v>36.1</v>
      </c>
      <c r="M45" s="8">
        <f t="shared" si="20"/>
        <v>3.1147540983606559E-2</v>
      </c>
      <c r="N45" s="41">
        <v>0.95799999999999996</v>
      </c>
      <c r="O45" s="20">
        <v>1910</v>
      </c>
      <c r="P45" s="41">
        <v>35.1</v>
      </c>
      <c r="Q45" s="8">
        <f t="shared" si="21"/>
        <v>3.0284728213977569E-2</v>
      </c>
      <c r="R45" s="41">
        <v>0.95699999999999996</v>
      </c>
      <c r="S45" s="20">
        <v>1570</v>
      </c>
      <c r="T45" s="41">
        <v>32.1</v>
      </c>
      <c r="U45" s="8">
        <f t="shared" si="22"/>
        <v>2.7696289905090595E-2</v>
      </c>
      <c r="V45" s="41">
        <v>0.96</v>
      </c>
    </row>
    <row r="46" spans="1:22" ht="15.75" customHeight="1">
      <c r="B46" s="6">
        <v>4</v>
      </c>
      <c r="C46" s="20">
        <v>1925</v>
      </c>
      <c r="D46" s="9">
        <v>50.9</v>
      </c>
      <c r="E46" s="8">
        <f t="shared" si="18"/>
        <v>4.3917169974115614E-2</v>
      </c>
      <c r="F46" s="41">
        <v>0.96799999999999997</v>
      </c>
      <c r="G46" s="9">
        <v>1750</v>
      </c>
      <c r="H46" s="9">
        <v>45.8</v>
      </c>
      <c r="I46" s="8">
        <f t="shared" si="19"/>
        <v>3.9516824849007766E-2</v>
      </c>
      <c r="J46" s="41">
        <v>0.97399999999999998</v>
      </c>
      <c r="K46" s="20">
        <v>1525</v>
      </c>
      <c r="L46" s="41">
        <v>41.8</v>
      </c>
      <c r="M46" s="8">
        <f t="shared" si="20"/>
        <v>3.6065573770491799E-2</v>
      </c>
      <c r="N46" s="41">
        <v>0.97699999999999998</v>
      </c>
      <c r="O46" s="20">
        <v>1335</v>
      </c>
      <c r="P46" s="41">
        <v>38.6</v>
      </c>
      <c r="Q46" s="8">
        <f t="shared" si="21"/>
        <v>3.3304572907679034E-2</v>
      </c>
      <c r="R46" s="41">
        <v>0.97899999999999998</v>
      </c>
      <c r="S46" s="20">
        <v>1130</v>
      </c>
      <c r="T46" s="41">
        <v>42</v>
      </c>
      <c r="U46" s="8">
        <f t="shared" si="22"/>
        <v>3.6238136324417601E-2</v>
      </c>
      <c r="V46" s="41">
        <v>0.97699999999999998</v>
      </c>
    </row>
    <row r="47" spans="1:22" ht="15.75" customHeight="1">
      <c r="B47" s="6">
        <v>5</v>
      </c>
      <c r="C47" s="20">
        <v>1275</v>
      </c>
      <c r="D47" s="9">
        <v>63</v>
      </c>
      <c r="E47" s="8">
        <f t="shared" si="18"/>
        <v>5.4357204486626405E-2</v>
      </c>
      <c r="F47" s="41">
        <v>0.86699999999999999</v>
      </c>
      <c r="G47" s="9">
        <v>1235</v>
      </c>
      <c r="H47" s="9">
        <v>48.8</v>
      </c>
      <c r="I47" s="8">
        <f t="shared" si="19"/>
        <v>4.2105263157894736E-2</v>
      </c>
      <c r="J47" s="41">
        <v>0.93799999999999994</v>
      </c>
      <c r="K47" s="20">
        <v>1110</v>
      </c>
      <c r="L47" s="41">
        <v>39.6</v>
      </c>
      <c r="M47" s="8">
        <f t="shared" si="20"/>
        <v>3.4167385677308024E-2</v>
      </c>
      <c r="N47" s="41">
        <v>0.96</v>
      </c>
      <c r="O47" s="20">
        <v>955</v>
      </c>
      <c r="P47" s="41">
        <v>39</v>
      </c>
      <c r="Q47" s="8">
        <f t="shared" si="21"/>
        <v>3.3649698015530631E-2</v>
      </c>
      <c r="R47" s="41">
        <v>0.95399999999999996</v>
      </c>
      <c r="S47" s="20">
        <v>790</v>
      </c>
      <c r="T47" s="41">
        <v>37.799999999999997</v>
      </c>
      <c r="U47" s="8">
        <f t="shared" si="22"/>
        <v>3.2614322691975839E-2</v>
      </c>
      <c r="V47" s="41">
        <v>0.95599999999999996</v>
      </c>
    </row>
    <row r="48" spans="1:22" ht="15.75" customHeight="1">
      <c r="B48" s="6">
        <v>6</v>
      </c>
      <c r="C48" s="20">
        <v>1185</v>
      </c>
      <c r="D48" s="9">
        <v>87.4</v>
      </c>
      <c r="E48" s="8">
        <f t="shared" si="18"/>
        <v>7.5409836065573776E-2</v>
      </c>
      <c r="F48" s="41">
        <v>0.92100000000000004</v>
      </c>
      <c r="G48" s="9">
        <v>1140</v>
      </c>
      <c r="H48" s="9">
        <v>68.7</v>
      </c>
      <c r="I48" s="8">
        <f t="shared" si="19"/>
        <v>5.9275237273511652E-2</v>
      </c>
      <c r="J48" s="41">
        <v>0.94499999999999995</v>
      </c>
      <c r="K48" s="20">
        <v>940</v>
      </c>
      <c r="L48" s="41">
        <v>55.2</v>
      </c>
      <c r="M48" s="8">
        <f t="shared" si="20"/>
        <v>4.762726488352028E-2</v>
      </c>
      <c r="N48" s="41">
        <v>0.95599999999999996</v>
      </c>
      <c r="O48" s="20">
        <v>810</v>
      </c>
      <c r="P48" s="41">
        <v>48.7</v>
      </c>
      <c r="Q48" s="8">
        <f t="shared" si="21"/>
        <v>4.2018981880931838E-2</v>
      </c>
      <c r="R48" s="41">
        <v>0.96399999999999997</v>
      </c>
      <c r="S48" s="20">
        <v>670</v>
      </c>
      <c r="T48" s="41">
        <v>48.4</v>
      </c>
      <c r="U48" s="8">
        <f t="shared" si="22"/>
        <v>4.1760138050043139E-2</v>
      </c>
      <c r="V48" s="41">
        <v>0.96099999999999997</v>
      </c>
    </row>
    <row r="49" spans="1:22" ht="15.75" customHeight="1">
      <c r="B49" s="6">
        <v>7</v>
      </c>
      <c r="C49" s="20">
        <v>1040</v>
      </c>
      <c r="D49" s="9">
        <v>54.3</v>
      </c>
      <c r="E49" s="8">
        <f t="shared" si="18"/>
        <v>4.6850733390854181E-2</v>
      </c>
      <c r="F49" s="41">
        <v>0.95099999999999996</v>
      </c>
      <c r="G49" s="9">
        <v>935</v>
      </c>
      <c r="H49" s="9">
        <v>41.9</v>
      </c>
      <c r="I49" s="8">
        <f t="shared" si="19"/>
        <v>3.6151855047454703E-2</v>
      </c>
      <c r="J49" s="41">
        <v>0.96499999999999997</v>
      </c>
      <c r="K49" s="20">
        <v>815</v>
      </c>
      <c r="L49" s="41">
        <v>36.6</v>
      </c>
      <c r="M49" s="8">
        <f t="shared" si="20"/>
        <v>3.1578947368421054E-2</v>
      </c>
      <c r="N49" s="41">
        <v>0.97199999999999998</v>
      </c>
      <c r="O49" s="20">
        <v>645</v>
      </c>
      <c r="P49" s="41">
        <v>33.4</v>
      </c>
      <c r="Q49" s="8">
        <f t="shared" si="21"/>
        <v>2.8817946505608281E-2</v>
      </c>
      <c r="R49" s="41">
        <v>0.97599999999999998</v>
      </c>
      <c r="S49" s="20">
        <v>520</v>
      </c>
      <c r="T49" s="41">
        <v>33.9</v>
      </c>
      <c r="U49" s="8">
        <f t="shared" si="22"/>
        <v>2.9249352890422776E-2</v>
      </c>
      <c r="V49" s="41">
        <v>0.97499999999999998</v>
      </c>
    </row>
    <row r="50" spans="1:22" ht="15.75" customHeight="1">
      <c r="C50" s="20"/>
      <c r="D50" s="9"/>
      <c r="G50" s="9"/>
      <c r="H50" s="9"/>
      <c r="K50" s="20"/>
      <c r="O50" s="20"/>
      <c r="S50" s="20"/>
    </row>
    <row r="51" spans="1:22" ht="15.75" customHeight="1">
      <c r="B51" s="6" t="s">
        <v>4</v>
      </c>
      <c r="C51" s="20"/>
      <c r="D51" s="15">
        <f>SUMPRODUCT(C42:C49,D42:D49)/SUM(C42:C49)</f>
        <v>58.476793893129773</v>
      </c>
      <c r="E51" s="12">
        <f>SUMPRODUCT(C42:C49,E42:E49)/SUM(C42:C49)</f>
        <v>5.0454524497954949E-2</v>
      </c>
      <c r="G51" s="9"/>
      <c r="H51" s="15">
        <f>SUMPRODUCT(G42:G49,H42:H49)/SUM(G42:G49)</f>
        <v>47.5565478746243</v>
      </c>
      <c r="I51" s="12">
        <f>SUMPRODUCT(G42:G49,I42:I49)/SUM(G42:G49)</f>
        <v>4.1032396785698283E-2</v>
      </c>
      <c r="K51" s="20"/>
      <c r="L51" s="15">
        <f>SUMPRODUCT(K42:K49,L42:L49)/SUM(K42:K49)</f>
        <v>42.233676975945016</v>
      </c>
      <c r="M51" s="12">
        <f>SUMPRODUCT(K42:K49,M42:M49)/SUM(K42:K49)</f>
        <v>3.643975580323125E-2</v>
      </c>
      <c r="O51" s="20"/>
      <c r="P51" s="15">
        <f>SUMPRODUCT(O42:O49,P42:P49)/SUM(O42:O49)</f>
        <v>40.065292096219935</v>
      </c>
      <c r="Q51" s="12">
        <f>SUMPRODUCT(O42:O49,Q42:Q49)/SUM(O42:O49)</f>
        <v>3.4568845639534024E-2</v>
      </c>
      <c r="S51" s="20"/>
      <c r="T51" s="15">
        <f>SUMPRODUCT(S42:S49,T42:T49)/SUM(S42:S49)</f>
        <v>39.297594501718216</v>
      </c>
      <c r="U51" s="12">
        <f>SUMPRODUCT(S42:S49,U42:U49)/SUM(S42:S49)</f>
        <v>3.390646635178448E-2</v>
      </c>
    </row>
    <row r="52" spans="1:22" ht="15.75" customHeight="1">
      <c r="E52">
        <v>5.39</v>
      </c>
      <c r="I52">
        <v>4.3600000000000003</v>
      </c>
      <c r="M52">
        <v>3.77</v>
      </c>
      <c r="Q52">
        <v>3.61</v>
      </c>
      <c r="U52">
        <v>3.51</v>
      </c>
    </row>
    <row r="53" spans="1:22" ht="15.75" customHeight="1">
      <c r="C53" s="6">
        <f>SUM(C42:C49)</f>
        <v>13100</v>
      </c>
      <c r="G53" s="6">
        <f>SUM(G42:G49)</f>
        <v>11645</v>
      </c>
      <c r="K53" s="6">
        <f>SUM(K42:K49)</f>
        <v>10185</v>
      </c>
      <c r="O53" s="6">
        <f>SUM(O42:O49)</f>
        <v>8730</v>
      </c>
      <c r="S53" s="6">
        <f>SUM(S42:S49)</f>
        <v>7275</v>
      </c>
    </row>
    <row r="54" spans="1:22" ht="15.75" customHeight="1"/>
    <row r="55" spans="1:22" ht="15.75" customHeight="1"/>
    <row r="56" spans="1:22" ht="15.75" customHeight="1">
      <c r="A56" s="6" t="s">
        <v>20</v>
      </c>
      <c r="D56" s="32">
        <v>0.1</v>
      </c>
      <c r="E56" s="30"/>
      <c r="F56" s="30"/>
      <c r="G56" s="18"/>
      <c r="H56" s="32">
        <v>0.2</v>
      </c>
      <c r="I56" s="30"/>
      <c r="J56" s="30"/>
      <c r="K56" s="18"/>
      <c r="L56" s="32">
        <v>0.3</v>
      </c>
      <c r="M56" s="30"/>
      <c r="N56" s="30"/>
      <c r="O56" s="18"/>
      <c r="P56" s="32">
        <v>0.4</v>
      </c>
      <c r="Q56" s="30"/>
      <c r="R56" s="30"/>
      <c r="S56" s="18"/>
      <c r="T56" s="32">
        <v>0.5</v>
      </c>
      <c r="U56" s="30"/>
      <c r="V56" s="30"/>
    </row>
    <row r="57" spans="1:22" ht="15.75" customHeight="1">
      <c r="B57" s="3" t="s">
        <v>0</v>
      </c>
      <c r="C57" s="19" t="s">
        <v>17</v>
      </c>
      <c r="D57" s="4" t="s">
        <v>1</v>
      </c>
      <c r="E57" s="3" t="s">
        <v>2</v>
      </c>
      <c r="F57" s="3" t="s">
        <v>3</v>
      </c>
      <c r="G57" s="19" t="s">
        <v>17</v>
      </c>
      <c r="H57" s="4" t="s">
        <v>1</v>
      </c>
      <c r="I57" s="3" t="s">
        <v>2</v>
      </c>
      <c r="J57" s="3" t="s">
        <v>3</v>
      </c>
      <c r="K57" s="19" t="s">
        <v>17</v>
      </c>
      <c r="L57" s="3" t="s">
        <v>1</v>
      </c>
      <c r="M57" s="3" t="s">
        <v>2</v>
      </c>
      <c r="N57" s="3" t="s">
        <v>3</v>
      </c>
      <c r="O57" s="19" t="s">
        <v>17</v>
      </c>
      <c r="P57" s="3" t="s">
        <v>1</v>
      </c>
      <c r="Q57" s="3" t="s">
        <v>2</v>
      </c>
      <c r="R57" s="3" t="s">
        <v>3</v>
      </c>
      <c r="S57" s="19" t="s">
        <v>17</v>
      </c>
      <c r="T57" s="3" t="s">
        <v>1</v>
      </c>
      <c r="U57" s="3" t="s">
        <v>2</v>
      </c>
      <c r="V57" s="3" t="s">
        <v>3</v>
      </c>
    </row>
    <row r="58" spans="1:22" ht="15.75" customHeight="1">
      <c r="B58" s="6">
        <v>0</v>
      </c>
      <c r="C58" s="20">
        <v>1615</v>
      </c>
      <c r="D58" s="9">
        <v>63.9</v>
      </c>
      <c r="E58" s="8">
        <f t="shared" ref="E58:E65" si="23">D58/$A$5</f>
        <v>5.5133735979292491E-2</v>
      </c>
      <c r="F58" s="41">
        <v>0.77900000000000003</v>
      </c>
      <c r="G58" s="9">
        <v>1345</v>
      </c>
      <c r="H58" s="9">
        <v>47.5</v>
      </c>
      <c r="I58" s="8">
        <f t="shared" ref="I58:I65" si="24">H58/$A$5</f>
        <v>4.0983606557377046E-2</v>
      </c>
      <c r="J58" s="41">
        <v>0.83399999999999996</v>
      </c>
      <c r="K58" s="20">
        <v>1360</v>
      </c>
      <c r="L58" s="41">
        <v>44.7</v>
      </c>
      <c r="M58" s="8">
        <f t="shared" ref="M58:M65" si="25">L58/$A$5</f>
        <v>3.8567730802415878E-2</v>
      </c>
      <c r="N58" s="41">
        <v>0.88800000000000001</v>
      </c>
      <c r="O58" s="20">
        <v>1155</v>
      </c>
      <c r="P58" s="41">
        <v>43.7</v>
      </c>
      <c r="Q58" s="8">
        <f t="shared" ref="Q58:Q65" si="26">P58/$A$5</f>
        <v>3.7704918032786888E-2</v>
      </c>
      <c r="R58" s="41">
        <v>0.89100000000000001</v>
      </c>
      <c r="S58" s="20">
        <v>985</v>
      </c>
      <c r="T58" s="41">
        <v>43</v>
      </c>
      <c r="U58" s="8">
        <f t="shared" ref="U58:U65" si="27">T58/$A$5</f>
        <v>3.7100949094046591E-2</v>
      </c>
    </row>
    <row r="59" spans="1:22" ht="15.75" customHeight="1">
      <c r="B59" s="6">
        <v>1</v>
      </c>
      <c r="C59" s="20">
        <v>2025</v>
      </c>
      <c r="D59" s="9">
        <v>60.5</v>
      </c>
      <c r="E59" s="8">
        <f t="shared" si="23"/>
        <v>5.2200172562553923E-2</v>
      </c>
      <c r="F59" s="41">
        <v>0.86199999999999999</v>
      </c>
      <c r="G59" s="9">
        <v>1830</v>
      </c>
      <c r="H59" s="9">
        <v>51.1</v>
      </c>
      <c r="I59" s="8">
        <f t="shared" si="24"/>
        <v>4.4089732528041416E-2</v>
      </c>
      <c r="J59" s="41">
        <v>0.91</v>
      </c>
      <c r="K59" s="20">
        <v>1470</v>
      </c>
      <c r="L59" s="41">
        <v>43.5</v>
      </c>
      <c r="M59" s="8">
        <f t="shared" si="25"/>
        <v>3.7532355478861086E-2</v>
      </c>
      <c r="N59" s="41">
        <v>0.91100000000000003</v>
      </c>
      <c r="O59" s="20">
        <v>1280</v>
      </c>
      <c r="P59" s="41">
        <v>43.7</v>
      </c>
      <c r="Q59" s="8">
        <f t="shared" si="26"/>
        <v>3.7704918032786888E-2</v>
      </c>
      <c r="R59" s="41">
        <v>0.91</v>
      </c>
      <c r="S59" s="20">
        <v>1075</v>
      </c>
      <c r="T59" s="41">
        <v>43.2</v>
      </c>
      <c r="U59" s="8">
        <f t="shared" si="27"/>
        <v>3.7273511647972393E-2</v>
      </c>
    </row>
    <row r="60" spans="1:22" ht="15.75" customHeight="1">
      <c r="B60" s="6">
        <v>2</v>
      </c>
      <c r="C60" s="20">
        <v>925</v>
      </c>
      <c r="D60" s="9">
        <v>79.400000000000006</v>
      </c>
      <c r="E60" s="8">
        <f t="shared" si="23"/>
        <v>6.8507333908541856E-2</v>
      </c>
      <c r="F60" s="41">
        <v>0.92900000000000005</v>
      </c>
      <c r="G60" s="9">
        <v>850</v>
      </c>
      <c r="H60" s="9">
        <v>65.900000000000006</v>
      </c>
      <c r="I60" s="8">
        <f t="shared" si="24"/>
        <v>5.6859361518550477E-2</v>
      </c>
      <c r="J60" s="41">
        <v>0.94299999999999995</v>
      </c>
      <c r="K60" s="20">
        <v>715</v>
      </c>
      <c r="L60" s="41">
        <v>46.5</v>
      </c>
      <c r="M60" s="8">
        <f t="shared" si="25"/>
        <v>4.0120793787748056E-2</v>
      </c>
      <c r="N60" s="41">
        <v>0.97499999999999998</v>
      </c>
      <c r="O60" s="20">
        <v>620</v>
      </c>
      <c r="P60" s="41">
        <v>41.9</v>
      </c>
      <c r="Q60" s="8">
        <f t="shared" si="26"/>
        <v>3.6151855047454703E-2</v>
      </c>
      <c r="R60" s="41">
        <v>0.97799999999999998</v>
      </c>
      <c r="S60" s="20">
        <v>515</v>
      </c>
      <c r="T60" s="41">
        <v>40.799999999999997</v>
      </c>
      <c r="U60" s="8">
        <f t="shared" si="27"/>
        <v>3.5202761000862809E-2</v>
      </c>
    </row>
    <row r="61" spans="1:22" ht="15.75" customHeight="1">
      <c r="B61" s="6">
        <v>3</v>
      </c>
      <c r="C61" s="20">
        <v>3165</v>
      </c>
      <c r="D61" s="9">
        <v>47.2</v>
      </c>
      <c r="E61" s="8">
        <f t="shared" si="23"/>
        <v>4.0724762726488353E-2</v>
      </c>
      <c r="F61" s="41">
        <v>0.94699999999999995</v>
      </c>
      <c r="G61" s="9">
        <v>2840</v>
      </c>
      <c r="H61" s="9">
        <v>43.6</v>
      </c>
      <c r="I61" s="8">
        <f t="shared" si="24"/>
        <v>3.7618636755823991E-2</v>
      </c>
      <c r="J61" s="41">
        <v>0.95499999999999996</v>
      </c>
      <c r="K61" s="20">
        <v>2440</v>
      </c>
      <c r="L61" s="41">
        <v>46.4</v>
      </c>
      <c r="M61" s="8">
        <f t="shared" si="25"/>
        <v>4.0034512510785158E-2</v>
      </c>
      <c r="N61" s="41">
        <v>0.94399999999999995</v>
      </c>
      <c r="O61" s="20">
        <v>2115</v>
      </c>
      <c r="P61" s="41">
        <v>42.4</v>
      </c>
      <c r="Q61" s="8">
        <f t="shared" si="26"/>
        <v>3.6583261432269198E-2</v>
      </c>
      <c r="R61" s="41">
        <v>0.95299999999999996</v>
      </c>
      <c r="S61" s="20">
        <v>1770</v>
      </c>
      <c r="T61" s="41">
        <v>40.1</v>
      </c>
      <c r="U61" s="8">
        <f t="shared" si="27"/>
        <v>3.4598792062122519E-2</v>
      </c>
    </row>
    <row r="62" spans="1:22" ht="15.75" customHeight="1">
      <c r="B62" s="6">
        <v>4</v>
      </c>
      <c r="C62" s="20">
        <v>1900</v>
      </c>
      <c r="D62" s="9">
        <v>58.5</v>
      </c>
      <c r="E62" s="8">
        <f t="shared" si="23"/>
        <v>5.0474547023295943E-2</v>
      </c>
      <c r="F62" s="41">
        <v>0.95699999999999996</v>
      </c>
      <c r="G62" s="9">
        <v>1695</v>
      </c>
      <c r="H62" s="9">
        <v>40.6</v>
      </c>
      <c r="I62" s="8">
        <f t="shared" si="24"/>
        <v>3.5030198446937014E-2</v>
      </c>
      <c r="J62" s="41">
        <v>0.97699999999999998</v>
      </c>
      <c r="K62" s="20">
        <v>1460</v>
      </c>
      <c r="L62" s="41">
        <v>42.8</v>
      </c>
      <c r="M62" s="8">
        <f t="shared" si="25"/>
        <v>3.6928386540120789E-2</v>
      </c>
      <c r="N62" s="41">
        <v>0.97499999999999998</v>
      </c>
      <c r="O62" s="20">
        <v>1245</v>
      </c>
      <c r="P62" s="41">
        <v>36.6</v>
      </c>
      <c r="Q62" s="8">
        <f t="shared" si="26"/>
        <v>3.1578947368421054E-2</v>
      </c>
      <c r="R62" s="41">
        <v>0.98199999999999998</v>
      </c>
      <c r="S62" s="20">
        <v>1060</v>
      </c>
      <c r="T62" s="41">
        <v>34.299999999999997</v>
      </c>
      <c r="U62" s="8">
        <f t="shared" si="27"/>
        <v>2.959447799827437E-2</v>
      </c>
    </row>
    <row r="63" spans="1:22" ht="15.75" customHeight="1">
      <c r="B63" s="6">
        <v>5</v>
      </c>
      <c r="C63" s="20">
        <v>1255</v>
      </c>
      <c r="D63" s="9">
        <v>49.4</v>
      </c>
      <c r="E63" s="8">
        <f t="shared" si="23"/>
        <v>4.2622950819672129E-2</v>
      </c>
      <c r="F63" s="41">
        <v>0.91100000000000003</v>
      </c>
      <c r="G63" s="9">
        <v>1105</v>
      </c>
      <c r="H63" s="9">
        <v>42.6</v>
      </c>
      <c r="I63" s="8">
        <f t="shared" si="24"/>
        <v>3.6755823986194994E-2</v>
      </c>
      <c r="J63" s="41">
        <v>0.93899999999999995</v>
      </c>
      <c r="K63" s="20">
        <v>1005</v>
      </c>
      <c r="L63" s="41">
        <v>42.5</v>
      </c>
      <c r="M63" s="8">
        <f t="shared" si="25"/>
        <v>3.6669542709232096E-2</v>
      </c>
      <c r="N63" s="41">
        <v>0.94399999999999995</v>
      </c>
      <c r="O63" s="20">
        <v>830</v>
      </c>
      <c r="P63" s="41">
        <v>38.200000000000003</v>
      </c>
      <c r="Q63" s="8">
        <f t="shared" si="26"/>
        <v>3.2959447799827443E-2</v>
      </c>
      <c r="R63" s="41">
        <v>0.95799999999999996</v>
      </c>
      <c r="S63" s="20">
        <v>710</v>
      </c>
      <c r="T63" s="41">
        <v>35.799999999999997</v>
      </c>
      <c r="U63" s="8">
        <f t="shared" si="27"/>
        <v>3.0888697152717859E-2</v>
      </c>
    </row>
    <row r="64" spans="1:22" ht="15.75" customHeight="1">
      <c r="B64" s="6">
        <v>6</v>
      </c>
      <c r="C64" s="20">
        <v>1140</v>
      </c>
      <c r="D64" s="9">
        <v>61.7</v>
      </c>
      <c r="E64" s="8">
        <f t="shared" si="23"/>
        <v>5.3235547886108715E-2</v>
      </c>
      <c r="F64" s="41">
        <v>0.95299999999999996</v>
      </c>
      <c r="G64" s="9">
        <v>1050</v>
      </c>
      <c r="H64" s="9">
        <v>55.7</v>
      </c>
      <c r="I64" s="8">
        <f t="shared" si="24"/>
        <v>4.8058671268334775E-2</v>
      </c>
      <c r="J64" s="41">
        <v>0.96099999999999997</v>
      </c>
      <c r="K64" s="20">
        <v>880</v>
      </c>
      <c r="L64" s="41">
        <v>46.4</v>
      </c>
      <c r="M64" s="8">
        <f t="shared" si="25"/>
        <v>4.0034512510785158E-2</v>
      </c>
      <c r="N64" s="41">
        <v>0.97199999999999998</v>
      </c>
      <c r="O64" s="20">
        <v>755</v>
      </c>
      <c r="P64" s="41">
        <v>43.2</v>
      </c>
      <c r="Q64" s="8">
        <f t="shared" si="26"/>
        <v>3.7273511647972393E-2</v>
      </c>
      <c r="R64" s="41">
        <v>0.97899999999999998</v>
      </c>
      <c r="S64" s="20">
        <v>590</v>
      </c>
      <c r="T64" s="41">
        <v>43.7</v>
      </c>
      <c r="U64" s="8">
        <f t="shared" si="27"/>
        <v>3.7704918032786888E-2</v>
      </c>
    </row>
    <row r="65" spans="2:21" ht="15.75" customHeight="1">
      <c r="B65" s="6">
        <v>7</v>
      </c>
      <c r="C65" s="20">
        <v>1075</v>
      </c>
      <c r="D65" s="9">
        <v>61.3</v>
      </c>
      <c r="E65" s="8">
        <f t="shared" si="23"/>
        <v>5.2890422778257118E-2</v>
      </c>
      <c r="F65" s="41">
        <v>0.94499999999999995</v>
      </c>
      <c r="G65" s="9">
        <v>930</v>
      </c>
      <c r="H65" s="9">
        <v>35.299999999999997</v>
      </c>
      <c r="I65" s="8">
        <f t="shared" si="24"/>
        <v>3.0457290767903364E-2</v>
      </c>
      <c r="J65" s="41">
        <v>0.97399999999999998</v>
      </c>
      <c r="K65" s="20">
        <v>855</v>
      </c>
      <c r="L65" s="41">
        <v>37.1</v>
      </c>
      <c r="M65" s="8">
        <f t="shared" si="25"/>
        <v>3.2010353753235549E-2</v>
      </c>
      <c r="N65" s="41">
        <v>0.97199999999999998</v>
      </c>
      <c r="O65" s="20">
        <v>730</v>
      </c>
      <c r="P65" s="41">
        <v>33.299999999999997</v>
      </c>
      <c r="Q65" s="8">
        <f t="shared" si="26"/>
        <v>2.873166522864538E-2</v>
      </c>
      <c r="R65" s="41">
        <v>0.97699999999999998</v>
      </c>
      <c r="S65" s="20">
        <v>570</v>
      </c>
      <c r="T65" s="41">
        <v>34.6</v>
      </c>
      <c r="U65" s="8">
        <f t="shared" si="27"/>
        <v>2.9853321829163074E-2</v>
      </c>
    </row>
    <row r="66" spans="2:21" ht="15.75" customHeight="1">
      <c r="C66" s="20"/>
      <c r="D66" s="9"/>
      <c r="G66" s="9"/>
      <c r="H66" s="9"/>
      <c r="K66" s="20"/>
      <c r="O66" s="20"/>
      <c r="S66" s="20"/>
    </row>
    <row r="67" spans="2:21" ht="15.75" customHeight="1">
      <c r="B67" s="6" t="s">
        <v>4</v>
      </c>
      <c r="C67" s="20"/>
      <c r="D67" s="15">
        <f>SUMPRODUCT(C58:C65,D58:D65)/SUM(C58:C65)</f>
        <v>57.856984732824429</v>
      </c>
      <c r="E67" s="12">
        <f>SUMPRODUCT(C58:C65,E58:E65)/SUM(C58:C65)</f>
        <v>4.9919745239710475E-2</v>
      </c>
      <c r="G67" s="9"/>
      <c r="H67" s="15">
        <f>SUMPRODUCT(G58:G65,H58:H65)/SUM(G58:G65)</f>
        <v>46.753413482181195</v>
      </c>
      <c r="I67" s="12">
        <f>SUMPRODUCT(G58:G65,I58:I65)/SUM(G58:G65)</f>
        <v>4.0339442176170144E-2</v>
      </c>
      <c r="K67" s="20"/>
      <c r="L67" s="15">
        <f>SUMPRODUCT(K58:K65,L58:L65)/SUM(K58:K65)</f>
        <v>44.079872361315658</v>
      </c>
      <c r="M67" s="12">
        <f>SUMPRODUCT(K58:K65,M58:M65)/SUM(K58:K65)</f>
        <v>3.8032676756959156E-2</v>
      </c>
      <c r="O67" s="20"/>
      <c r="P67" s="15">
        <f>SUMPRODUCT(O58:O65,P58:P65)/SUM(O58:O65)</f>
        <v>40.808877434135169</v>
      </c>
      <c r="Q67" s="12">
        <f>SUMPRODUCT(O58:O65,Q58:Q65)/SUM(O58:O65)</f>
        <v>3.5210420564396182E-2</v>
      </c>
      <c r="S67" s="20"/>
      <c r="T67" s="15">
        <f>SUMPRODUCT(S58:S65,T58:T65)/SUM(S58:S65)</f>
        <v>39.596563573883159</v>
      </c>
      <c r="U67" s="12">
        <f>SUMPRODUCT(S58:S65,U58:U65)/SUM(S58:S65)</f>
        <v>3.4164420684972531E-2</v>
      </c>
    </row>
    <row r="68" spans="2:21" ht="15.75" customHeight="1">
      <c r="E68">
        <v>5.39</v>
      </c>
      <c r="I68">
        <v>4.3499999999999996</v>
      </c>
      <c r="M68">
        <v>3.79</v>
      </c>
      <c r="Q68">
        <v>3.61</v>
      </c>
      <c r="U68">
        <v>3.51</v>
      </c>
    </row>
    <row r="69" spans="2:21" ht="15.75" customHeight="1">
      <c r="C69" s="6">
        <f>SUM(C58:C65)</f>
        <v>13100</v>
      </c>
      <c r="G69" s="6">
        <f>SUM(G58:G65)</f>
        <v>11645</v>
      </c>
      <c r="K69" s="6">
        <f>SUM(K58:K65)</f>
        <v>10185</v>
      </c>
      <c r="O69" s="6">
        <f>SUM(O58:O65)</f>
        <v>8730</v>
      </c>
      <c r="S69" s="6">
        <f>SUM(S58:S65)</f>
        <v>7275</v>
      </c>
    </row>
    <row r="70" spans="2:21" ht="15.75" customHeight="1"/>
    <row r="71" spans="2:21" ht="15.75" customHeight="1"/>
    <row r="72" spans="2:21" ht="15.75" customHeight="1"/>
    <row r="73" spans="2:21" ht="15.75" customHeight="1"/>
    <row r="74" spans="2:21" ht="15.75" customHeight="1"/>
    <row r="75" spans="2:21" ht="15.75" customHeight="1"/>
    <row r="76" spans="2:21" ht="15.75" customHeight="1"/>
    <row r="77" spans="2:21" ht="15.75" customHeight="1"/>
    <row r="78" spans="2:21" ht="15.75" customHeight="1"/>
    <row r="79" spans="2:21" ht="15.75" customHeight="1"/>
    <row r="80" spans="2:21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D24:F24"/>
    <mergeCell ref="H24:J24"/>
    <mergeCell ref="T24:V24"/>
    <mergeCell ref="D56:F56"/>
    <mergeCell ref="H56:J56"/>
    <mergeCell ref="L56:N56"/>
    <mergeCell ref="P56:R56"/>
    <mergeCell ref="T56:V56"/>
    <mergeCell ref="L24:N24"/>
    <mergeCell ref="P24:R24"/>
    <mergeCell ref="D40:F40"/>
    <mergeCell ref="H40:J40"/>
    <mergeCell ref="L40:N40"/>
    <mergeCell ref="P40:R40"/>
    <mergeCell ref="T40:V40"/>
    <mergeCell ref="D7:F7"/>
    <mergeCell ref="H7:J7"/>
    <mergeCell ref="L7:N7"/>
    <mergeCell ref="P7:R7"/>
    <mergeCell ref="T7:V7"/>
  </mergeCells>
  <pageMargins left="0.7" right="0.7" top="0.78740157499999996" bottom="0.78740157499999996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Y1000"/>
  <sheetViews>
    <sheetView workbookViewId="0">
      <selection activeCell="K78" sqref="K78"/>
    </sheetView>
  </sheetViews>
  <sheetFormatPr baseColWidth="10" defaultColWidth="14.42578125" defaultRowHeight="15" customHeight="1"/>
  <cols>
    <col min="1" max="1" width="10.7109375" customWidth="1"/>
    <col min="2" max="2" width="12.5703125" customWidth="1"/>
    <col min="3" max="26" width="10.7109375" customWidth="1"/>
  </cols>
  <sheetData>
    <row r="3" spans="1:25">
      <c r="B3" s="6">
        <v>17515</v>
      </c>
      <c r="C3" s="6" t="s">
        <v>14</v>
      </c>
      <c r="D3" s="6">
        <v>256</v>
      </c>
      <c r="E3" s="6" t="s">
        <v>15</v>
      </c>
    </row>
    <row r="4" spans="1:25">
      <c r="A4" s="6" t="s">
        <v>11</v>
      </c>
    </row>
    <row r="5" spans="1:25">
      <c r="A5" s="6">
        <v>576</v>
      </c>
    </row>
    <row r="7" spans="1:25">
      <c r="A7" s="6" t="s">
        <v>20</v>
      </c>
      <c r="D7" s="32">
        <v>0.1</v>
      </c>
      <c r="E7" s="30"/>
      <c r="F7" s="30"/>
      <c r="G7" s="18"/>
      <c r="H7" s="32">
        <v>0.2</v>
      </c>
      <c r="I7" s="30"/>
      <c r="J7" s="30"/>
      <c r="K7" s="18"/>
      <c r="L7" s="32">
        <v>0.3</v>
      </c>
      <c r="M7" s="30"/>
      <c r="N7" s="30"/>
      <c r="O7" s="18"/>
      <c r="P7" s="32">
        <v>0.4</v>
      </c>
      <c r="Q7" s="30"/>
      <c r="R7" s="30"/>
      <c r="S7" s="18"/>
      <c r="T7" s="32">
        <v>0.5</v>
      </c>
      <c r="U7" s="30"/>
      <c r="V7" s="30"/>
      <c r="W7" s="1"/>
      <c r="X7" s="2"/>
      <c r="Y7" s="2"/>
    </row>
    <row r="8" spans="1:25">
      <c r="B8" s="3" t="s">
        <v>0</v>
      </c>
      <c r="C8" s="19" t="s">
        <v>17</v>
      </c>
      <c r="D8" s="4" t="s">
        <v>1</v>
      </c>
      <c r="E8" s="3" t="s">
        <v>2</v>
      </c>
      <c r="F8" s="3" t="s">
        <v>3</v>
      </c>
      <c r="G8" s="19" t="s">
        <v>17</v>
      </c>
      <c r="H8" s="4" t="s">
        <v>1</v>
      </c>
      <c r="I8" s="3" t="s">
        <v>2</v>
      </c>
      <c r="J8" s="3" t="s">
        <v>3</v>
      </c>
      <c r="K8" s="19" t="s">
        <v>17</v>
      </c>
      <c r="L8" s="3" t="s">
        <v>1</v>
      </c>
      <c r="M8" s="3" t="s">
        <v>2</v>
      </c>
      <c r="N8" s="3" t="s">
        <v>3</v>
      </c>
      <c r="O8" s="19" t="s">
        <v>17</v>
      </c>
      <c r="P8" s="3" t="s">
        <v>1</v>
      </c>
      <c r="Q8" s="3" t="s">
        <v>2</v>
      </c>
      <c r="R8" s="3" t="s">
        <v>3</v>
      </c>
      <c r="S8" s="19" t="s">
        <v>17</v>
      </c>
      <c r="T8" s="3" t="s">
        <v>1</v>
      </c>
      <c r="U8" s="3" t="s">
        <v>2</v>
      </c>
      <c r="V8" s="3" t="s">
        <v>3</v>
      </c>
    </row>
    <row r="9" spans="1:25">
      <c r="B9" s="6">
        <v>0</v>
      </c>
      <c r="C9" s="24">
        <f t="shared" ref="C9:V9" si="0">AVERAGE(C26,C42,C58)</f>
        <v>1563.3333333333333</v>
      </c>
      <c r="D9" s="25">
        <f t="shared" si="0"/>
        <v>31.766666666666669</v>
      </c>
      <c r="E9" s="21">
        <f t="shared" si="0"/>
        <v>5.5150462962962964E-2</v>
      </c>
      <c r="F9" s="20">
        <f t="shared" si="0"/>
        <v>0.84233333333333338</v>
      </c>
      <c r="G9" s="24">
        <f t="shared" si="0"/>
        <v>1375</v>
      </c>
      <c r="H9" s="25">
        <f t="shared" si="0"/>
        <v>27.933333333333337</v>
      </c>
      <c r="I9" s="21">
        <f t="shared" si="0"/>
        <v>4.8495370370370376E-2</v>
      </c>
      <c r="J9" s="20">
        <f t="shared" si="0"/>
        <v>0.88800000000000001</v>
      </c>
      <c r="K9" s="24">
        <f t="shared" si="0"/>
        <v>1238.3333333333333</v>
      </c>
      <c r="L9" s="25">
        <f t="shared" si="0"/>
        <v>26.5</v>
      </c>
      <c r="M9" s="21">
        <f t="shared" si="0"/>
        <v>4.6006944444444448E-2</v>
      </c>
      <c r="N9" s="20">
        <f t="shared" si="0"/>
        <v>0.90166666666666673</v>
      </c>
      <c r="O9" s="24">
        <f t="shared" si="0"/>
        <v>1096.6666666666667</v>
      </c>
      <c r="P9" s="25">
        <f t="shared" si="0"/>
        <v>26.3</v>
      </c>
      <c r="Q9" s="21">
        <f t="shared" si="0"/>
        <v>4.5659722222222227E-2</v>
      </c>
      <c r="R9" s="20">
        <f t="shared" si="0"/>
        <v>0.91733333333333344</v>
      </c>
      <c r="S9" s="24">
        <f t="shared" si="0"/>
        <v>896.66666666666663</v>
      </c>
      <c r="T9" s="25">
        <f t="shared" si="0"/>
        <v>24.366666666666664</v>
      </c>
      <c r="U9" s="21">
        <f t="shared" si="0"/>
        <v>4.2303240740740738E-2</v>
      </c>
      <c r="V9" s="20">
        <f t="shared" si="0"/>
        <v>0.91949999999999998</v>
      </c>
    </row>
    <row r="10" spans="1:25">
      <c r="B10" s="6">
        <v>1</v>
      </c>
      <c r="C10" s="24">
        <f t="shared" ref="C10:V10" si="1">AVERAGE(C27,C43,C59)</f>
        <v>2716.6666666666665</v>
      </c>
      <c r="D10" s="25">
        <f t="shared" si="1"/>
        <v>19.866666666666664</v>
      </c>
      <c r="E10" s="21">
        <f t="shared" si="1"/>
        <v>3.4490740740740738E-2</v>
      </c>
      <c r="F10" s="20">
        <f t="shared" si="1"/>
        <v>0.879</v>
      </c>
      <c r="G10" s="24">
        <f t="shared" si="1"/>
        <v>2411.6666666666665</v>
      </c>
      <c r="H10" s="25">
        <f t="shared" si="1"/>
        <v>16.633333333333333</v>
      </c>
      <c r="I10" s="21">
        <f t="shared" si="1"/>
        <v>2.8877314814814814E-2</v>
      </c>
      <c r="J10" s="20">
        <f t="shared" si="1"/>
        <v>0.90866666666666662</v>
      </c>
      <c r="K10" s="24">
        <f t="shared" si="1"/>
        <v>2048.3333333333335</v>
      </c>
      <c r="L10" s="25">
        <f t="shared" si="1"/>
        <v>15.700000000000001</v>
      </c>
      <c r="M10" s="21">
        <f t="shared" si="1"/>
        <v>2.7256944444444445E-2</v>
      </c>
      <c r="N10" s="20">
        <f t="shared" si="1"/>
        <v>0.91</v>
      </c>
      <c r="O10" s="24">
        <f t="shared" si="1"/>
        <v>1721.6666666666667</v>
      </c>
      <c r="P10" s="25">
        <f t="shared" si="1"/>
        <v>15.166666666666666</v>
      </c>
      <c r="Q10" s="21">
        <f t="shared" si="1"/>
        <v>2.6331018518518521E-2</v>
      </c>
      <c r="R10" s="20">
        <f t="shared" si="1"/>
        <v>0.91</v>
      </c>
      <c r="S10" s="24">
        <f t="shared" si="1"/>
        <v>1438.3333333333333</v>
      </c>
      <c r="T10" s="25">
        <f t="shared" si="1"/>
        <v>14.766666666666667</v>
      </c>
      <c r="U10" s="21">
        <f t="shared" si="1"/>
        <v>2.5636574074074076E-2</v>
      </c>
      <c r="V10" s="20">
        <f t="shared" si="1"/>
        <v>0.91850000000000009</v>
      </c>
    </row>
    <row r="11" spans="1:25">
      <c r="B11" s="6">
        <v>2</v>
      </c>
      <c r="C11" s="24">
        <f t="shared" ref="C11:V11" si="2">AVERAGE(C28,C44,C60)</f>
        <v>1670</v>
      </c>
      <c r="D11" s="25">
        <f t="shared" si="2"/>
        <v>27.333333333333332</v>
      </c>
      <c r="E11" s="21">
        <f t="shared" si="2"/>
        <v>4.7453703703703699E-2</v>
      </c>
      <c r="F11" s="20">
        <f t="shared" si="2"/>
        <v>0.95533333333333326</v>
      </c>
      <c r="G11" s="24">
        <f t="shared" si="2"/>
        <v>1485</v>
      </c>
      <c r="H11" s="25">
        <f t="shared" si="2"/>
        <v>21.833333333333332</v>
      </c>
      <c r="I11" s="21">
        <f t="shared" si="2"/>
        <v>3.7905092592592594E-2</v>
      </c>
      <c r="J11" s="20">
        <f t="shared" si="2"/>
        <v>0.96933333333333327</v>
      </c>
      <c r="K11" s="24">
        <f t="shared" si="2"/>
        <v>1298.3333333333333</v>
      </c>
      <c r="L11" s="25">
        <f t="shared" si="2"/>
        <v>20.400000000000002</v>
      </c>
      <c r="M11" s="21">
        <f t="shared" si="2"/>
        <v>3.5416666666666673E-2</v>
      </c>
      <c r="N11" s="20">
        <f t="shared" si="2"/>
        <v>0.97166666666666668</v>
      </c>
      <c r="O11" s="24">
        <f t="shared" si="2"/>
        <v>1096.6666666666667</v>
      </c>
      <c r="P11" s="25">
        <f t="shared" si="2"/>
        <v>19.899999999999999</v>
      </c>
      <c r="Q11" s="21">
        <f t="shared" si="2"/>
        <v>3.4548611111111106E-2</v>
      </c>
      <c r="R11" s="20">
        <f t="shared" si="2"/>
        <v>0.97166666666666668</v>
      </c>
      <c r="S11" s="24">
        <f t="shared" si="2"/>
        <v>918.33333333333337</v>
      </c>
      <c r="T11" s="25">
        <f t="shared" si="2"/>
        <v>18.666666666666668</v>
      </c>
      <c r="U11" s="21">
        <f t="shared" si="2"/>
        <v>3.2407407407407406E-2</v>
      </c>
      <c r="V11" s="20">
        <f t="shared" si="2"/>
        <v>0.97750000000000004</v>
      </c>
    </row>
    <row r="12" spans="1:25">
      <c r="B12" s="6">
        <v>3</v>
      </c>
      <c r="C12" s="24">
        <f t="shared" ref="C12:V12" si="3">AVERAGE(C29,C45,C61)</f>
        <v>1675</v>
      </c>
      <c r="D12" s="25">
        <f t="shared" si="3"/>
        <v>35.06666666666667</v>
      </c>
      <c r="E12" s="21">
        <f t="shared" si="3"/>
        <v>6.0879629629629638E-2</v>
      </c>
      <c r="F12" s="20">
        <f t="shared" si="3"/>
        <v>0.91133333333333333</v>
      </c>
      <c r="G12" s="24">
        <f t="shared" si="3"/>
        <v>1451.6666666666667</v>
      </c>
      <c r="H12" s="25">
        <f t="shared" si="3"/>
        <v>28.2</v>
      </c>
      <c r="I12" s="21">
        <f t="shared" si="3"/>
        <v>4.8958333333333333E-2</v>
      </c>
      <c r="J12" s="20">
        <f t="shared" si="3"/>
        <v>0.93766666666666654</v>
      </c>
      <c r="K12" s="24">
        <f t="shared" si="3"/>
        <v>1290</v>
      </c>
      <c r="L12" s="25">
        <f t="shared" si="3"/>
        <v>25.266666666666666</v>
      </c>
      <c r="M12" s="21">
        <f t="shared" si="3"/>
        <v>4.386574074074074E-2</v>
      </c>
      <c r="N12" s="20">
        <f t="shared" si="3"/>
        <v>0.94733333333333325</v>
      </c>
      <c r="O12" s="24">
        <f t="shared" si="3"/>
        <v>1063.3333333333333</v>
      </c>
      <c r="P12" s="25">
        <f t="shared" si="3"/>
        <v>25.133333333333336</v>
      </c>
      <c r="Q12" s="21">
        <f t="shared" si="3"/>
        <v>4.3634259259259262E-2</v>
      </c>
      <c r="R12" s="20">
        <f t="shared" si="3"/>
        <v>0.94433333333333336</v>
      </c>
      <c r="S12" s="24">
        <f t="shared" si="3"/>
        <v>871.66666666666663</v>
      </c>
      <c r="T12" s="25">
        <f t="shared" si="3"/>
        <v>24.666666666666668</v>
      </c>
      <c r="U12" s="21">
        <f t="shared" si="3"/>
        <v>4.282407407407407E-2</v>
      </c>
      <c r="V12" s="20">
        <f t="shared" si="3"/>
        <v>0.94899999999999995</v>
      </c>
    </row>
    <row r="13" spans="1:25">
      <c r="B13" s="6">
        <v>4</v>
      </c>
      <c r="C13" s="24">
        <f t="shared" ref="C13:V13" si="4">AVERAGE(C30,C46,C62)</f>
        <v>1588.3333333333333</v>
      </c>
      <c r="D13" s="25">
        <f t="shared" si="4"/>
        <v>40.766666666666659</v>
      </c>
      <c r="E13" s="21">
        <f t="shared" si="4"/>
        <v>7.0775462962962957E-2</v>
      </c>
      <c r="F13" s="20">
        <f t="shared" si="4"/>
        <v>0.91266666666666663</v>
      </c>
      <c r="G13" s="24">
        <f t="shared" si="4"/>
        <v>1421.6666666666667</v>
      </c>
      <c r="H13" s="25">
        <f t="shared" si="4"/>
        <v>33.733333333333334</v>
      </c>
      <c r="I13" s="21">
        <f t="shared" si="4"/>
        <v>5.8564814814814813E-2</v>
      </c>
      <c r="J13" s="20">
        <f t="shared" si="4"/>
        <v>0.93633333333333324</v>
      </c>
      <c r="K13" s="24">
        <f t="shared" si="4"/>
        <v>1245</v>
      </c>
      <c r="L13" s="25">
        <f t="shared" si="4"/>
        <v>27.733333333333331</v>
      </c>
      <c r="M13" s="21">
        <f t="shared" si="4"/>
        <v>4.8148148148148141E-2</v>
      </c>
      <c r="N13" s="20">
        <f t="shared" si="4"/>
        <v>0.95533333333333337</v>
      </c>
      <c r="O13" s="24">
        <f t="shared" si="4"/>
        <v>1063.3333333333333</v>
      </c>
      <c r="P13" s="25">
        <f t="shared" si="4"/>
        <v>25.966666666666669</v>
      </c>
      <c r="Q13" s="21">
        <f t="shared" si="4"/>
        <v>4.5081018518518513E-2</v>
      </c>
      <c r="R13" s="20">
        <f t="shared" si="4"/>
        <v>0.96133333333333326</v>
      </c>
      <c r="S13" s="24">
        <f t="shared" si="4"/>
        <v>881.66666666666663</v>
      </c>
      <c r="T13" s="25">
        <f t="shared" si="4"/>
        <v>25.833333333333332</v>
      </c>
      <c r="U13" s="21">
        <f t="shared" si="4"/>
        <v>4.4849537037037035E-2</v>
      </c>
      <c r="V13" s="20">
        <f t="shared" si="4"/>
        <v>0.96350000000000002</v>
      </c>
    </row>
    <row r="14" spans="1:25">
      <c r="B14" s="6">
        <v>5</v>
      </c>
      <c r="C14" s="24">
        <f t="shared" ref="C14:V14" si="5">AVERAGE(C31,C47,C63)</f>
        <v>1160</v>
      </c>
      <c r="D14" s="25">
        <f t="shared" si="5"/>
        <v>42.966666666666669</v>
      </c>
      <c r="E14" s="21">
        <f t="shared" si="5"/>
        <v>7.4594907407407415E-2</v>
      </c>
      <c r="F14" s="20">
        <f t="shared" si="5"/>
        <v>0.85833333333333328</v>
      </c>
      <c r="G14" s="24">
        <f t="shared" si="5"/>
        <v>1068.3333333333333</v>
      </c>
      <c r="H14" s="25">
        <f t="shared" si="5"/>
        <v>30.8</v>
      </c>
      <c r="I14" s="21">
        <f t="shared" si="5"/>
        <v>5.347222222222222E-2</v>
      </c>
      <c r="J14" s="20">
        <f t="shared" si="5"/>
        <v>0.93333333333333324</v>
      </c>
      <c r="K14" s="24">
        <f t="shared" si="5"/>
        <v>951.66666666666663</v>
      </c>
      <c r="L14" s="25">
        <f t="shared" si="5"/>
        <v>28.966666666666669</v>
      </c>
      <c r="M14" s="21">
        <f t="shared" si="5"/>
        <v>5.0289351851851849E-2</v>
      </c>
      <c r="N14" s="20">
        <f t="shared" si="5"/>
        <v>0.93899999999999995</v>
      </c>
      <c r="O14" s="24">
        <f t="shared" si="5"/>
        <v>856.66666666666663</v>
      </c>
      <c r="P14" s="25">
        <f t="shared" si="5"/>
        <v>26</v>
      </c>
      <c r="Q14" s="21">
        <f t="shared" si="5"/>
        <v>4.5138888888888888E-2</v>
      </c>
      <c r="R14" s="20">
        <f t="shared" si="5"/>
        <v>0.95166666666666666</v>
      </c>
      <c r="S14" s="24">
        <f t="shared" si="5"/>
        <v>733.33333333333337</v>
      </c>
      <c r="T14" s="25">
        <f t="shared" si="5"/>
        <v>24.099999999999998</v>
      </c>
      <c r="U14" s="21">
        <f t="shared" si="5"/>
        <v>4.1840277777777775E-2</v>
      </c>
      <c r="V14" s="20">
        <f t="shared" si="5"/>
        <v>0.95750000000000002</v>
      </c>
    </row>
    <row r="15" spans="1:25">
      <c r="B15" s="6">
        <v>6</v>
      </c>
      <c r="C15" s="24">
        <f t="shared" ref="C15:V15" si="6">AVERAGE(C32,C48,C64)</f>
        <v>1808.3333333333333</v>
      </c>
      <c r="D15" s="25">
        <f t="shared" si="6"/>
        <v>36.033333333333331</v>
      </c>
      <c r="E15" s="21">
        <f t="shared" si="6"/>
        <v>6.2557870370370375E-2</v>
      </c>
      <c r="F15" s="20">
        <f t="shared" si="6"/>
        <v>0.93766666666666654</v>
      </c>
      <c r="G15" s="24">
        <f t="shared" si="6"/>
        <v>1625</v>
      </c>
      <c r="H15" s="25">
        <f t="shared" si="6"/>
        <v>27.7</v>
      </c>
      <c r="I15" s="21">
        <f t="shared" si="6"/>
        <v>4.809027777777778E-2</v>
      </c>
      <c r="J15" s="20">
        <f t="shared" si="6"/>
        <v>0.96033333333333326</v>
      </c>
      <c r="K15" s="24">
        <f t="shared" si="6"/>
        <v>1415</v>
      </c>
      <c r="L15" s="25">
        <f t="shared" si="6"/>
        <v>25.399999999999995</v>
      </c>
      <c r="M15" s="21">
        <f t="shared" si="6"/>
        <v>4.4097222222222225E-2</v>
      </c>
      <c r="N15" s="20">
        <f t="shared" si="6"/>
        <v>0.96566666666666678</v>
      </c>
      <c r="O15" s="24">
        <f t="shared" si="6"/>
        <v>1228.3333333333333</v>
      </c>
      <c r="P15" s="25">
        <f t="shared" si="6"/>
        <v>23.900000000000002</v>
      </c>
      <c r="Q15" s="21">
        <f t="shared" si="6"/>
        <v>4.1493055555555554E-2</v>
      </c>
      <c r="R15" s="20">
        <f t="shared" si="6"/>
        <v>0.96866666666666656</v>
      </c>
      <c r="S15" s="24">
        <f t="shared" si="6"/>
        <v>1018.3333333333334</v>
      </c>
      <c r="T15" s="25">
        <f t="shared" si="6"/>
        <v>23.233333333333331</v>
      </c>
      <c r="U15" s="21">
        <f t="shared" si="6"/>
        <v>4.0335648148148148E-2</v>
      </c>
      <c r="V15" s="20">
        <f t="shared" si="6"/>
        <v>0.97</v>
      </c>
    </row>
    <row r="16" spans="1:25">
      <c r="B16" s="6">
        <v>7</v>
      </c>
      <c r="C16" s="24">
        <f t="shared" ref="C16:V16" si="7">AVERAGE(C33,C49,C65)</f>
        <v>948.33333333333337</v>
      </c>
      <c r="D16" s="25">
        <f t="shared" si="7"/>
        <v>39.233333333333334</v>
      </c>
      <c r="E16" s="21">
        <f t="shared" si="7"/>
        <v>6.8113425925925938E-2</v>
      </c>
      <c r="F16" s="20">
        <f t="shared" si="7"/>
        <v>0.92</v>
      </c>
      <c r="G16" s="24">
        <f t="shared" si="7"/>
        <v>831.66666666666663</v>
      </c>
      <c r="H16" s="25">
        <f t="shared" si="7"/>
        <v>26.7</v>
      </c>
      <c r="I16" s="21">
        <f t="shared" si="7"/>
        <v>4.6354166666666669E-2</v>
      </c>
      <c r="J16" s="20">
        <f t="shared" si="7"/>
        <v>0.96166666666666656</v>
      </c>
      <c r="K16" s="24">
        <f t="shared" si="7"/>
        <v>723.33333333333337</v>
      </c>
      <c r="L16" s="25">
        <f t="shared" si="7"/>
        <v>25.833333333333332</v>
      </c>
      <c r="M16" s="21">
        <f t="shared" si="7"/>
        <v>4.4849537037037035E-2</v>
      </c>
      <c r="N16" s="20">
        <f t="shared" si="7"/>
        <v>0.96266666666666667</v>
      </c>
      <c r="O16" s="24">
        <f t="shared" si="7"/>
        <v>628.33333333333337</v>
      </c>
      <c r="P16" s="25">
        <f t="shared" si="7"/>
        <v>23.099999999999998</v>
      </c>
      <c r="Q16" s="21">
        <f t="shared" si="7"/>
        <v>4.0104166666666663E-2</v>
      </c>
      <c r="R16" s="20">
        <f t="shared" si="7"/>
        <v>0.97066666666666668</v>
      </c>
      <c r="S16" s="24">
        <f t="shared" si="7"/>
        <v>536.66666666666663</v>
      </c>
      <c r="T16" s="25">
        <f t="shared" si="7"/>
        <v>22.7</v>
      </c>
      <c r="U16" s="21">
        <f t="shared" si="7"/>
        <v>3.9409722222222221E-2</v>
      </c>
      <c r="V16" s="20">
        <f t="shared" si="7"/>
        <v>0.96950000000000003</v>
      </c>
    </row>
    <row r="17" spans="1:22">
      <c r="C17" s="20"/>
      <c r="D17" s="20"/>
      <c r="E17" s="21"/>
      <c r="F17" s="20"/>
      <c r="G17" s="20"/>
      <c r="H17" s="20"/>
      <c r="I17" s="21"/>
      <c r="J17" s="20"/>
      <c r="K17" s="20"/>
      <c r="L17" s="20"/>
      <c r="M17" s="21"/>
      <c r="N17" s="20"/>
      <c r="O17" s="20"/>
      <c r="P17" s="20"/>
      <c r="Q17" s="21"/>
      <c r="R17" s="20"/>
      <c r="S17" s="24"/>
      <c r="T17" s="20"/>
      <c r="U17" s="21"/>
      <c r="V17" s="20"/>
    </row>
    <row r="18" spans="1:22">
      <c r="B18" s="6" t="s">
        <v>4</v>
      </c>
      <c r="C18" s="20"/>
      <c r="D18" s="22">
        <f t="shared" ref="D18:F18" si="8">AVERAGE(D35,D51,D67)</f>
        <v>32.384361513074388</v>
      </c>
      <c r="E18" s="23">
        <f t="shared" si="8"/>
        <v>5.6222849849087465E-2</v>
      </c>
      <c r="F18" s="20" t="e">
        <f t="shared" si="8"/>
        <v>#DIV/0!</v>
      </c>
      <c r="G18" s="20"/>
      <c r="H18" s="22">
        <f t="shared" ref="H18:J18" si="9">AVERAGE(H35,H51,H67)</f>
        <v>25.708726078263354</v>
      </c>
      <c r="I18" s="23">
        <f t="shared" si="9"/>
        <v>4.4633204996984997E-2</v>
      </c>
      <c r="J18" s="20" t="e">
        <f t="shared" si="9"/>
        <v>#DIV/0!</v>
      </c>
      <c r="K18" s="20"/>
      <c r="L18" s="22">
        <f t="shared" ref="L18:N18" si="10">AVERAGE(L35,L51,L67)</f>
        <v>23.573604309500485</v>
      </c>
      <c r="M18" s="23">
        <f t="shared" si="10"/>
        <v>4.0926396370660569E-2</v>
      </c>
      <c r="N18" s="20" t="e">
        <f t="shared" si="10"/>
        <v>#DIV/0!</v>
      </c>
      <c r="O18" s="20"/>
      <c r="P18" s="22">
        <f t="shared" ref="P18:R18" si="11">AVERAGE(P35,P51,P67)</f>
        <v>22.521092708928233</v>
      </c>
      <c r="Q18" s="23">
        <f t="shared" si="11"/>
        <v>3.9099119286333729E-2</v>
      </c>
      <c r="R18" s="20" t="e">
        <f t="shared" si="11"/>
        <v>#DIV/0!</v>
      </c>
      <c r="S18" s="20"/>
      <c r="T18" s="22">
        <f t="shared" ref="T18:V18" si="12">AVERAGE(T35,T51,T67)</f>
        <v>21.663650902444598</v>
      </c>
      <c r="U18" s="23">
        <f t="shared" si="12"/>
        <v>3.7610505038966312E-2</v>
      </c>
      <c r="V18" s="20" t="e">
        <f t="shared" si="12"/>
        <v>#DIV/0!</v>
      </c>
    </row>
    <row r="20" spans="1:22">
      <c r="C20" s="28">
        <f>SUM(C9:C16)</f>
        <v>13130.000000000002</v>
      </c>
      <c r="G20" s="28">
        <f>SUM(G9:G16)</f>
        <v>11670</v>
      </c>
      <c r="K20" s="28">
        <f>SUM(K9:K16)</f>
        <v>10210.000000000002</v>
      </c>
      <c r="O20" s="28">
        <f>SUM(O9:O16)</f>
        <v>8755</v>
      </c>
      <c r="S20" s="28">
        <f>SUM(S9:S16)</f>
        <v>7295</v>
      </c>
    </row>
    <row r="21" spans="1:22" ht="15.75" customHeight="1">
      <c r="C21" s="6">
        <f>C20/($B$3-$D$3)</f>
        <v>0.76076250072425988</v>
      </c>
      <c r="G21" s="6">
        <f>G20/($B$3-$D$3)</f>
        <v>0.67616895532765509</v>
      </c>
    </row>
    <row r="22" spans="1:22" ht="15.75" customHeight="1"/>
    <row r="23" spans="1:22" ht="15.75" customHeight="1"/>
    <row r="24" spans="1:22" ht="15.75" customHeight="1">
      <c r="A24" s="6" t="s">
        <v>18</v>
      </c>
      <c r="D24" s="32">
        <v>0.1</v>
      </c>
      <c r="E24" s="30"/>
      <c r="F24" s="30"/>
      <c r="G24" s="18"/>
      <c r="H24" s="32">
        <v>0.2</v>
      </c>
      <c r="I24" s="30"/>
      <c r="J24" s="30"/>
      <c r="K24" s="18"/>
      <c r="L24" s="32">
        <v>0.3</v>
      </c>
      <c r="M24" s="30"/>
      <c r="N24" s="30"/>
      <c r="O24" s="18"/>
      <c r="P24" s="32">
        <v>0.4</v>
      </c>
      <c r="Q24" s="30"/>
      <c r="R24" s="30"/>
      <c r="S24" s="18"/>
      <c r="T24" s="32">
        <v>0.5</v>
      </c>
      <c r="U24" s="30"/>
      <c r="V24" s="30"/>
    </row>
    <row r="25" spans="1:22" ht="15.75" customHeight="1">
      <c r="B25" s="3" t="s">
        <v>0</v>
      </c>
      <c r="C25" s="19" t="s">
        <v>17</v>
      </c>
      <c r="D25" s="4" t="s">
        <v>1</v>
      </c>
      <c r="E25" s="3" t="s">
        <v>2</v>
      </c>
      <c r="F25" s="3" t="s">
        <v>3</v>
      </c>
      <c r="G25" s="19" t="s">
        <v>17</v>
      </c>
      <c r="H25" s="4" t="s">
        <v>1</v>
      </c>
      <c r="I25" s="3" t="s">
        <v>2</v>
      </c>
      <c r="J25" s="3" t="s">
        <v>3</v>
      </c>
      <c r="K25" s="19" t="s">
        <v>17</v>
      </c>
      <c r="L25" s="3" t="s">
        <v>1</v>
      </c>
      <c r="M25" s="3" t="s">
        <v>2</v>
      </c>
      <c r="N25" s="3" t="s">
        <v>3</v>
      </c>
      <c r="O25" s="19" t="s">
        <v>17</v>
      </c>
      <c r="P25" s="3" t="s">
        <v>1</v>
      </c>
      <c r="Q25" s="3" t="s">
        <v>2</v>
      </c>
      <c r="R25" s="3" t="s">
        <v>3</v>
      </c>
      <c r="S25" s="19" t="s">
        <v>17</v>
      </c>
      <c r="T25" s="3" t="s">
        <v>1</v>
      </c>
      <c r="U25" s="3" t="s">
        <v>2</v>
      </c>
      <c r="V25" s="3" t="s">
        <v>3</v>
      </c>
    </row>
    <row r="26" spans="1:22" ht="15.75" customHeight="1">
      <c r="B26" s="6">
        <v>0</v>
      </c>
      <c r="C26" s="20">
        <v>1425</v>
      </c>
      <c r="D26" s="9">
        <v>37.1</v>
      </c>
      <c r="E26" s="8">
        <f t="shared" ref="E26:E33" si="13">D26/$A$5</f>
        <v>6.4409722222222229E-2</v>
      </c>
      <c r="F26" s="41">
        <v>0.76100000000000001</v>
      </c>
      <c r="G26" s="9">
        <v>1365</v>
      </c>
      <c r="H26" s="9">
        <v>28.3</v>
      </c>
      <c r="I26" s="8">
        <f t="shared" ref="I26:I33" si="14">H26/$A$5</f>
        <v>4.9131944444444443E-2</v>
      </c>
      <c r="J26" s="41">
        <v>0.875</v>
      </c>
      <c r="K26" s="20">
        <v>1180</v>
      </c>
      <c r="L26" s="41">
        <v>26.7</v>
      </c>
      <c r="M26" s="8">
        <f t="shared" ref="M26:M33" si="15">L26/$A$5</f>
        <v>4.6354166666666669E-2</v>
      </c>
      <c r="N26" s="41">
        <v>0.89300000000000002</v>
      </c>
      <c r="O26" s="20">
        <v>1070</v>
      </c>
      <c r="P26" s="41">
        <v>25.7</v>
      </c>
      <c r="Q26" s="8">
        <f t="shared" ref="Q26:Q33" si="16">P26/$A$5</f>
        <v>4.4618055555555557E-2</v>
      </c>
      <c r="R26" s="41">
        <v>0.92100000000000004</v>
      </c>
      <c r="S26" s="20">
        <v>910</v>
      </c>
      <c r="T26" s="41">
        <v>24.5</v>
      </c>
      <c r="U26" s="8">
        <f t="shared" ref="U26:U33" si="17">T26/$A$5</f>
        <v>4.2534722222222224E-2</v>
      </c>
      <c r="V26" s="41">
        <v>0.92600000000000005</v>
      </c>
    </row>
    <row r="27" spans="1:22" ht="15.75" customHeight="1">
      <c r="B27" s="6">
        <v>1</v>
      </c>
      <c r="C27" s="20">
        <v>2730</v>
      </c>
      <c r="D27" s="9">
        <v>19.7</v>
      </c>
      <c r="E27" s="8">
        <f t="shared" si="13"/>
        <v>3.4201388888888885E-2</v>
      </c>
      <c r="F27" s="41">
        <v>0.90100000000000002</v>
      </c>
      <c r="G27" s="9">
        <v>2395</v>
      </c>
      <c r="H27" s="9">
        <v>17.600000000000001</v>
      </c>
      <c r="I27" s="8">
        <f t="shared" si="14"/>
        <v>3.0555555555555558E-2</v>
      </c>
      <c r="J27" s="41">
        <v>0.90200000000000002</v>
      </c>
      <c r="K27" s="20">
        <v>2050</v>
      </c>
      <c r="L27" s="41">
        <v>16</v>
      </c>
      <c r="M27" s="8">
        <f t="shared" si="15"/>
        <v>2.7777777777777776E-2</v>
      </c>
      <c r="N27" s="41">
        <v>0.91300000000000003</v>
      </c>
      <c r="O27" s="20">
        <v>1685</v>
      </c>
      <c r="P27" s="41">
        <v>14.8</v>
      </c>
      <c r="Q27" s="8">
        <f t="shared" si="16"/>
        <v>2.5694444444444447E-2</v>
      </c>
      <c r="R27" s="41">
        <v>0.90700000000000003</v>
      </c>
      <c r="S27" s="20">
        <v>1395</v>
      </c>
      <c r="T27" s="41">
        <v>14.8</v>
      </c>
      <c r="U27" s="8">
        <f t="shared" si="17"/>
        <v>2.5694444444444447E-2</v>
      </c>
      <c r="V27" s="41">
        <v>0.90900000000000003</v>
      </c>
    </row>
    <row r="28" spans="1:22" ht="15.75" customHeight="1">
      <c r="B28" s="6">
        <v>2</v>
      </c>
      <c r="C28" s="20">
        <v>1670</v>
      </c>
      <c r="D28" s="9">
        <v>28</v>
      </c>
      <c r="E28" s="8">
        <f t="shared" si="13"/>
        <v>4.8611111111111112E-2</v>
      </c>
      <c r="F28" s="41">
        <v>0.95299999999999996</v>
      </c>
      <c r="G28" s="9">
        <v>1455</v>
      </c>
      <c r="H28" s="9">
        <v>20.7</v>
      </c>
      <c r="I28" s="8">
        <f t="shared" si="14"/>
        <v>3.5937499999999997E-2</v>
      </c>
      <c r="J28" s="41">
        <v>0.97299999999999998</v>
      </c>
      <c r="K28" s="20">
        <v>1310</v>
      </c>
      <c r="L28" s="41">
        <v>20.100000000000001</v>
      </c>
      <c r="M28" s="8">
        <f t="shared" si="15"/>
        <v>3.4895833333333334E-2</v>
      </c>
      <c r="N28" s="41">
        <v>0.97299999999999998</v>
      </c>
      <c r="O28" s="20">
        <v>1105</v>
      </c>
      <c r="P28" s="41">
        <v>19.899999999999999</v>
      </c>
      <c r="Q28" s="8">
        <f t="shared" si="16"/>
        <v>3.4548611111111106E-2</v>
      </c>
      <c r="R28" s="41">
        <v>0.97299999999999998</v>
      </c>
      <c r="S28" s="20">
        <v>915</v>
      </c>
      <c r="T28" s="41">
        <v>19</v>
      </c>
      <c r="U28" s="8">
        <f t="shared" si="17"/>
        <v>3.2986111111111112E-2</v>
      </c>
      <c r="V28" s="41">
        <v>0.97699999999999998</v>
      </c>
    </row>
    <row r="29" spans="1:22" ht="15.75" customHeight="1">
      <c r="B29" s="6">
        <v>3</v>
      </c>
      <c r="C29" s="20">
        <v>1545</v>
      </c>
      <c r="D29" s="9">
        <v>39.5</v>
      </c>
      <c r="E29" s="8">
        <f t="shared" si="13"/>
        <v>6.8576388888888895E-2</v>
      </c>
      <c r="F29" s="41">
        <v>0.88600000000000001</v>
      </c>
      <c r="G29" s="9">
        <v>1415</v>
      </c>
      <c r="H29" s="9">
        <v>29.9</v>
      </c>
      <c r="I29" s="8">
        <f t="shared" si="14"/>
        <v>5.1909722222222218E-2</v>
      </c>
      <c r="J29" s="41">
        <v>0.93100000000000005</v>
      </c>
      <c r="K29" s="20">
        <v>1245</v>
      </c>
      <c r="L29" s="41">
        <v>28.7</v>
      </c>
      <c r="M29" s="8">
        <f t="shared" si="15"/>
        <v>4.9826388888888885E-2</v>
      </c>
      <c r="N29" s="41">
        <v>0.93500000000000005</v>
      </c>
      <c r="O29" s="20">
        <v>1025</v>
      </c>
      <c r="P29" s="41">
        <v>29</v>
      </c>
      <c r="Q29" s="8">
        <f t="shared" si="16"/>
        <v>5.0347222222222224E-2</v>
      </c>
      <c r="R29" s="41">
        <v>0.92900000000000005</v>
      </c>
      <c r="S29" s="20">
        <v>835</v>
      </c>
      <c r="T29" s="41">
        <v>25.9</v>
      </c>
      <c r="U29" s="8">
        <f t="shared" si="17"/>
        <v>4.4965277777777778E-2</v>
      </c>
      <c r="V29" s="41">
        <v>0.94199999999999995</v>
      </c>
    </row>
    <row r="30" spans="1:22" ht="15.75" customHeight="1">
      <c r="B30" s="6">
        <v>4</v>
      </c>
      <c r="C30" s="20">
        <v>1590</v>
      </c>
      <c r="D30" s="9">
        <v>39.799999999999997</v>
      </c>
      <c r="E30" s="8">
        <f t="shared" si="13"/>
        <v>6.9097222222222213E-2</v>
      </c>
      <c r="F30" s="41">
        <v>0.91400000000000003</v>
      </c>
      <c r="G30" s="9">
        <v>1400</v>
      </c>
      <c r="H30" s="9">
        <v>33.299999999999997</v>
      </c>
      <c r="I30" s="8">
        <f t="shared" si="14"/>
        <v>5.7812499999999996E-2</v>
      </c>
      <c r="J30" s="41">
        <v>0.93799999999999994</v>
      </c>
      <c r="K30" s="20">
        <v>1265</v>
      </c>
      <c r="L30" s="41">
        <v>28</v>
      </c>
      <c r="M30" s="8">
        <f t="shared" si="15"/>
        <v>4.8611111111111112E-2</v>
      </c>
      <c r="N30" s="41">
        <v>0.95399999999999996</v>
      </c>
      <c r="O30" s="20">
        <v>1075</v>
      </c>
      <c r="P30" s="41">
        <v>25.9</v>
      </c>
      <c r="Q30" s="8">
        <f t="shared" si="16"/>
        <v>4.4965277777777778E-2</v>
      </c>
      <c r="R30" s="41">
        <v>0.96099999999999997</v>
      </c>
      <c r="S30" s="20">
        <v>885</v>
      </c>
      <c r="T30" s="41">
        <v>25.7</v>
      </c>
      <c r="U30" s="8">
        <f t="shared" si="17"/>
        <v>4.4618055555555557E-2</v>
      </c>
      <c r="V30" s="41">
        <v>0.96299999999999997</v>
      </c>
    </row>
    <row r="31" spans="1:22" ht="15.75" customHeight="1">
      <c r="B31" s="6">
        <v>5</v>
      </c>
      <c r="C31" s="20">
        <v>1230</v>
      </c>
      <c r="D31" s="9">
        <v>51.4</v>
      </c>
      <c r="E31" s="8">
        <f t="shared" si="13"/>
        <v>8.9236111111111113E-2</v>
      </c>
      <c r="F31" s="41">
        <v>0.82899999999999996</v>
      </c>
      <c r="G31" s="9">
        <v>1095</v>
      </c>
      <c r="H31" s="9">
        <v>28.5</v>
      </c>
      <c r="I31" s="8">
        <f t="shared" si="14"/>
        <v>4.9479166666666664E-2</v>
      </c>
      <c r="J31" s="41">
        <v>0.94199999999999995</v>
      </c>
      <c r="K31" s="20">
        <v>965</v>
      </c>
      <c r="L31" s="41">
        <v>28.4</v>
      </c>
      <c r="M31" s="8">
        <f t="shared" si="15"/>
        <v>4.9305555555555554E-2</v>
      </c>
      <c r="N31" s="41">
        <v>0.93899999999999995</v>
      </c>
      <c r="O31" s="20">
        <v>870</v>
      </c>
      <c r="P31" s="41">
        <v>24.8</v>
      </c>
      <c r="Q31" s="8">
        <f t="shared" si="16"/>
        <v>4.3055555555555555E-2</v>
      </c>
      <c r="R31" s="41">
        <v>0.95799999999999996</v>
      </c>
      <c r="S31" s="20">
        <v>750</v>
      </c>
      <c r="T31" s="41">
        <v>23.2</v>
      </c>
      <c r="U31" s="8">
        <f t="shared" si="17"/>
        <v>4.0277777777777773E-2</v>
      </c>
      <c r="V31" s="41">
        <v>0.96399999999999997</v>
      </c>
    </row>
    <row r="32" spans="1:22" ht="15.75" customHeight="1">
      <c r="B32" s="6">
        <v>6</v>
      </c>
      <c r="C32" s="20">
        <v>1945</v>
      </c>
      <c r="D32" s="9">
        <v>39.700000000000003</v>
      </c>
      <c r="E32" s="8">
        <f t="shared" si="13"/>
        <v>6.8923611111111116E-2</v>
      </c>
      <c r="F32" s="41">
        <v>0.92800000000000005</v>
      </c>
      <c r="G32" s="9">
        <v>1685</v>
      </c>
      <c r="H32" s="9">
        <v>27</v>
      </c>
      <c r="I32" s="8">
        <f t="shared" si="14"/>
        <v>4.6875E-2</v>
      </c>
      <c r="J32" s="41">
        <v>0.96199999999999997</v>
      </c>
      <c r="K32" s="20">
        <v>1440</v>
      </c>
      <c r="L32" s="41">
        <v>24.6</v>
      </c>
      <c r="M32" s="8">
        <f t="shared" si="15"/>
        <v>4.2708333333333334E-2</v>
      </c>
      <c r="N32" s="41">
        <v>0.96599999999999997</v>
      </c>
      <c r="O32" s="20">
        <v>1240</v>
      </c>
      <c r="P32" s="41">
        <v>22.9</v>
      </c>
      <c r="Q32" s="8">
        <f t="shared" si="16"/>
        <v>3.9756944444444442E-2</v>
      </c>
      <c r="R32" s="41">
        <v>0.97099999999999997</v>
      </c>
      <c r="S32" s="20">
        <v>1045</v>
      </c>
      <c r="T32" s="41">
        <v>23.7</v>
      </c>
      <c r="U32" s="8">
        <f t="shared" si="17"/>
        <v>4.1145833333333333E-2</v>
      </c>
      <c r="V32" s="41">
        <v>0.96899999999999997</v>
      </c>
    </row>
    <row r="33" spans="1:22" ht="15.75" customHeight="1">
      <c r="B33" s="6">
        <v>7</v>
      </c>
      <c r="C33" s="20">
        <v>995</v>
      </c>
      <c r="D33" s="9">
        <v>47.6</v>
      </c>
      <c r="E33" s="8">
        <f t="shared" si="13"/>
        <v>8.2638888888888887E-2</v>
      </c>
      <c r="F33" s="41">
        <v>0.89100000000000001</v>
      </c>
      <c r="G33" s="9">
        <v>860</v>
      </c>
      <c r="H33" s="9">
        <v>29.7</v>
      </c>
      <c r="I33" s="8">
        <f t="shared" si="14"/>
        <v>5.1562499999999997E-2</v>
      </c>
      <c r="J33" s="41">
        <v>0.95399999999999996</v>
      </c>
      <c r="K33" s="20">
        <v>755</v>
      </c>
      <c r="L33" s="41">
        <v>29.4</v>
      </c>
      <c r="M33" s="8">
        <f t="shared" si="15"/>
        <v>5.1041666666666666E-2</v>
      </c>
      <c r="N33" s="41">
        <v>0.95299999999999996</v>
      </c>
      <c r="O33" s="20">
        <v>685</v>
      </c>
      <c r="P33" s="41">
        <v>23.4</v>
      </c>
      <c r="Q33" s="8">
        <f t="shared" si="16"/>
        <v>4.0624999999999994E-2</v>
      </c>
      <c r="R33" s="41">
        <v>0.96899999999999997</v>
      </c>
      <c r="S33" s="20">
        <v>560</v>
      </c>
      <c r="T33" s="41">
        <v>24.4</v>
      </c>
      <c r="U33" s="8">
        <f t="shared" si="17"/>
        <v>4.2361111111111106E-2</v>
      </c>
      <c r="V33" s="41">
        <v>0.96599999999999997</v>
      </c>
    </row>
    <row r="34" spans="1:22" ht="15.75" customHeight="1">
      <c r="C34" s="20"/>
      <c r="D34" s="9"/>
      <c r="G34" s="9"/>
      <c r="H34" s="9"/>
      <c r="K34" s="20"/>
      <c r="O34" s="20"/>
      <c r="S34" s="20"/>
    </row>
    <row r="35" spans="1:22" ht="15.75" customHeight="1">
      <c r="B35" s="6" t="s">
        <v>4</v>
      </c>
      <c r="C35" s="20"/>
      <c r="D35" s="15">
        <f>SUMPRODUCT(C26:C33,D26:D33)/SUM(C26:C33)</f>
        <v>35.454569687738008</v>
      </c>
      <c r="E35" s="12">
        <f>SUMPRODUCT(C26:C33,E26:E33)/SUM(C26:C33)</f>
        <v>6.1553072374545145E-2</v>
      </c>
      <c r="G35" s="9"/>
      <c r="H35" s="15">
        <f>SUMPRODUCT(G26:G33,H26:H33)/SUM(G26:G33)</f>
        <v>25.88457583547558</v>
      </c>
      <c r="I35" s="12">
        <f>SUMPRODUCT(G26:G33,I26:I33)/SUM(G26:G33)</f>
        <v>4.4938499714367329E-2</v>
      </c>
      <c r="K35" s="20"/>
      <c r="L35" s="15">
        <f>SUMPRODUCT(K26:K33,L26:L33)/SUM(K26:K33)</f>
        <v>24.173898139079334</v>
      </c>
      <c r="M35" s="12">
        <f>SUMPRODUCT(K26:K33,M26:M33)/SUM(K26:K33)</f>
        <v>4.1968573158123842E-2</v>
      </c>
      <c r="O35" s="20"/>
      <c r="P35" s="15">
        <f>SUMPRODUCT(O26:O33,P26:P33)/SUM(O26:O33)</f>
        <v>22.615077098800686</v>
      </c>
      <c r="Q35" s="12">
        <f>SUMPRODUCT(O26:O33,Q26:Q33)/SUM(O26:O33)</f>
        <v>3.9262286629862295E-2</v>
      </c>
      <c r="S35" s="20"/>
      <c r="T35" s="15">
        <f>SUMPRODUCT(S26:S33,T26:T33)/SUM(S26:S33)</f>
        <v>22.00514050719671</v>
      </c>
      <c r="U35" s="12">
        <f>SUMPRODUCT(S26:S33,U26:U33)/SUM(S26:S33)</f>
        <v>3.8203368936105396E-2</v>
      </c>
    </row>
    <row r="36" spans="1:22" ht="15.75" customHeight="1">
      <c r="E36" s="6">
        <v>5.55</v>
      </c>
      <c r="I36" s="6">
        <v>4.3600000000000003</v>
      </c>
      <c r="M36" s="6">
        <v>4.1100000000000003</v>
      </c>
      <c r="Q36" s="6">
        <v>3.97</v>
      </c>
      <c r="U36" s="6">
        <v>3.74</v>
      </c>
    </row>
    <row r="37" spans="1:22" ht="15.75" customHeight="1">
      <c r="C37" s="6">
        <f>SUM(C26:C33)</f>
        <v>13130</v>
      </c>
      <c r="G37" s="6">
        <f>SUM(G26:G33)</f>
        <v>11670</v>
      </c>
      <c r="K37" s="6">
        <f>SUM(K26:K33)</f>
        <v>10210</v>
      </c>
      <c r="O37" s="6">
        <f>SUM(O26:O33)</f>
        <v>8755</v>
      </c>
      <c r="S37" s="6">
        <f>SUM(S26:S33)</f>
        <v>7295</v>
      </c>
    </row>
    <row r="38" spans="1:22" ht="15.75" customHeight="1"/>
    <row r="39" spans="1:22" ht="15.75" customHeight="1"/>
    <row r="40" spans="1:22" ht="15.75" customHeight="1">
      <c r="A40" s="6" t="s">
        <v>19</v>
      </c>
      <c r="D40" s="32">
        <v>0.1</v>
      </c>
      <c r="E40" s="30"/>
      <c r="F40" s="30"/>
      <c r="G40" s="18"/>
      <c r="H40" s="32">
        <v>0.2</v>
      </c>
      <c r="I40" s="30"/>
      <c r="J40" s="30"/>
      <c r="K40" s="18"/>
      <c r="L40" s="32">
        <v>0.3</v>
      </c>
      <c r="M40" s="30"/>
      <c r="N40" s="30"/>
      <c r="O40" s="18"/>
      <c r="P40" s="32">
        <v>0.4</v>
      </c>
      <c r="Q40" s="30"/>
      <c r="R40" s="30"/>
      <c r="S40" s="18"/>
      <c r="T40" s="32">
        <v>0.5</v>
      </c>
      <c r="U40" s="30"/>
      <c r="V40" s="30"/>
    </row>
    <row r="41" spans="1:22" ht="15.75" customHeight="1">
      <c r="B41" s="3" t="s">
        <v>0</v>
      </c>
      <c r="C41" s="19" t="s">
        <v>17</v>
      </c>
      <c r="D41" s="4" t="s">
        <v>1</v>
      </c>
      <c r="E41" s="3" t="s">
        <v>2</v>
      </c>
      <c r="F41" s="3" t="s">
        <v>3</v>
      </c>
      <c r="G41" s="19" t="s">
        <v>17</v>
      </c>
      <c r="H41" s="4" t="s">
        <v>1</v>
      </c>
      <c r="I41" s="3" t="s">
        <v>2</v>
      </c>
      <c r="J41" s="3" t="s">
        <v>3</v>
      </c>
      <c r="K41" s="19" t="s">
        <v>17</v>
      </c>
      <c r="L41" s="3" t="s">
        <v>1</v>
      </c>
      <c r="M41" s="3" t="s">
        <v>2</v>
      </c>
      <c r="N41" s="3" t="s">
        <v>3</v>
      </c>
      <c r="O41" s="19" t="s">
        <v>17</v>
      </c>
      <c r="P41" s="3" t="s">
        <v>1</v>
      </c>
      <c r="Q41" s="3" t="s">
        <v>2</v>
      </c>
      <c r="R41" s="3" t="s">
        <v>3</v>
      </c>
      <c r="S41" s="19" t="s">
        <v>17</v>
      </c>
      <c r="T41" s="3" t="s">
        <v>1</v>
      </c>
      <c r="U41" s="3" t="s">
        <v>2</v>
      </c>
      <c r="V41" s="3" t="s">
        <v>3</v>
      </c>
    </row>
    <row r="42" spans="1:22" ht="15.75" customHeight="1">
      <c r="B42" s="6">
        <v>0</v>
      </c>
      <c r="C42" s="20">
        <v>1750</v>
      </c>
      <c r="D42" s="9">
        <v>29.3</v>
      </c>
      <c r="E42" s="8">
        <f t="shared" ref="E42:E49" si="18">D42/$A$5</f>
        <v>5.0868055555555555E-2</v>
      </c>
      <c r="F42" s="41">
        <v>0.89</v>
      </c>
      <c r="G42" s="9">
        <v>1525</v>
      </c>
      <c r="H42" s="9">
        <v>28.6</v>
      </c>
      <c r="I42" s="8">
        <f t="shared" ref="I42:I49" si="19">H42/$A$5</f>
        <v>4.9652777777777782E-2</v>
      </c>
      <c r="J42" s="41">
        <v>0.90500000000000003</v>
      </c>
      <c r="K42" s="20">
        <v>1370</v>
      </c>
      <c r="L42" s="41">
        <v>25.6</v>
      </c>
      <c r="M42" s="8">
        <f t="shared" ref="M42:M49" si="20">L42/$A$5</f>
        <v>4.4444444444444446E-2</v>
      </c>
      <c r="N42" s="41">
        <v>0.92400000000000004</v>
      </c>
      <c r="O42" s="20">
        <v>1155</v>
      </c>
      <c r="P42" s="41">
        <v>26.8</v>
      </c>
      <c r="Q42" s="8">
        <f t="shared" ref="Q42:Q49" si="21">P42/$A$5</f>
        <v>4.6527777777777779E-2</v>
      </c>
      <c r="R42" s="41">
        <v>0.92100000000000004</v>
      </c>
      <c r="S42" s="20">
        <v>845</v>
      </c>
      <c r="T42" s="41">
        <v>23.2</v>
      </c>
      <c r="U42" s="8">
        <f t="shared" ref="U42:U49" si="22">T42/$A$5</f>
        <v>4.0277777777777773E-2</v>
      </c>
    </row>
    <row r="43" spans="1:22" ht="15.75" customHeight="1">
      <c r="B43" s="6">
        <v>1</v>
      </c>
      <c r="C43" s="20">
        <v>2655</v>
      </c>
      <c r="D43" s="9">
        <v>18.899999999999999</v>
      </c>
      <c r="E43" s="8">
        <f t="shared" si="18"/>
        <v>3.2812499999999994E-2</v>
      </c>
      <c r="F43" s="41">
        <v>0.85599999999999998</v>
      </c>
      <c r="G43" s="9">
        <v>2370</v>
      </c>
      <c r="H43" s="9">
        <v>15.9</v>
      </c>
      <c r="I43" s="8">
        <f t="shared" si="19"/>
        <v>2.7604166666666666E-2</v>
      </c>
      <c r="J43" s="41">
        <v>0.89700000000000002</v>
      </c>
      <c r="K43" s="20">
        <v>2040</v>
      </c>
      <c r="L43" s="41">
        <v>15.7</v>
      </c>
      <c r="M43" s="8">
        <f t="shared" si="20"/>
        <v>2.7256944444444445E-2</v>
      </c>
      <c r="N43" s="41">
        <v>0.89400000000000002</v>
      </c>
      <c r="O43" s="20">
        <v>1780</v>
      </c>
      <c r="P43" s="41">
        <v>15.8</v>
      </c>
      <c r="Q43" s="8">
        <f t="shared" si="21"/>
        <v>2.7430555555555555E-2</v>
      </c>
      <c r="R43" s="41">
        <v>0.89900000000000002</v>
      </c>
      <c r="S43" s="20">
        <v>1520</v>
      </c>
      <c r="T43" s="41">
        <v>15.4</v>
      </c>
      <c r="U43" s="8">
        <f t="shared" si="22"/>
        <v>2.6736111111111113E-2</v>
      </c>
    </row>
    <row r="44" spans="1:22" ht="15.75" customHeight="1">
      <c r="B44" s="6">
        <v>2</v>
      </c>
      <c r="C44" s="20">
        <v>1680</v>
      </c>
      <c r="D44" s="9">
        <v>26.2</v>
      </c>
      <c r="E44" s="8">
        <f t="shared" si="18"/>
        <v>4.5486111111111109E-2</v>
      </c>
      <c r="F44" s="41">
        <v>0.96</v>
      </c>
      <c r="G44" s="9">
        <v>1480</v>
      </c>
      <c r="H44" s="9">
        <v>21.6</v>
      </c>
      <c r="I44" s="8">
        <f t="shared" si="19"/>
        <v>3.7500000000000006E-2</v>
      </c>
      <c r="J44" s="41">
        <v>0.96899999999999997</v>
      </c>
      <c r="K44" s="20">
        <v>1285</v>
      </c>
      <c r="L44" s="41">
        <v>20</v>
      </c>
      <c r="M44" s="8">
        <f t="shared" si="20"/>
        <v>3.4722222222222224E-2</v>
      </c>
      <c r="N44" s="41">
        <v>0.97099999999999997</v>
      </c>
      <c r="O44" s="20">
        <v>1100</v>
      </c>
      <c r="P44" s="41">
        <v>19.399999999999999</v>
      </c>
      <c r="Q44" s="8">
        <f t="shared" si="21"/>
        <v>3.3680555555555554E-2</v>
      </c>
      <c r="R44" s="41">
        <v>0.97</v>
      </c>
      <c r="S44" s="20">
        <v>960</v>
      </c>
      <c r="T44" s="41">
        <v>19.2</v>
      </c>
      <c r="U44" s="8">
        <f t="shared" si="22"/>
        <v>3.3333333333333333E-2</v>
      </c>
    </row>
    <row r="45" spans="1:22" ht="15.75" customHeight="1">
      <c r="B45" s="6">
        <v>3</v>
      </c>
      <c r="C45" s="20">
        <v>1690</v>
      </c>
      <c r="D45" s="9">
        <v>30.5</v>
      </c>
      <c r="E45" s="8">
        <f t="shared" si="18"/>
        <v>5.2951388888888888E-2</v>
      </c>
      <c r="F45" s="41">
        <v>0.93100000000000005</v>
      </c>
      <c r="G45" s="9">
        <v>1510</v>
      </c>
      <c r="H45" s="9">
        <v>26.1</v>
      </c>
      <c r="I45" s="8">
        <f t="shared" si="19"/>
        <v>4.5312500000000006E-2</v>
      </c>
      <c r="J45" s="41">
        <v>0.94399999999999995</v>
      </c>
      <c r="K45" s="20">
        <v>1335</v>
      </c>
      <c r="L45" s="41">
        <v>23.3</v>
      </c>
      <c r="M45" s="8">
        <f t="shared" si="20"/>
        <v>4.0451388888888891E-2</v>
      </c>
      <c r="N45" s="41">
        <v>0.95299999999999996</v>
      </c>
      <c r="O45" s="20">
        <v>1100</v>
      </c>
      <c r="P45" s="41">
        <v>23.9</v>
      </c>
      <c r="Q45" s="8">
        <f t="shared" si="21"/>
        <v>4.1493055555555554E-2</v>
      </c>
      <c r="R45" s="41">
        <v>0.94799999999999995</v>
      </c>
      <c r="S45" s="20">
        <v>855</v>
      </c>
      <c r="T45" s="41">
        <v>26.4</v>
      </c>
      <c r="U45" s="8">
        <f t="shared" si="22"/>
        <v>4.583333333333333E-2</v>
      </c>
    </row>
    <row r="46" spans="1:22" ht="15.75" customHeight="1">
      <c r="B46" s="6">
        <v>4</v>
      </c>
      <c r="C46" s="20">
        <v>1580</v>
      </c>
      <c r="D46" s="9">
        <v>38.4</v>
      </c>
      <c r="E46" s="8">
        <f t="shared" si="18"/>
        <v>6.6666666666666666E-2</v>
      </c>
      <c r="F46" s="41">
        <v>0.92800000000000005</v>
      </c>
      <c r="G46" s="9">
        <v>1410</v>
      </c>
      <c r="H46" s="9">
        <v>33.1</v>
      </c>
      <c r="I46" s="8">
        <f t="shared" si="19"/>
        <v>5.7465277777777782E-2</v>
      </c>
      <c r="J46" s="41">
        <v>0.93899999999999995</v>
      </c>
      <c r="K46" s="20">
        <v>1205</v>
      </c>
      <c r="L46" s="41">
        <v>27.3</v>
      </c>
      <c r="M46" s="8">
        <f t="shared" si="20"/>
        <v>4.7395833333333331E-2</v>
      </c>
      <c r="N46" s="41">
        <v>0.95699999999999996</v>
      </c>
      <c r="O46" s="20">
        <v>1050</v>
      </c>
      <c r="P46" s="41">
        <v>26.6</v>
      </c>
      <c r="Q46" s="8">
        <f t="shared" si="21"/>
        <v>4.6180555555555558E-2</v>
      </c>
      <c r="R46" s="41">
        <v>0.96</v>
      </c>
      <c r="S46" s="20">
        <v>880</v>
      </c>
      <c r="T46" s="41">
        <v>27.3</v>
      </c>
      <c r="U46" s="8">
        <f t="shared" si="22"/>
        <v>4.7395833333333331E-2</v>
      </c>
    </row>
    <row r="47" spans="1:22" ht="15.75" customHeight="1">
      <c r="B47" s="6">
        <v>5</v>
      </c>
      <c r="C47" s="20">
        <v>1125</v>
      </c>
      <c r="D47" s="9">
        <v>33</v>
      </c>
      <c r="E47" s="8">
        <f t="shared" si="18"/>
        <v>5.7291666666666664E-2</v>
      </c>
      <c r="F47" s="41">
        <v>0.91800000000000004</v>
      </c>
      <c r="G47" s="9">
        <v>990</v>
      </c>
      <c r="H47" s="9">
        <v>31.5</v>
      </c>
      <c r="I47" s="8">
        <f t="shared" si="19"/>
        <v>5.46875E-2</v>
      </c>
      <c r="J47" s="41">
        <v>0.93100000000000005</v>
      </c>
      <c r="K47" s="20">
        <v>885</v>
      </c>
      <c r="L47" s="41">
        <v>28.8</v>
      </c>
      <c r="M47" s="8">
        <f t="shared" si="20"/>
        <v>0.05</v>
      </c>
      <c r="N47" s="41">
        <v>0.94199999999999995</v>
      </c>
      <c r="O47" s="20">
        <v>780</v>
      </c>
      <c r="P47" s="41">
        <v>27.4</v>
      </c>
      <c r="Q47" s="8">
        <f t="shared" si="21"/>
        <v>4.7569444444444442E-2</v>
      </c>
      <c r="R47" s="41">
        <v>0.94599999999999995</v>
      </c>
      <c r="S47" s="20">
        <v>705</v>
      </c>
      <c r="T47" s="41">
        <v>24.9</v>
      </c>
      <c r="U47" s="8">
        <f t="shared" si="22"/>
        <v>4.3229166666666666E-2</v>
      </c>
    </row>
    <row r="48" spans="1:22" ht="15.75" customHeight="1">
      <c r="B48" s="6">
        <v>6</v>
      </c>
      <c r="C48" s="20">
        <v>1725</v>
      </c>
      <c r="D48" s="9">
        <v>33.4</v>
      </c>
      <c r="E48" s="8">
        <f t="shared" si="18"/>
        <v>5.7986111111111106E-2</v>
      </c>
      <c r="F48" s="41">
        <v>0.94699999999999995</v>
      </c>
      <c r="G48" s="9">
        <v>1575</v>
      </c>
      <c r="H48" s="9">
        <v>28.6</v>
      </c>
      <c r="I48" s="8">
        <f t="shared" si="19"/>
        <v>4.9652777777777782E-2</v>
      </c>
      <c r="J48" s="41">
        <v>0.95899999999999996</v>
      </c>
      <c r="K48" s="20">
        <v>1395</v>
      </c>
      <c r="L48" s="41">
        <v>26.7</v>
      </c>
      <c r="M48" s="8">
        <f t="shared" si="20"/>
        <v>4.6354166666666669E-2</v>
      </c>
      <c r="N48" s="41">
        <v>0.96499999999999997</v>
      </c>
      <c r="O48" s="20">
        <v>1205</v>
      </c>
      <c r="P48" s="41">
        <v>24.3</v>
      </c>
      <c r="Q48" s="8">
        <f t="shared" si="21"/>
        <v>4.2187500000000003E-2</v>
      </c>
      <c r="R48" s="41">
        <v>0.97</v>
      </c>
      <c r="S48" s="20">
        <v>1005</v>
      </c>
      <c r="T48" s="41">
        <v>23.6</v>
      </c>
      <c r="U48" s="8">
        <f t="shared" si="22"/>
        <v>4.0972222222222222E-2</v>
      </c>
    </row>
    <row r="49" spans="1:22" ht="15.75" customHeight="1">
      <c r="B49" s="6">
        <v>7</v>
      </c>
      <c r="C49" s="20">
        <v>925</v>
      </c>
      <c r="D49" s="9">
        <v>35.9</v>
      </c>
      <c r="E49" s="8">
        <f t="shared" si="18"/>
        <v>6.232638888888889E-2</v>
      </c>
      <c r="F49" s="41">
        <v>0.93300000000000005</v>
      </c>
      <c r="G49" s="9">
        <v>810</v>
      </c>
      <c r="H49" s="9">
        <v>26.3</v>
      </c>
      <c r="I49" s="8">
        <f t="shared" si="19"/>
        <v>4.5659722222222227E-2</v>
      </c>
      <c r="J49" s="41">
        <v>0.96299999999999997</v>
      </c>
      <c r="K49" s="20">
        <v>695</v>
      </c>
      <c r="L49" s="41">
        <v>25.7</v>
      </c>
      <c r="M49" s="8">
        <f t="shared" si="20"/>
        <v>4.4618055555555557E-2</v>
      </c>
      <c r="N49" s="41">
        <v>0.96399999999999997</v>
      </c>
      <c r="O49" s="20">
        <v>585</v>
      </c>
      <c r="P49" s="41">
        <v>23.6</v>
      </c>
      <c r="Q49" s="8">
        <f t="shared" si="21"/>
        <v>4.0972222222222222E-2</v>
      </c>
      <c r="R49" s="41">
        <v>0.97099999999999997</v>
      </c>
      <c r="S49" s="20">
        <v>525</v>
      </c>
      <c r="T49" s="41">
        <v>21.8</v>
      </c>
      <c r="U49" s="8">
        <f t="shared" si="22"/>
        <v>3.7847222222222227E-2</v>
      </c>
    </row>
    <row r="50" spans="1:22" ht="15.75" customHeight="1">
      <c r="C50" s="20"/>
      <c r="D50" s="9"/>
      <c r="G50" s="9"/>
      <c r="H50" s="9"/>
      <c r="K50" s="20"/>
      <c r="O50" s="20"/>
      <c r="S50" s="20"/>
    </row>
    <row r="51" spans="1:22" ht="15.75" customHeight="1">
      <c r="B51" s="6" t="s">
        <v>4</v>
      </c>
      <c r="C51" s="20"/>
      <c r="D51" s="15">
        <f>SUMPRODUCT(C42:C49,D42:D49)/SUM(C42:C49)</f>
        <v>29.37052551408987</v>
      </c>
      <c r="E51" s="12">
        <f>SUMPRODUCT(C42:C49,E42:E49)/SUM(C42:C49)</f>
        <v>5.0990495684183797E-2</v>
      </c>
      <c r="G51" s="9"/>
      <c r="H51" s="15">
        <f>SUMPRODUCT(G42:G49,H42:H49)/SUM(G42:G49)</f>
        <v>25.439674378748929</v>
      </c>
      <c r="I51" s="12">
        <f>SUMPRODUCT(G42:G49,I42:I49)/SUM(G42:G49)</f>
        <v>4.4166101351994676E-2</v>
      </c>
      <c r="K51" s="20"/>
      <c r="L51" s="15">
        <f>SUMPRODUCT(K42:K49,L42:L49)/SUM(K42:K49)</f>
        <v>23.251518119490694</v>
      </c>
      <c r="M51" s="12">
        <f>SUMPRODUCT(K42:K49,M42:M49)/SUM(K42:K49)</f>
        <v>4.0367218957449123E-2</v>
      </c>
      <c r="O51" s="20"/>
      <c r="P51" s="15">
        <f>SUMPRODUCT(O42:O49,P42:P49)/SUM(O42:O49)</f>
        <v>22.741005139920045</v>
      </c>
      <c r="Q51" s="12">
        <f>SUMPRODUCT(O42:O49,Q42:Q49)/SUM(O42:O49)</f>
        <v>3.9480911701250079E-2</v>
      </c>
      <c r="S51" s="20"/>
      <c r="T51" s="15">
        <f>SUMPRODUCT(S42:S49,T42:T49)/SUM(S42:S49)</f>
        <v>22.03666895133653</v>
      </c>
      <c r="U51" s="12">
        <f>SUMPRODUCT(S42:S49,U42:U49)/SUM(S42:S49)</f>
        <v>3.8258105818292594E-2</v>
      </c>
    </row>
    <row r="52" spans="1:22" ht="15.75" customHeight="1">
      <c r="E52">
        <v>5.56</v>
      </c>
      <c r="I52">
        <v>4.3499999999999996</v>
      </c>
      <c r="M52">
        <v>4.09</v>
      </c>
      <c r="Q52">
        <v>3.95</v>
      </c>
      <c r="U52">
        <v>3.75</v>
      </c>
    </row>
    <row r="53" spans="1:22" ht="15.75" customHeight="1">
      <c r="C53" s="6">
        <f>SUM(C42:C49)</f>
        <v>13130</v>
      </c>
      <c r="G53" s="6">
        <f>SUM(G42:G49)</f>
        <v>11670</v>
      </c>
      <c r="K53" s="6">
        <f>SUM(K42:K49)</f>
        <v>10210</v>
      </c>
      <c r="O53" s="6">
        <f>SUM(O42:O49)</f>
        <v>8755</v>
      </c>
      <c r="S53" s="6">
        <f>SUM(S42:S49)</f>
        <v>7295</v>
      </c>
    </row>
    <row r="54" spans="1:22" ht="15.75" customHeight="1"/>
    <row r="55" spans="1:22" ht="15.75" customHeight="1"/>
    <row r="56" spans="1:22" ht="15.75" customHeight="1">
      <c r="A56" s="6" t="s">
        <v>20</v>
      </c>
      <c r="D56" s="32">
        <v>0.1</v>
      </c>
      <c r="E56" s="30"/>
      <c r="F56" s="30"/>
      <c r="G56" s="18"/>
      <c r="H56" s="32">
        <v>0.2</v>
      </c>
      <c r="I56" s="30"/>
      <c r="J56" s="30"/>
      <c r="K56" s="18"/>
      <c r="L56" s="32">
        <v>0.3</v>
      </c>
      <c r="M56" s="30"/>
      <c r="N56" s="30"/>
      <c r="O56" s="18"/>
      <c r="P56" s="32">
        <v>0.4</v>
      </c>
      <c r="Q56" s="30"/>
      <c r="R56" s="30"/>
      <c r="S56" s="18"/>
      <c r="T56" s="32">
        <v>0.5</v>
      </c>
      <c r="U56" s="30"/>
      <c r="V56" s="30"/>
    </row>
    <row r="57" spans="1:22" ht="15.75" customHeight="1">
      <c r="B57" s="3" t="s">
        <v>0</v>
      </c>
      <c r="C57" s="19" t="s">
        <v>17</v>
      </c>
      <c r="D57" s="4" t="s">
        <v>1</v>
      </c>
      <c r="E57" s="3" t="s">
        <v>2</v>
      </c>
      <c r="F57" s="3" t="s">
        <v>3</v>
      </c>
      <c r="G57" s="19" t="s">
        <v>17</v>
      </c>
      <c r="H57" s="4" t="s">
        <v>1</v>
      </c>
      <c r="I57" s="3" t="s">
        <v>2</v>
      </c>
      <c r="J57" s="3" t="s">
        <v>3</v>
      </c>
      <c r="K57" s="19" t="s">
        <v>17</v>
      </c>
      <c r="L57" s="3" t="s">
        <v>1</v>
      </c>
      <c r="M57" s="3" t="s">
        <v>2</v>
      </c>
      <c r="N57" s="3" t="s">
        <v>3</v>
      </c>
      <c r="O57" s="19" t="s">
        <v>17</v>
      </c>
      <c r="P57" s="3" t="s">
        <v>1</v>
      </c>
      <c r="Q57" s="3" t="s">
        <v>2</v>
      </c>
      <c r="R57" s="3" t="s">
        <v>3</v>
      </c>
      <c r="S57" s="19" t="s">
        <v>17</v>
      </c>
      <c r="T57" s="3" t="s">
        <v>1</v>
      </c>
      <c r="U57" s="3" t="s">
        <v>2</v>
      </c>
      <c r="V57" s="3" t="s">
        <v>3</v>
      </c>
    </row>
    <row r="58" spans="1:22" ht="15.75" customHeight="1">
      <c r="B58" s="6">
        <v>0</v>
      </c>
      <c r="C58" s="20">
        <v>1515</v>
      </c>
      <c r="D58" s="9">
        <v>28.9</v>
      </c>
      <c r="E58" s="8">
        <f t="shared" ref="E58:E65" si="23">D58/$A$5</f>
        <v>5.0173611111111106E-2</v>
      </c>
      <c r="F58" s="41">
        <v>0.876</v>
      </c>
      <c r="G58" s="9">
        <v>1235</v>
      </c>
      <c r="H58" s="9">
        <v>26.9</v>
      </c>
      <c r="I58" s="8">
        <f t="shared" ref="I58:I65" si="24">H58/$A$5</f>
        <v>4.670138888888889E-2</v>
      </c>
      <c r="J58" s="41">
        <v>0.88400000000000001</v>
      </c>
      <c r="K58" s="20">
        <v>1165</v>
      </c>
      <c r="L58" s="41">
        <v>27.2</v>
      </c>
      <c r="M58" s="8">
        <f t="shared" ref="M58:M65" si="25">L58/$A$5</f>
        <v>4.7222222222222221E-2</v>
      </c>
      <c r="N58" s="41">
        <v>0.88800000000000001</v>
      </c>
      <c r="O58" s="20">
        <v>1065</v>
      </c>
      <c r="P58" s="41">
        <v>26.4</v>
      </c>
      <c r="Q58" s="8">
        <f t="shared" ref="Q58:Q65" si="26">P58/$A$5</f>
        <v>4.583333333333333E-2</v>
      </c>
      <c r="R58" s="41">
        <v>0.91</v>
      </c>
      <c r="S58" s="20">
        <v>935</v>
      </c>
      <c r="T58" s="41">
        <v>25.4</v>
      </c>
      <c r="U58" s="8">
        <f t="shared" ref="U58:U65" si="27">T58/$A$5</f>
        <v>4.4097222222222218E-2</v>
      </c>
      <c r="V58" s="41">
        <v>0.91300000000000003</v>
      </c>
    </row>
    <row r="59" spans="1:22" ht="15.75" customHeight="1">
      <c r="B59" s="6">
        <v>1</v>
      </c>
      <c r="C59" s="20">
        <v>2765</v>
      </c>
      <c r="D59" s="9">
        <v>21</v>
      </c>
      <c r="E59" s="8">
        <f t="shared" si="23"/>
        <v>3.6458333333333336E-2</v>
      </c>
      <c r="F59" s="41">
        <v>0.88</v>
      </c>
      <c r="G59" s="9">
        <v>2470</v>
      </c>
      <c r="H59" s="9">
        <v>16.399999999999999</v>
      </c>
      <c r="I59" s="8">
        <f t="shared" si="24"/>
        <v>2.8472222222222218E-2</v>
      </c>
      <c r="J59" s="41">
        <v>0.92700000000000005</v>
      </c>
      <c r="K59" s="20">
        <v>2055</v>
      </c>
      <c r="L59" s="41">
        <v>15.4</v>
      </c>
      <c r="M59" s="8">
        <f t="shared" si="25"/>
        <v>2.6736111111111113E-2</v>
      </c>
      <c r="N59" s="41">
        <v>0.92300000000000004</v>
      </c>
      <c r="O59" s="20">
        <v>1700</v>
      </c>
      <c r="P59" s="41">
        <v>14.9</v>
      </c>
      <c r="Q59" s="8">
        <f t="shared" si="26"/>
        <v>2.5868055555555557E-2</v>
      </c>
      <c r="R59" s="41">
        <v>0.92400000000000004</v>
      </c>
      <c r="S59" s="20">
        <v>1400</v>
      </c>
      <c r="T59" s="41">
        <v>14.1</v>
      </c>
      <c r="U59" s="8">
        <f t="shared" si="27"/>
        <v>2.4479166666666666E-2</v>
      </c>
      <c r="V59" s="41">
        <v>0.92800000000000005</v>
      </c>
    </row>
    <row r="60" spans="1:22" ht="15.75" customHeight="1">
      <c r="B60" s="6">
        <v>2</v>
      </c>
      <c r="C60" s="20">
        <v>1660</v>
      </c>
      <c r="D60" s="9">
        <v>27.8</v>
      </c>
      <c r="E60" s="8">
        <f t="shared" si="23"/>
        <v>4.8263888888888891E-2</v>
      </c>
      <c r="F60" s="41">
        <v>0.95299999999999996</v>
      </c>
      <c r="G60" s="9">
        <v>1520</v>
      </c>
      <c r="H60" s="9">
        <v>23.2</v>
      </c>
      <c r="I60" s="8">
        <f t="shared" si="24"/>
        <v>4.0277777777777773E-2</v>
      </c>
      <c r="J60" s="41">
        <v>0.96599999999999997</v>
      </c>
      <c r="K60" s="20">
        <v>1300</v>
      </c>
      <c r="L60" s="41">
        <v>21.1</v>
      </c>
      <c r="M60" s="8">
        <f t="shared" si="25"/>
        <v>3.6631944444444446E-2</v>
      </c>
      <c r="N60" s="41">
        <v>0.97099999999999997</v>
      </c>
      <c r="O60" s="20">
        <v>1085</v>
      </c>
      <c r="P60" s="41">
        <v>20.399999999999999</v>
      </c>
      <c r="Q60" s="8">
        <f t="shared" si="26"/>
        <v>3.5416666666666666E-2</v>
      </c>
      <c r="R60" s="41">
        <v>0.97199999999999998</v>
      </c>
      <c r="S60" s="20">
        <v>880</v>
      </c>
      <c r="T60" s="41">
        <v>17.8</v>
      </c>
      <c r="U60" s="8">
        <f t="shared" si="27"/>
        <v>3.0902777777777779E-2</v>
      </c>
      <c r="V60" s="41">
        <v>0.97799999999999998</v>
      </c>
    </row>
    <row r="61" spans="1:22" ht="15.75" customHeight="1">
      <c r="B61" s="6">
        <v>3</v>
      </c>
      <c r="C61" s="20">
        <v>1790</v>
      </c>
      <c r="D61" s="9">
        <v>35.200000000000003</v>
      </c>
      <c r="E61" s="8">
        <f t="shared" si="23"/>
        <v>6.1111111111111116E-2</v>
      </c>
      <c r="F61" s="41">
        <v>0.91700000000000004</v>
      </c>
      <c r="G61" s="9">
        <v>1430</v>
      </c>
      <c r="H61" s="9">
        <v>28.6</v>
      </c>
      <c r="I61" s="8">
        <f t="shared" si="24"/>
        <v>4.9652777777777782E-2</v>
      </c>
      <c r="J61" s="41">
        <v>0.93799999999999994</v>
      </c>
      <c r="K61" s="20">
        <v>1290</v>
      </c>
      <c r="L61" s="41">
        <v>23.8</v>
      </c>
      <c r="M61" s="8">
        <f t="shared" si="25"/>
        <v>4.1319444444444443E-2</v>
      </c>
      <c r="N61" s="41">
        <v>0.95399999999999996</v>
      </c>
      <c r="O61" s="20">
        <v>1065</v>
      </c>
      <c r="P61" s="41">
        <v>22.5</v>
      </c>
      <c r="Q61" s="8">
        <f t="shared" si="26"/>
        <v>3.90625E-2</v>
      </c>
      <c r="R61" s="41">
        <v>0.95599999999999996</v>
      </c>
      <c r="S61" s="20">
        <v>925</v>
      </c>
      <c r="T61" s="41">
        <v>21.7</v>
      </c>
      <c r="U61" s="8">
        <f t="shared" si="27"/>
        <v>3.7673611111111109E-2</v>
      </c>
      <c r="V61" s="41">
        <v>0.95599999999999996</v>
      </c>
    </row>
    <row r="62" spans="1:22" ht="15.75" customHeight="1">
      <c r="B62" s="6">
        <v>4</v>
      </c>
      <c r="C62" s="20">
        <v>1595</v>
      </c>
      <c r="D62" s="9">
        <v>44.1</v>
      </c>
      <c r="E62" s="8">
        <f t="shared" si="23"/>
        <v>7.6562500000000006E-2</v>
      </c>
      <c r="F62" s="41">
        <v>0.89600000000000002</v>
      </c>
      <c r="G62" s="9">
        <v>1455</v>
      </c>
      <c r="H62" s="9">
        <v>34.799999999999997</v>
      </c>
      <c r="I62" s="8">
        <f t="shared" si="24"/>
        <v>6.041666666666666E-2</v>
      </c>
      <c r="J62" s="41">
        <v>0.93200000000000005</v>
      </c>
      <c r="K62" s="20">
        <v>1265</v>
      </c>
      <c r="L62" s="41">
        <v>27.9</v>
      </c>
      <c r="M62" s="8">
        <f t="shared" si="25"/>
        <v>4.8437499999999994E-2</v>
      </c>
      <c r="N62" s="41">
        <v>0.95499999999999996</v>
      </c>
      <c r="O62" s="20">
        <v>1065</v>
      </c>
      <c r="P62" s="41">
        <v>25.4</v>
      </c>
      <c r="Q62" s="8">
        <f t="shared" si="26"/>
        <v>4.4097222222222218E-2</v>
      </c>
      <c r="R62" s="41">
        <v>0.96299999999999997</v>
      </c>
      <c r="S62" s="20">
        <v>880</v>
      </c>
      <c r="T62" s="41">
        <v>24.5</v>
      </c>
      <c r="U62" s="8">
        <f t="shared" si="27"/>
        <v>4.2534722222222224E-2</v>
      </c>
      <c r="V62" s="41">
        <v>0.96399999999999997</v>
      </c>
    </row>
    <row r="63" spans="1:22" ht="15.75" customHeight="1">
      <c r="B63" s="6">
        <v>5</v>
      </c>
      <c r="C63" s="20">
        <v>1125</v>
      </c>
      <c r="D63" s="9">
        <v>44.5</v>
      </c>
      <c r="E63" s="8">
        <f t="shared" si="23"/>
        <v>7.7256944444444448E-2</v>
      </c>
      <c r="F63" s="41">
        <v>0.82799999999999996</v>
      </c>
      <c r="G63" s="9">
        <v>1120</v>
      </c>
      <c r="H63" s="9">
        <v>32.4</v>
      </c>
      <c r="I63" s="8">
        <f t="shared" si="24"/>
        <v>5.6249999999999994E-2</v>
      </c>
      <c r="J63" s="41">
        <v>0.92700000000000005</v>
      </c>
      <c r="K63" s="20">
        <v>1005</v>
      </c>
      <c r="L63" s="41">
        <v>29.7</v>
      </c>
      <c r="M63" s="8">
        <f t="shared" si="25"/>
        <v>5.1562499999999997E-2</v>
      </c>
      <c r="N63" s="41">
        <v>0.93600000000000005</v>
      </c>
      <c r="O63" s="20">
        <v>920</v>
      </c>
      <c r="P63" s="41">
        <v>25.8</v>
      </c>
      <c r="Q63" s="8">
        <f t="shared" si="26"/>
        <v>4.4791666666666667E-2</v>
      </c>
      <c r="R63" s="41">
        <v>0.95099999999999996</v>
      </c>
      <c r="S63" s="20">
        <v>745</v>
      </c>
      <c r="T63" s="41">
        <v>24.2</v>
      </c>
      <c r="U63" s="8">
        <f t="shared" si="27"/>
        <v>4.2013888888888885E-2</v>
      </c>
      <c r="V63" s="41">
        <v>0.95099999999999996</v>
      </c>
    </row>
    <row r="64" spans="1:22" ht="15.75" customHeight="1">
      <c r="B64" s="6">
        <v>6</v>
      </c>
      <c r="C64" s="20">
        <v>1755</v>
      </c>
      <c r="D64" s="9">
        <v>35</v>
      </c>
      <c r="E64" s="8">
        <f t="shared" si="23"/>
        <v>6.0763888888888888E-2</v>
      </c>
      <c r="F64" s="41">
        <v>0.93799999999999994</v>
      </c>
      <c r="G64" s="9">
        <v>1615</v>
      </c>
      <c r="H64" s="9">
        <v>27.5</v>
      </c>
      <c r="I64" s="8">
        <f t="shared" si="24"/>
        <v>4.7743055555555552E-2</v>
      </c>
      <c r="J64" s="41">
        <v>0.96</v>
      </c>
      <c r="K64" s="20">
        <v>1410</v>
      </c>
      <c r="L64" s="41">
        <v>24.9</v>
      </c>
      <c r="M64" s="8">
        <f t="shared" si="25"/>
        <v>4.3229166666666666E-2</v>
      </c>
      <c r="N64" s="41">
        <v>0.96599999999999997</v>
      </c>
      <c r="O64" s="20">
        <v>1240</v>
      </c>
      <c r="P64" s="41">
        <v>24.5</v>
      </c>
      <c r="Q64" s="8">
        <f t="shared" si="26"/>
        <v>4.2534722222222224E-2</v>
      </c>
      <c r="R64" s="41">
        <v>0.96499999999999997</v>
      </c>
      <c r="S64" s="20">
        <v>1005</v>
      </c>
      <c r="T64" s="41">
        <v>22.4</v>
      </c>
      <c r="U64" s="8">
        <f t="shared" si="27"/>
        <v>3.888888888888889E-2</v>
      </c>
      <c r="V64" s="41">
        <v>0.97099999999999997</v>
      </c>
    </row>
    <row r="65" spans="2:22" ht="15.75" customHeight="1">
      <c r="B65" s="6">
        <v>7</v>
      </c>
      <c r="C65" s="20">
        <v>925</v>
      </c>
      <c r="D65" s="9">
        <v>34.200000000000003</v>
      </c>
      <c r="E65" s="8">
        <f t="shared" si="23"/>
        <v>5.9375000000000004E-2</v>
      </c>
      <c r="F65" s="41">
        <v>0.93600000000000005</v>
      </c>
      <c r="G65" s="9">
        <v>825</v>
      </c>
      <c r="H65" s="9">
        <v>24.1</v>
      </c>
      <c r="I65" s="8">
        <f t="shared" si="24"/>
        <v>4.1840277777777782E-2</v>
      </c>
      <c r="J65" s="41">
        <v>0.96799999999999997</v>
      </c>
      <c r="K65" s="20">
        <v>720</v>
      </c>
      <c r="L65" s="41">
        <v>22.4</v>
      </c>
      <c r="M65" s="8">
        <f t="shared" si="25"/>
        <v>3.888888888888889E-2</v>
      </c>
      <c r="N65" s="41">
        <v>0.97099999999999997</v>
      </c>
      <c r="O65" s="20">
        <v>615</v>
      </c>
      <c r="P65" s="41">
        <v>22.3</v>
      </c>
      <c r="Q65" s="8">
        <f t="shared" si="26"/>
        <v>3.8715277777777779E-2</v>
      </c>
      <c r="R65" s="41">
        <v>0.97199999999999998</v>
      </c>
      <c r="S65" s="20">
        <v>525</v>
      </c>
      <c r="T65" s="41">
        <v>21.9</v>
      </c>
      <c r="U65" s="8">
        <f t="shared" si="27"/>
        <v>3.802083333333333E-2</v>
      </c>
      <c r="V65" s="41">
        <v>0.97299999999999998</v>
      </c>
    </row>
    <row r="66" spans="2:22" ht="15.75" customHeight="1">
      <c r="C66" s="20"/>
      <c r="D66" s="9"/>
      <c r="G66" s="9"/>
      <c r="H66" s="9"/>
      <c r="K66" s="20"/>
      <c r="O66" s="20"/>
      <c r="S66" s="20"/>
    </row>
    <row r="67" spans="2:22" ht="15.75" customHeight="1">
      <c r="B67" s="6" t="s">
        <v>4</v>
      </c>
      <c r="C67" s="20"/>
      <c r="D67" s="15">
        <f>SUMPRODUCT(C58:C65,D58:D65)/SUM(C58:C65)</f>
        <v>32.32798933739528</v>
      </c>
      <c r="E67" s="12">
        <f>SUMPRODUCT(C58:C65,E58:E65)/SUM(C58:C65)</f>
        <v>5.6124981488533468E-2</v>
      </c>
      <c r="G67" s="9"/>
      <c r="H67" s="15">
        <f>SUMPRODUCT(G58:G65,H58:H65)/SUM(G58:G65)</f>
        <v>25.801928020565551</v>
      </c>
      <c r="I67" s="12">
        <f>SUMPRODUCT(G58:G65,I58:I65)/SUM(G58:G65)</f>
        <v>4.4795013924592973E-2</v>
      </c>
      <c r="K67" s="20"/>
      <c r="L67" s="15">
        <f>SUMPRODUCT(K58:K65,L58:L65)/SUM(K58:K65)</f>
        <v>23.295396669931439</v>
      </c>
      <c r="M67" s="12">
        <f>SUMPRODUCT(K58:K65,M58:M65)/SUM(K58:K65)</f>
        <v>4.0443396996408747E-2</v>
      </c>
      <c r="O67" s="20"/>
      <c r="P67" s="15">
        <f>SUMPRODUCT(O58:O65,P58:P65)/SUM(O58:O65)</f>
        <v>22.207195888063964</v>
      </c>
      <c r="Q67" s="12">
        <f>SUMPRODUCT(O58:O65,Q58:Q65)/SUM(O58:O65)</f>
        <v>3.8554159527888821E-2</v>
      </c>
      <c r="S67" s="20"/>
      <c r="T67" s="15">
        <f>SUMPRODUCT(S58:S65,T58:T65)/SUM(S58:S65)</f>
        <v>20.949143248800549</v>
      </c>
      <c r="U67" s="12">
        <f>SUMPRODUCT(S58:S65,U58:U65)/SUM(S58:S65)</f>
        <v>3.6370040362500952E-2</v>
      </c>
    </row>
    <row r="68" spans="2:22" ht="15.75" customHeight="1">
      <c r="E68">
        <v>5.53</v>
      </c>
      <c r="I68">
        <v>4.3600000000000003</v>
      </c>
      <c r="M68">
        <v>4.08</v>
      </c>
      <c r="Q68">
        <v>3.94</v>
      </c>
      <c r="U68">
        <v>3.73</v>
      </c>
    </row>
    <row r="69" spans="2:22" ht="15.75" customHeight="1">
      <c r="C69" s="6">
        <f>SUM(C58:C65)</f>
        <v>13130</v>
      </c>
      <c r="G69" s="6">
        <f>SUM(G58:G65)</f>
        <v>11670</v>
      </c>
      <c r="K69" s="6">
        <f>SUM(K58:K65)</f>
        <v>10210</v>
      </c>
      <c r="O69" s="6">
        <f>SUM(O58:O65)</f>
        <v>8755</v>
      </c>
      <c r="S69" s="6">
        <f>SUM(S58:S65)</f>
        <v>7295</v>
      </c>
    </row>
    <row r="70" spans="2:22" ht="15.75" customHeight="1"/>
    <row r="71" spans="2:22" ht="15.75" customHeight="1"/>
    <row r="72" spans="2:22" ht="15.75" customHeight="1"/>
    <row r="73" spans="2:22" ht="15.75" customHeight="1"/>
    <row r="74" spans="2:22" ht="15.75" customHeight="1"/>
    <row r="75" spans="2:22" ht="15.75" customHeight="1"/>
    <row r="76" spans="2:22" ht="15.75" customHeight="1"/>
    <row r="77" spans="2:22" ht="15.75" customHeight="1"/>
    <row r="78" spans="2:22" ht="15.75" customHeight="1"/>
    <row r="79" spans="2:22" ht="15.75" customHeight="1"/>
    <row r="80" spans="2:2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D24:F24"/>
    <mergeCell ref="H24:J24"/>
    <mergeCell ref="T24:V24"/>
    <mergeCell ref="D56:F56"/>
    <mergeCell ref="H56:J56"/>
    <mergeCell ref="L56:N56"/>
    <mergeCell ref="P56:R56"/>
    <mergeCell ref="T56:V56"/>
    <mergeCell ref="L24:N24"/>
    <mergeCell ref="P24:R24"/>
    <mergeCell ref="D40:F40"/>
    <mergeCell ref="H40:J40"/>
    <mergeCell ref="L40:N40"/>
    <mergeCell ref="P40:R40"/>
    <mergeCell ref="T40:V40"/>
    <mergeCell ref="D7:F7"/>
    <mergeCell ref="H7:J7"/>
    <mergeCell ref="L7:N7"/>
    <mergeCell ref="P7:R7"/>
    <mergeCell ref="T7:V7"/>
  </mergeCells>
  <pageMargins left="0.7" right="0.7" top="0.78740157499999996" bottom="0.78740157499999996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3:Y1000"/>
  <sheetViews>
    <sheetView tabSelected="1" topLeftCell="A37" workbookViewId="0">
      <selection activeCell="O57" sqref="O57"/>
    </sheetView>
  </sheetViews>
  <sheetFormatPr baseColWidth="10" defaultColWidth="14.42578125" defaultRowHeight="15" customHeight="1"/>
  <cols>
    <col min="1" max="1" width="16.28515625" customWidth="1"/>
    <col min="2" max="2" width="12.5703125" customWidth="1"/>
    <col min="3" max="20" width="10.7109375" customWidth="1"/>
    <col min="21" max="21" width="14.85546875" customWidth="1"/>
    <col min="22" max="26" width="10.7109375" customWidth="1"/>
  </cols>
  <sheetData>
    <row r="3" spans="1:25">
      <c r="B3" s="6">
        <v>17515</v>
      </c>
      <c r="C3" s="6" t="s">
        <v>14</v>
      </c>
      <c r="D3" s="6">
        <v>262</v>
      </c>
      <c r="E3" s="6" t="s">
        <v>15</v>
      </c>
    </row>
    <row r="4" spans="1:25">
      <c r="A4" s="6" t="s">
        <v>22</v>
      </c>
    </row>
    <row r="5" spans="1:25">
      <c r="A5" s="6">
        <v>714</v>
      </c>
    </row>
    <row r="7" spans="1:25">
      <c r="D7" s="32">
        <v>0.1</v>
      </c>
      <c r="E7" s="30"/>
      <c r="F7" s="30"/>
      <c r="G7" s="18"/>
      <c r="H7" s="32">
        <v>0.2</v>
      </c>
      <c r="I7" s="30"/>
      <c r="J7" s="30"/>
      <c r="K7" s="18"/>
      <c r="L7" s="32">
        <v>0.3</v>
      </c>
      <c r="M7" s="30"/>
      <c r="N7" s="30"/>
      <c r="O7" s="18"/>
      <c r="P7" s="32">
        <v>0.4</v>
      </c>
      <c r="Q7" s="30"/>
      <c r="R7" s="30"/>
      <c r="S7" s="18"/>
      <c r="T7" s="32">
        <v>0.5</v>
      </c>
      <c r="U7" s="30"/>
      <c r="V7" s="30"/>
      <c r="W7" s="1"/>
      <c r="X7" s="2"/>
      <c r="Y7" s="2"/>
    </row>
    <row r="8" spans="1:25">
      <c r="B8" s="3" t="s">
        <v>0</v>
      </c>
      <c r="C8" s="19" t="s">
        <v>17</v>
      </c>
      <c r="D8" s="4" t="s">
        <v>1</v>
      </c>
      <c r="E8" s="3" t="s">
        <v>2</v>
      </c>
      <c r="F8" s="3" t="s">
        <v>3</v>
      </c>
      <c r="G8" s="19" t="s">
        <v>17</v>
      </c>
      <c r="H8" s="4" t="s">
        <v>1</v>
      </c>
      <c r="I8" s="3" t="s">
        <v>2</v>
      </c>
      <c r="J8" s="3" t="s">
        <v>3</v>
      </c>
      <c r="K8" s="19" t="s">
        <v>17</v>
      </c>
      <c r="L8" s="3" t="s">
        <v>1</v>
      </c>
      <c r="M8" s="3" t="s">
        <v>2</v>
      </c>
      <c r="N8" s="3" t="s">
        <v>3</v>
      </c>
      <c r="O8" s="19" t="s">
        <v>17</v>
      </c>
      <c r="P8" s="3" t="s">
        <v>1</v>
      </c>
      <c r="Q8" s="3" t="s">
        <v>2</v>
      </c>
      <c r="R8" s="3" t="s">
        <v>3</v>
      </c>
      <c r="S8" s="19" t="s">
        <v>17</v>
      </c>
      <c r="T8" s="3" t="s">
        <v>1</v>
      </c>
      <c r="U8" s="3" t="s">
        <v>2</v>
      </c>
      <c r="V8" s="3" t="s">
        <v>3</v>
      </c>
    </row>
    <row r="9" spans="1:25">
      <c r="B9" s="6">
        <v>0</v>
      </c>
      <c r="C9" s="24">
        <f t="shared" ref="C9:V9" si="0">AVERAGE(C26,C41,C57)</f>
        <v>1778.3333333333333</v>
      </c>
      <c r="D9" s="25">
        <f t="shared" si="0"/>
        <v>26.3</v>
      </c>
      <c r="E9" s="21">
        <f t="shared" si="0"/>
        <v>3.6834733893557424E-2</v>
      </c>
      <c r="F9" s="20">
        <f t="shared" si="0"/>
        <v>0.85333333333333339</v>
      </c>
      <c r="G9" s="24">
        <f t="shared" si="0"/>
        <v>1521.6666666666667</v>
      </c>
      <c r="H9" s="25">
        <f t="shared" si="0"/>
        <v>22.733333333333331</v>
      </c>
      <c r="I9" s="21">
        <f t="shared" si="0"/>
        <v>3.183940242763772E-2</v>
      </c>
      <c r="J9" s="20">
        <f t="shared" si="0"/>
        <v>0.88166666666666671</v>
      </c>
      <c r="K9" s="24">
        <f t="shared" si="0"/>
        <v>1286.6666666666667</v>
      </c>
      <c r="L9" s="25">
        <f t="shared" si="0"/>
        <v>21.466666666666669</v>
      </c>
      <c r="M9" s="21">
        <f t="shared" si="0"/>
        <v>3.0065359477124184E-2</v>
      </c>
      <c r="N9" s="20">
        <f t="shared" si="0"/>
        <v>0.879</v>
      </c>
      <c r="O9" s="24">
        <f t="shared" si="0"/>
        <v>1115</v>
      </c>
      <c r="P9" s="25">
        <f t="shared" si="0"/>
        <v>21.25</v>
      </c>
      <c r="Q9" s="21">
        <f t="shared" si="0"/>
        <v>1.984126984126984E-2</v>
      </c>
      <c r="R9" s="20">
        <f t="shared" si="0"/>
        <v>0.88100000000000001</v>
      </c>
      <c r="S9" s="24">
        <f t="shared" si="0"/>
        <v>1055</v>
      </c>
      <c r="T9" s="25">
        <f t="shared" si="0"/>
        <v>22.95</v>
      </c>
      <c r="U9" s="21">
        <f t="shared" si="0"/>
        <v>2.1428571428571425E-2</v>
      </c>
      <c r="V9" s="20">
        <f t="shared" si="0"/>
        <v>0.89700000000000002</v>
      </c>
    </row>
    <row r="10" spans="1:25">
      <c r="B10" s="6">
        <v>1</v>
      </c>
      <c r="C10" s="24">
        <f t="shared" ref="C10:V10" si="1">AVERAGE(C27,C42,C58)</f>
        <v>2673.3333333333335</v>
      </c>
      <c r="D10" s="25">
        <f t="shared" si="1"/>
        <v>28.966666666666669</v>
      </c>
      <c r="E10" s="21">
        <f t="shared" si="1"/>
        <v>4.0569561157796453E-2</v>
      </c>
      <c r="F10" s="20">
        <f t="shared" si="1"/>
        <v>0.92266666666666663</v>
      </c>
      <c r="G10" s="24">
        <f t="shared" si="1"/>
        <v>2443.3333333333335</v>
      </c>
      <c r="H10" s="25">
        <f t="shared" si="1"/>
        <v>25.899999999999995</v>
      </c>
      <c r="I10" s="21">
        <f t="shared" si="1"/>
        <v>3.6274509803921572E-2</v>
      </c>
      <c r="J10" s="20">
        <f t="shared" si="1"/>
        <v>0.93533333333333335</v>
      </c>
      <c r="K10" s="24">
        <f t="shared" si="1"/>
        <v>2146.6666666666665</v>
      </c>
      <c r="L10" s="25">
        <f t="shared" si="1"/>
        <v>25.8</v>
      </c>
      <c r="M10" s="21">
        <f t="shared" si="1"/>
        <v>3.6134453781512609E-2</v>
      </c>
      <c r="N10" s="20">
        <f t="shared" si="1"/>
        <v>0.93400000000000005</v>
      </c>
      <c r="O10" s="24">
        <f t="shared" si="1"/>
        <v>1837.5</v>
      </c>
      <c r="P10" s="25">
        <f t="shared" si="1"/>
        <v>26.1</v>
      </c>
      <c r="Q10" s="21">
        <f t="shared" si="1"/>
        <v>2.4369747899159661E-2</v>
      </c>
      <c r="R10" s="20">
        <f t="shared" si="1"/>
        <v>0.9335</v>
      </c>
      <c r="S10" s="24">
        <f t="shared" si="1"/>
        <v>1455</v>
      </c>
      <c r="T10" s="25">
        <f t="shared" si="1"/>
        <v>24.700000000000003</v>
      </c>
      <c r="U10" s="21">
        <f t="shared" si="1"/>
        <v>2.3062558356676005E-2</v>
      </c>
      <c r="V10" s="20">
        <f t="shared" si="1"/>
        <v>0.93199999999999994</v>
      </c>
    </row>
    <row r="11" spans="1:25">
      <c r="B11" s="6">
        <v>2</v>
      </c>
      <c r="C11" s="24">
        <f t="shared" ref="C11:V11" si="2">AVERAGE(C28,C43,C59)</f>
        <v>1136.6666666666667</v>
      </c>
      <c r="D11" s="25">
        <f t="shared" si="2"/>
        <v>39.333333333333329</v>
      </c>
      <c r="E11" s="21">
        <f t="shared" si="2"/>
        <v>5.5088702147525676E-2</v>
      </c>
      <c r="F11" s="20">
        <f t="shared" si="2"/>
        <v>0.94866666666666666</v>
      </c>
      <c r="G11" s="24">
        <f t="shared" si="2"/>
        <v>1023.3333333333334</v>
      </c>
      <c r="H11" s="25">
        <f t="shared" si="2"/>
        <v>34.266666666666673</v>
      </c>
      <c r="I11" s="21">
        <f t="shared" si="2"/>
        <v>4.7992530345471525E-2</v>
      </c>
      <c r="J11" s="20">
        <f t="shared" si="2"/>
        <v>0.96</v>
      </c>
      <c r="K11" s="24">
        <f t="shared" si="2"/>
        <v>905</v>
      </c>
      <c r="L11" s="25">
        <f t="shared" si="2"/>
        <v>30.233333333333334</v>
      </c>
      <c r="M11" s="21">
        <f t="shared" si="2"/>
        <v>4.2343604108309986E-2</v>
      </c>
      <c r="N11" s="20">
        <f t="shared" si="2"/>
        <v>0.96649999999999991</v>
      </c>
      <c r="O11" s="24">
        <f t="shared" si="2"/>
        <v>797.5</v>
      </c>
      <c r="P11" s="25">
        <f t="shared" si="2"/>
        <v>28.4</v>
      </c>
      <c r="Q11" s="21">
        <f t="shared" si="2"/>
        <v>2.6517273576097105E-2</v>
      </c>
      <c r="R11" s="20">
        <f t="shared" si="2"/>
        <v>0.97049999999999992</v>
      </c>
      <c r="S11" s="24">
        <f t="shared" si="2"/>
        <v>642.5</v>
      </c>
      <c r="T11" s="25">
        <f t="shared" si="2"/>
        <v>27</v>
      </c>
      <c r="U11" s="21">
        <f t="shared" si="2"/>
        <v>2.5210084033613449E-2</v>
      </c>
      <c r="V11" s="20">
        <f t="shared" si="2"/>
        <v>0.97249999999999992</v>
      </c>
    </row>
    <row r="12" spans="1:25">
      <c r="B12" s="6">
        <v>3</v>
      </c>
      <c r="C12" s="24">
        <f t="shared" ref="C12:V12" si="3">AVERAGE(C29,C44,C60)</f>
        <v>2030</v>
      </c>
      <c r="D12" s="25">
        <f t="shared" si="3"/>
        <v>36.766666666666673</v>
      </c>
      <c r="E12" s="21">
        <f t="shared" si="3"/>
        <v>5.1493930905695616E-2</v>
      </c>
      <c r="F12" s="20">
        <f t="shared" si="3"/>
        <v>0.93100000000000005</v>
      </c>
      <c r="G12" s="24">
        <f t="shared" si="3"/>
        <v>1701.6666666666667</v>
      </c>
      <c r="H12" s="25">
        <f t="shared" si="3"/>
        <v>31.5</v>
      </c>
      <c r="I12" s="21">
        <f t="shared" si="3"/>
        <v>4.4117647058823539E-2</v>
      </c>
      <c r="J12" s="20">
        <f t="shared" si="3"/>
        <v>0.94566666666666654</v>
      </c>
      <c r="K12" s="24">
        <f t="shared" si="3"/>
        <v>1523.3333333333333</v>
      </c>
      <c r="L12" s="25">
        <f t="shared" si="3"/>
        <v>30.566666666666666</v>
      </c>
      <c r="M12" s="21">
        <f t="shared" si="3"/>
        <v>4.2810457516339863E-2</v>
      </c>
      <c r="N12" s="20">
        <f t="shared" si="3"/>
        <v>0.94350000000000001</v>
      </c>
      <c r="O12" s="24">
        <f t="shared" si="3"/>
        <v>1240</v>
      </c>
      <c r="P12" s="25">
        <f t="shared" si="3"/>
        <v>29.950000000000003</v>
      </c>
      <c r="Q12" s="21">
        <f t="shared" si="3"/>
        <v>2.796451914098973E-2</v>
      </c>
      <c r="R12" s="20">
        <f t="shared" si="3"/>
        <v>0.94899999999999995</v>
      </c>
      <c r="S12" s="24">
        <f t="shared" si="3"/>
        <v>972.5</v>
      </c>
      <c r="T12" s="25">
        <f t="shared" si="3"/>
        <v>27.95</v>
      </c>
      <c r="U12" s="21">
        <f t="shared" si="3"/>
        <v>2.6097105508870216E-2</v>
      </c>
      <c r="V12" s="20">
        <f t="shared" si="3"/>
        <v>0.95350000000000001</v>
      </c>
    </row>
    <row r="13" spans="1:25">
      <c r="B13" s="6">
        <v>4</v>
      </c>
      <c r="C13" s="24">
        <f t="shared" ref="C13:V13" si="4">AVERAGE(C30,C45,C61)</f>
        <v>1720</v>
      </c>
      <c r="D13" s="25">
        <f t="shared" si="4"/>
        <v>40.199999999999996</v>
      </c>
      <c r="E13" s="21">
        <f t="shared" si="4"/>
        <v>5.6302521008403363E-2</v>
      </c>
      <c r="F13" s="20">
        <f t="shared" si="4"/>
        <v>0.94000000000000006</v>
      </c>
      <c r="G13" s="24">
        <f t="shared" si="4"/>
        <v>1843.3333333333333</v>
      </c>
      <c r="H13" s="25">
        <f t="shared" si="4"/>
        <v>30.2</v>
      </c>
      <c r="I13" s="21">
        <f t="shared" si="4"/>
        <v>4.2296918767506998E-2</v>
      </c>
      <c r="J13" s="20">
        <f t="shared" si="4"/>
        <v>0.96399999999999997</v>
      </c>
      <c r="K13" s="24">
        <f t="shared" si="4"/>
        <v>1585</v>
      </c>
      <c r="L13" s="25">
        <f t="shared" si="4"/>
        <v>27.833333333333332</v>
      </c>
      <c r="M13" s="21">
        <f t="shared" si="4"/>
        <v>3.8982259570494865E-2</v>
      </c>
      <c r="N13" s="20">
        <f t="shared" si="4"/>
        <v>0.96950000000000003</v>
      </c>
      <c r="O13" s="24">
        <f t="shared" si="4"/>
        <v>1362.5</v>
      </c>
      <c r="P13" s="25">
        <f t="shared" si="4"/>
        <v>25.700000000000003</v>
      </c>
      <c r="Q13" s="21">
        <f t="shared" si="4"/>
        <v>2.3996265172735759E-2</v>
      </c>
      <c r="R13" s="20">
        <f t="shared" si="4"/>
        <v>0.97099999999999997</v>
      </c>
      <c r="S13" s="24">
        <f t="shared" si="4"/>
        <v>1145</v>
      </c>
      <c r="T13" s="25">
        <f t="shared" si="4"/>
        <v>24.75</v>
      </c>
      <c r="U13" s="21">
        <f t="shared" si="4"/>
        <v>2.3109243697478993E-2</v>
      </c>
      <c r="V13" s="20">
        <f t="shared" si="4"/>
        <v>0.97199999999999998</v>
      </c>
    </row>
    <row r="14" spans="1:25">
      <c r="B14" s="6">
        <v>5</v>
      </c>
      <c r="C14" s="24">
        <f t="shared" ref="C14:V14" si="5">AVERAGE(C31,C46,C62)</f>
        <v>1056.6666666666667</v>
      </c>
      <c r="D14" s="25">
        <f t="shared" si="5"/>
        <v>41.800000000000004</v>
      </c>
      <c r="E14" s="21">
        <f t="shared" si="5"/>
        <v>5.8543417366946772E-2</v>
      </c>
      <c r="F14" s="20">
        <f t="shared" si="5"/>
        <v>0.73466666666666669</v>
      </c>
      <c r="G14" s="24">
        <f t="shared" si="5"/>
        <v>965</v>
      </c>
      <c r="H14" s="25">
        <f t="shared" si="5"/>
        <v>27.5</v>
      </c>
      <c r="I14" s="21">
        <f t="shared" si="5"/>
        <v>3.8515406162464988E-2</v>
      </c>
      <c r="J14" s="20">
        <f t="shared" si="5"/>
        <v>0.88200000000000001</v>
      </c>
      <c r="K14" s="24">
        <f t="shared" si="5"/>
        <v>863.33333333333337</v>
      </c>
      <c r="L14" s="25">
        <f t="shared" si="5"/>
        <v>26.066666666666666</v>
      </c>
      <c r="M14" s="21">
        <f t="shared" si="5"/>
        <v>3.650793650793651E-2</v>
      </c>
      <c r="N14" s="20">
        <f t="shared" si="5"/>
        <v>0.89200000000000002</v>
      </c>
      <c r="O14" s="24">
        <f t="shared" si="5"/>
        <v>785</v>
      </c>
      <c r="P14" s="25">
        <f t="shared" si="5"/>
        <v>24.65</v>
      </c>
      <c r="Q14" s="21">
        <f t="shared" si="5"/>
        <v>2.3015873015873017E-2</v>
      </c>
      <c r="R14" s="20">
        <f t="shared" si="5"/>
        <v>0.90450000000000008</v>
      </c>
      <c r="S14" s="24">
        <f t="shared" si="5"/>
        <v>660</v>
      </c>
      <c r="T14" s="25">
        <f t="shared" si="5"/>
        <v>24.2</v>
      </c>
      <c r="U14" s="21">
        <f t="shared" si="5"/>
        <v>2.2595704948646128E-2</v>
      </c>
      <c r="V14" s="20">
        <f t="shared" si="5"/>
        <v>0.91149999999999998</v>
      </c>
    </row>
    <row r="15" spans="1:25">
      <c r="B15" s="6">
        <v>6</v>
      </c>
      <c r="C15" s="24">
        <f t="shared" ref="C15:V15" si="6">AVERAGE(C32,C47,C63)</f>
        <v>983.33333333333337</v>
      </c>
      <c r="D15" s="25">
        <f t="shared" si="6"/>
        <v>51</v>
      </c>
      <c r="E15" s="21">
        <f t="shared" si="6"/>
        <v>7.1428571428571438E-2</v>
      </c>
      <c r="F15" s="20">
        <f t="shared" si="6"/>
        <v>0.93200000000000005</v>
      </c>
      <c r="G15" s="24">
        <f t="shared" si="6"/>
        <v>916.66666666666663</v>
      </c>
      <c r="H15" s="25">
        <f t="shared" si="6"/>
        <v>39.233333333333327</v>
      </c>
      <c r="I15" s="21">
        <f t="shared" si="6"/>
        <v>5.4948646125116705E-2</v>
      </c>
      <c r="J15" s="20">
        <f t="shared" si="6"/>
        <v>0.95699999999999996</v>
      </c>
      <c r="K15" s="24">
        <f t="shared" si="6"/>
        <v>798.33333333333337</v>
      </c>
      <c r="L15" s="25">
        <f t="shared" si="6"/>
        <v>33.199999999999996</v>
      </c>
      <c r="M15" s="21">
        <f t="shared" si="6"/>
        <v>4.6498599439775912E-2</v>
      </c>
      <c r="N15" s="20">
        <f t="shared" si="6"/>
        <v>0.97099999999999997</v>
      </c>
      <c r="O15" s="24">
        <f t="shared" si="6"/>
        <v>632.5</v>
      </c>
      <c r="P15" s="25">
        <f t="shared" si="6"/>
        <v>30.85</v>
      </c>
      <c r="Q15" s="21">
        <f t="shared" si="6"/>
        <v>2.8804855275443509E-2</v>
      </c>
      <c r="R15" s="20">
        <f t="shared" si="6"/>
        <v>0.97199999999999998</v>
      </c>
      <c r="S15" s="24">
        <f t="shared" si="6"/>
        <v>540</v>
      </c>
      <c r="T15" s="25">
        <f t="shared" si="6"/>
        <v>28.9</v>
      </c>
      <c r="U15" s="21">
        <f t="shared" si="6"/>
        <v>2.6984126984126982E-2</v>
      </c>
      <c r="V15" s="20">
        <f t="shared" si="6"/>
        <v>0.97350000000000003</v>
      </c>
    </row>
    <row r="16" spans="1:25">
      <c r="B16" s="6">
        <v>7</v>
      </c>
      <c r="C16" s="24">
        <f t="shared" ref="C16:V16" si="7">AVERAGE(C33,C48,C64)</f>
        <v>1423.3333333333333</v>
      </c>
      <c r="D16" s="25">
        <f t="shared" si="7"/>
        <v>43.266666666666673</v>
      </c>
      <c r="E16" s="21">
        <f t="shared" si="7"/>
        <v>6.0597572362278244E-2</v>
      </c>
      <c r="F16" s="20">
        <f t="shared" si="7"/>
        <v>0.92066666666666663</v>
      </c>
      <c r="G16" s="24">
        <f t="shared" si="7"/>
        <v>1260</v>
      </c>
      <c r="H16" s="25">
        <f t="shared" si="7"/>
        <v>32.733333333333327</v>
      </c>
      <c r="I16" s="21">
        <f t="shared" si="7"/>
        <v>4.5845004668534077E-2</v>
      </c>
      <c r="J16" s="20">
        <f t="shared" si="7"/>
        <v>0.94633333333333336</v>
      </c>
      <c r="K16" s="24">
        <f t="shared" si="7"/>
        <v>1106.6666666666667</v>
      </c>
      <c r="L16" s="25">
        <f t="shared" si="7"/>
        <v>27.833333333333332</v>
      </c>
      <c r="M16" s="21">
        <f t="shared" si="7"/>
        <v>3.8982259570494865E-2</v>
      </c>
      <c r="N16" s="20">
        <f t="shared" si="7"/>
        <v>0.96449999999999991</v>
      </c>
      <c r="O16" s="24">
        <f t="shared" si="7"/>
        <v>985</v>
      </c>
      <c r="P16" s="25">
        <f t="shared" si="7"/>
        <v>26.299999999999997</v>
      </c>
      <c r="Q16" s="21">
        <f t="shared" si="7"/>
        <v>2.4556489262371611E-2</v>
      </c>
      <c r="R16" s="20">
        <f t="shared" si="7"/>
        <v>0.96649999999999991</v>
      </c>
      <c r="S16" s="24">
        <f t="shared" si="7"/>
        <v>825</v>
      </c>
      <c r="T16" s="25">
        <f t="shared" si="7"/>
        <v>25.65</v>
      </c>
      <c r="U16" s="21">
        <f t="shared" si="7"/>
        <v>2.3949579831932771E-2</v>
      </c>
      <c r="V16" s="20">
        <f t="shared" si="7"/>
        <v>0.96849999999999992</v>
      </c>
    </row>
    <row r="17" spans="1:22"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</row>
    <row r="18" spans="1:22">
      <c r="B18" s="6" t="s">
        <v>4</v>
      </c>
      <c r="C18" s="20"/>
      <c r="D18" s="22">
        <f t="shared" ref="D18:F18" si="8">AVERAGE(D35,D50,D66)</f>
        <v>36.565763282389618</v>
      </c>
      <c r="E18" s="23">
        <f t="shared" si="8"/>
        <v>5.1212553616792188E-2</v>
      </c>
      <c r="F18" s="20" t="e">
        <f t="shared" si="8"/>
        <v>#DIV/0!</v>
      </c>
      <c r="G18" s="20"/>
      <c r="H18" s="22">
        <f t="shared" ref="H18:J18" si="9">AVERAGE(H35,H50,H66)</f>
        <v>29.631648822269806</v>
      </c>
      <c r="I18" s="23">
        <f t="shared" si="9"/>
        <v>4.1500908714663588E-2</v>
      </c>
      <c r="J18" s="20" t="e">
        <f t="shared" si="9"/>
        <v>#DIV/0!</v>
      </c>
      <c r="K18" s="20"/>
      <c r="L18" s="22">
        <f t="shared" ref="L18:N18" si="10">AVERAGE(L35,L50,L66)</f>
        <v>27.493228911731119</v>
      </c>
      <c r="M18" s="23">
        <f t="shared" si="10"/>
        <v>3.8505922845561785E-2</v>
      </c>
      <c r="N18" s="20" t="e">
        <f t="shared" si="10"/>
        <v>#DIV/0!</v>
      </c>
      <c r="O18" s="20"/>
      <c r="P18" s="22" t="e">
        <f t="shared" ref="P18:R18" si="11">AVERAGE(P35,P50,P66)</f>
        <v>#DIV/0!</v>
      </c>
      <c r="Q18" s="23" t="e">
        <f t="shared" si="11"/>
        <v>#DIV/0!</v>
      </c>
      <c r="R18" s="20" t="e">
        <f t="shared" si="11"/>
        <v>#DIV/0!</v>
      </c>
      <c r="S18" s="20"/>
      <c r="T18" s="22" t="e">
        <f t="shared" ref="T18:V18" si="12">AVERAGE(T35,T50,T66)</f>
        <v>#DIV/0!</v>
      </c>
      <c r="U18" s="23" t="e">
        <f t="shared" si="12"/>
        <v>#DIV/0!</v>
      </c>
      <c r="V18" s="20" t="e">
        <f t="shared" si="12"/>
        <v>#DIV/0!</v>
      </c>
    </row>
    <row r="20" spans="1:22">
      <c r="C20" s="28">
        <f>SUM(C9:C16)</f>
        <v>12801.666666666668</v>
      </c>
      <c r="G20" s="28">
        <f>SUM(G9:G16)</f>
        <v>11675</v>
      </c>
      <c r="K20" s="28">
        <f>SUM(K9:K16)</f>
        <v>10215</v>
      </c>
      <c r="O20" s="28">
        <f>SUM(O9:O16)</f>
        <v>8755</v>
      </c>
      <c r="S20" s="28">
        <f>SUM(S9:S16)</f>
        <v>7295</v>
      </c>
    </row>
    <row r="21" spans="1:22" ht="15.75" customHeight="1">
      <c r="C21" s="6">
        <f>C20/($B$3-$D$3)</f>
        <v>0.74199656098456312</v>
      </c>
      <c r="G21" s="6">
        <f>G20/($B$3-$D$3)</f>
        <v>0.67669390830580189</v>
      </c>
    </row>
    <row r="22" spans="1:22" ht="15.75" customHeight="1"/>
    <row r="23" spans="1:22" ht="15.75" customHeight="1"/>
    <row r="24" spans="1:22" ht="15.75" customHeight="1">
      <c r="A24" s="6" t="s">
        <v>18</v>
      </c>
      <c r="D24" s="32">
        <v>0.1</v>
      </c>
      <c r="E24" s="30"/>
      <c r="F24" s="30"/>
      <c r="G24" s="18"/>
      <c r="H24" s="32">
        <v>0.2</v>
      </c>
      <c r="I24" s="30"/>
      <c r="J24" s="30"/>
      <c r="K24" s="18"/>
      <c r="L24" s="32">
        <v>0.3</v>
      </c>
      <c r="M24" s="30"/>
      <c r="N24" s="30"/>
      <c r="O24" s="18"/>
      <c r="P24" s="32">
        <v>0.4</v>
      </c>
      <c r="Q24" s="30"/>
      <c r="R24" s="30"/>
      <c r="S24" s="18"/>
      <c r="T24" s="32">
        <v>0.5</v>
      </c>
      <c r="U24" s="30"/>
      <c r="V24" s="30"/>
    </row>
    <row r="25" spans="1:22" ht="15.75" customHeight="1">
      <c r="B25" s="3" t="s">
        <v>0</v>
      </c>
      <c r="C25" s="19" t="s">
        <v>17</v>
      </c>
      <c r="D25" s="4" t="s">
        <v>1</v>
      </c>
      <c r="E25" s="3" t="s">
        <v>2</v>
      </c>
      <c r="F25" s="3" t="s">
        <v>3</v>
      </c>
      <c r="G25" s="19" t="s">
        <v>17</v>
      </c>
      <c r="H25" s="4" t="s">
        <v>1</v>
      </c>
      <c r="I25" s="3" t="s">
        <v>2</v>
      </c>
      <c r="J25" s="3" t="s">
        <v>3</v>
      </c>
      <c r="K25" s="19" t="s">
        <v>17</v>
      </c>
      <c r="L25" s="3" t="s">
        <v>1</v>
      </c>
      <c r="M25" s="3" t="s">
        <v>2</v>
      </c>
      <c r="N25" s="3" t="s">
        <v>3</v>
      </c>
      <c r="O25" s="19" t="s">
        <v>17</v>
      </c>
      <c r="P25" s="3" t="s">
        <v>1</v>
      </c>
      <c r="Q25" s="3" t="s">
        <v>2</v>
      </c>
      <c r="R25" s="3" t="s">
        <v>3</v>
      </c>
      <c r="S25" s="19" t="s">
        <v>17</v>
      </c>
      <c r="T25" s="3" t="s">
        <v>1</v>
      </c>
      <c r="U25" s="3" t="s">
        <v>2</v>
      </c>
      <c r="V25" s="3" t="s">
        <v>3</v>
      </c>
    </row>
    <row r="26" spans="1:22" ht="15.75" customHeight="1">
      <c r="B26" s="6">
        <v>0</v>
      </c>
      <c r="C26" s="20">
        <v>1645</v>
      </c>
      <c r="D26" s="9">
        <v>26.8</v>
      </c>
      <c r="E26" s="8">
        <f t="shared" ref="E26:E33" si="13">D26/$A$5</f>
        <v>3.7535014005602239E-2</v>
      </c>
      <c r="F26" s="41">
        <v>0.81699999999999995</v>
      </c>
      <c r="G26" s="9">
        <v>1525</v>
      </c>
      <c r="H26" s="9">
        <v>22.4</v>
      </c>
      <c r="I26" s="8">
        <f t="shared" ref="I26:I33" si="14">H26/$A$5</f>
        <v>3.1372549019607843E-2</v>
      </c>
      <c r="J26" s="41">
        <v>0.86899999999999999</v>
      </c>
      <c r="K26" s="20">
        <v>1315</v>
      </c>
      <c r="L26" s="41">
        <v>22.1</v>
      </c>
      <c r="M26" s="8">
        <f t="shared" ref="M26:M33" si="15">L26/$A$5</f>
        <v>3.0952380952380953E-2</v>
      </c>
      <c r="N26" s="41">
        <v>0.86499999999999999</v>
      </c>
      <c r="O26" s="20">
        <v>1110</v>
      </c>
      <c r="P26" s="41">
        <v>21.2</v>
      </c>
      <c r="Q26" s="8">
        <f t="shared" ref="Q26:Q33" si="16">P26/$A$5</f>
        <v>2.9691876750700279E-2</v>
      </c>
      <c r="R26" s="41">
        <v>0.86499999999999999</v>
      </c>
      <c r="S26" s="20">
        <v>1005</v>
      </c>
      <c r="T26" s="41">
        <v>21</v>
      </c>
      <c r="U26" s="8">
        <f t="shared" ref="U26:U33" si="17">T26/$A$5</f>
        <v>2.9411764705882353E-2</v>
      </c>
      <c r="V26" s="41">
        <v>0.90100000000000002</v>
      </c>
    </row>
    <row r="27" spans="1:22" ht="15.75" customHeight="1">
      <c r="B27" s="6">
        <v>1</v>
      </c>
      <c r="C27" s="20">
        <v>2720</v>
      </c>
      <c r="D27" s="9">
        <v>27.7</v>
      </c>
      <c r="E27" s="8">
        <f t="shared" si="13"/>
        <v>3.8795518207282914E-2</v>
      </c>
      <c r="F27" s="41">
        <v>0.93300000000000005</v>
      </c>
      <c r="G27" s="9">
        <v>2510</v>
      </c>
      <c r="H27" s="9">
        <v>25.9</v>
      </c>
      <c r="I27" s="8">
        <f t="shared" si="14"/>
        <v>3.6274509803921565E-2</v>
      </c>
      <c r="J27" s="41">
        <v>0.93799999999999994</v>
      </c>
      <c r="K27" s="20">
        <v>2180</v>
      </c>
      <c r="L27" s="41">
        <v>26.1</v>
      </c>
      <c r="M27" s="8">
        <f t="shared" si="15"/>
        <v>3.6554621848739498E-2</v>
      </c>
      <c r="N27" s="41">
        <v>0.93500000000000005</v>
      </c>
      <c r="O27" s="20">
        <v>1870</v>
      </c>
      <c r="P27" s="41">
        <v>26.5</v>
      </c>
      <c r="Q27" s="8">
        <f t="shared" si="16"/>
        <v>3.711484593837535E-2</v>
      </c>
      <c r="R27" s="41">
        <v>0.93700000000000006</v>
      </c>
      <c r="S27" s="20">
        <v>1525</v>
      </c>
      <c r="T27" s="41">
        <v>25.3</v>
      </c>
      <c r="U27" s="8">
        <f t="shared" si="17"/>
        <v>3.5434173669467786E-2</v>
      </c>
      <c r="V27" s="41">
        <v>0.94099999999999995</v>
      </c>
    </row>
    <row r="28" spans="1:22" ht="15.75" customHeight="1">
      <c r="B28" s="6">
        <v>2</v>
      </c>
      <c r="C28" s="20">
        <v>1170</v>
      </c>
      <c r="D28" s="9">
        <v>47.3</v>
      </c>
      <c r="E28" s="8">
        <f t="shared" si="13"/>
        <v>6.6246498599439776E-2</v>
      </c>
      <c r="F28" s="41">
        <v>0.93100000000000005</v>
      </c>
      <c r="G28" s="9">
        <v>1035</v>
      </c>
      <c r="H28" s="9">
        <v>35.5</v>
      </c>
      <c r="I28" s="8">
        <f t="shared" si="14"/>
        <v>4.971988795518207E-2</v>
      </c>
      <c r="J28" s="41">
        <v>0.95899999999999996</v>
      </c>
      <c r="K28" s="20">
        <v>870</v>
      </c>
      <c r="L28" s="41">
        <v>29.6</v>
      </c>
      <c r="M28" s="8">
        <f t="shared" si="15"/>
        <v>4.1456582633053227E-2</v>
      </c>
      <c r="N28" s="41">
        <v>0.96799999999999997</v>
      </c>
      <c r="O28" s="20">
        <v>785</v>
      </c>
      <c r="P28" s="41">
        <v>27.5</v>
      </c>
      <c r="Q28" s="8">
        <f t="shared" si="16"/>
        <v>3.8515406162464988E-2</v>
      </c>
      <c r="R28" s="41">
        <v>0.97099999999999997</v>
      </c>
      <c r="S28" s="20">
        <v>635</v>
      </c>
      <c r="T28" s="41">
        <v>27.1</v>
      </c>
      <c r="U28" s="8">
        <f t="shared" si="17"/>
        <v>3.7955182072829136E-2</v>
      </c>
      <c r="V28" s="41">
        <v>0.97</v>
      </c>
    </row>
    <row r="29" spans="1:22" ht="15.75" customHeight="1">
      <c r="B29" s="6">
        <v>3</v>
      </c>
      <c r="C29" s="20">
        <v>2185</v>
      </c>
      <c r="D29" s="9">
        <v>38.700000000000003</v>
      </c>
      <c r="E29" s="8">
        <f t="shared" si="13"/>
        <v>5.4201680672268909E-2</v>
      </c>
      <c r="F29" s="41">
        <v>0.93300000000000005</v>
      </c>
      <c r="G29" s="9">
        <v>1655</v>
      </c>
      <c r="H29" s="9">
        <v>29.8</v>
      </c>
      <c r="I29" s="8">
        <f t="shared" si="14"/>
        <v>4.1736694677871153E-2</v>
      </c>
      <c r="J29" s="41">
        <v>0.95099999999999996</v>
      </c>
      <c r="K29" s="20">
        <v>1480</v>
      </c>
      <c r="L29" s="41">
        <v>31.8</v>
      </c>
      <c r="M29" s="8">
        <f t="shared" si="15"/>
        <v>4.4537815126050422E-2</v>
      </c>
      <c r="N29" s="41">
        <v>0.94599999999999995</v>
      </c>
      <c r="O29" s="20">
        <v>1245</v>
      </c>
      <c r="P29" s="41">
        <v>30.3</v>
      </c>
      <c r="Q29" s="8">
        <f t="shared" si="16"/>
        <v>4.2436974789915968E-2</v>
      </c>
      <c r="R29" s="41">
        <v>0.95199999999999996</v>
      </c>
      <c r="S29" s="20">
        <v>995</v>
      </c>
      <c r="T29" s="41">
        <v>27.2</v>
      </c>
      <c r="U29" s="8">
        <f t="shared" si="17"/>
        <v>3.8095238095238092E-2</v>
      </c>
      <c r="V29" s="41">
        <v>0.95799999999999996</v>
      </c>
    </row>
    <row r="30" spans="1:22" ht="15.75" customHeight="1">
      <c r="B30" s="6">
        <v>4</v>
      </c>
      <c r="C30" s="20">
        <v>2045</v>
      </c>
      <c r="D30" s="9">
        <v>36.1</v>
      </c>
      <c r="E30" s="8">
        <f t="shared" si="13"/>
        <v>5.0560224089635855E-2</v>
      </c>
      <c r="F30" s="41">
        <v>0.95099999999999996</v>
      </c>
      <c r="G30" s="9">
        <v>1825</v>
      </c>
      <c r="H30" s="9">
        <v>30.3</v>
      </c>
      <c r="I30" s="8">
        <f t="shared" si="14"/>
        <v>4.2436974789915968E-2</v>
      </c>
      <c r="J30" s="41">
        <v>0.96499999999999997</v>
      </c>
      <c r="K30" s="20">
        <v>1605</v>
      </c>
      <c r="L30" s="41">
        <v>26.6</v>
      </c>
      <c r="M30" s="8">
        <f t="shared" si="15"/>
        <v>3.7254901960784313E-2</v>
      </c>
      <c r="N30" s="41">
        <v>0.97099999999999997</v>
      </c>
      <c r="O30" s="20">
        <v>1365</v>
      </c>
      <c r="P30" s="41">
        <v>26.6</v>
      </c>
      <c r="Q30" s="8">
        <f t="shared" si="16"/>
        <v>3.7254901960784313E-2</v>
      </c>
      <c r="R30" s="41">
        <v>0.96899999999999997</v>
      </c>
      <c r="S30" s="20">
        <v>1140</v>
      </c>
      <c r="T30" s="41">
        <v>25.6</v>
      </c>
      <c r="U30" s="8">
        <f t="shared" si="17"/>
        <v>3.5854341736694682E-2</v>
      </c>
      <c r="V30" s="41">
        <v>0.96899999999999997</v>
      </c>
    </row>
    <row r="31" spans="1:22" ht="15.75" customHeight="1">
      <c r="B31" s="6">
        <v>5</v>
      </c>
      <c r="C31" s="20">
        <v>1025</v>
      </c>
      <c r="D31" s="9">
        <v>54.5</v>
      </c>
      <c r="E31" s="8">
        <f t="shared" si="13"/>
        <v>7.633053221288516E-2</v>
      </c>
      <c r="F31" s="41">
        <v>0.63</v>
      </c>
      <c r="G31" s="9">
        <v>955</v>
      </c>
      <c r="H31" s="9">
        <v>29.1</v>
      </c>
      <c r="I31" s="8">
        <f t="shared" si="14"/>
        <v>4.0756302521008404E-2</v>
      </c>
      <c r="J31" s="41">
        <v>0.871</v>
      </c>
      <c r="K31" s="20">
        <v>870</v>
      </c>
      <c r="L31" s="41">
        <v>26.7</v>
      </c>
      <c r="M31" s="8">
        <f t="shared" si="15"/>
        <v>3.7394957983193276E-2</v>
      </c>
      <c r="N31" s="41">
        <v>0.89100000000000001</v>
      </c>
      <c r="O31" s="20">
        <v>760</v>
      </c>
      <c r="P31" s="41">
        <v>26.2</v>
      </c>
      <c r="Q31" s="8">
        <f t="shared" si="16"/>
        <v>3.6694677871148461E-2</v>
      </c>
      <c r="R31" s="41">
        <v>0.90400000000000003</v>
      </c>
      <c r="S31" s="20">
        <v>595</v>
      </c>
      <c r="T31" s="41">
        <v>23.9</v>
      </c>
      <c r="U31" s="8">
        <f t="shared" si="17"/>
        <v>3.3473389355742296E-2</v>
      </c>
      <c r="V31" s="41">
        <v>0.91600000000000004</v>
      </c>
    </row>
    <row r="32" spans="1:22" ht="15.75" customHeight="1">
      <c r="B32" s="6">
        <v>6</v>
      </c>
      <c r="C32" s="20">
        <v>955</v>
      </c>
      <c r="D32" s="9">
        <v>49.4</v>
      </c>
      <c r="E32" s="8">
        <f t="shared" si="13"/>
        <v>6.9187675070028015E-2</v>
      </c>
      <c r="F32" s="41">
        <v>0.94199999999999995</v>
      </c>
      <c r="G32" s="9">
        <v>905</v>
      </c>
      <c r="H32" s="9">
        <v>37.299999999999997</v>
      </c>
      <c r="I32" s="8">
        <f t="shared" si="14"/>
        <v>5.2240896358543412E-2</v>
      </c>
      <c r="J32" s="41">
        <v>0.96399999999999997</v>
      </c>
      <c r="K32" s="20">
        <v>775</v>
      </c>
      <c r="L32" s="41">
        <v>32.299999999999997</v>
      </c>
      <c r="M32" s="8">
        <f t="shared" si="15"/>
        <v>4.5238095238095237E-2</v>
      </c>
      <c r="N32" s="41">
        <v>0.97299999999999998</v>
      </c>
      <c r="O32" s="20">
        <v>635</v>
      </c>
      <c r="P32" s="41">
        <v>30.4</v>
      </c>
      <c r="Q32" s="8">
        <f t="shared" si="16"/>
        <v>4.2577030812324931E-2</v>
      </c>
      <c r="R32" s="41">
        <v>0.97399999999999998</v>
      </c>
      <c r="S32" s="20">
        <v>565</v>
      </c>
      <c r="T32" s="41">
        <v>26.9</v>
      </c>
      <c r="U32" s="8">
        <f t="shared" si="17"/>
        <v>3.7675070028011202E-2</v>
      </c>
      <c r="V32" s="41">
        <v>0.98</v>
      </c>
    </row>
    <row r="33" spans="1:22" ht="15.75" customHeight="1">
      <c r="B33" s="6">
        <v>7</v>
      </c>
      <c r="C33" s="20">
        <v>1390</v>
      </c>
      <c r="D33" s="9">
        <v>36</v>
      </c>
      <c r="E33" s="8">
        <f t="shared" si="13"/>
        <v>5.0420168067226892E-2</v>
      </c>
      <c r="F33" s="41">
        <v>0.93799999999999994</v>
      </c>
      <c r="G33" s="9">
        <v>1265</v>
      </c>
      <c r="H33" s="9">
        <v>30</v>
      </c>
      <c r="I33" s="8">
        <f t="shared" si="14"/>
        <v>4.2016806722689079E-2</v>
      </c>
      <c r="J33" s="41">
        <v>0.95199999999999996</v>
      </c>
      <c r="K33" s="20">
        <v>1120</v>
      </c>
      <c r="L33" s="41">
        <v>26.9</v>
      </c>
      <c r="M33" s="8">
        <f t="shared" si="15"/>
        <v>3.7675070028011202E-2</v>
      </c>
      <c r="N33" s="41">
        <v>0.96399999999999997</v>
      </c>
      <c r="O33" s="20">
        <v>985</v>
      </c>
      <c r="P33" s="41">
        <v>25.9</v>
      </c>
      <c r="Q33" s="8">
        <f t="shared" si="16"/>
        <v>3.6274509803921565E-2</v>
      </c>
      <c r="R33" s="41">
        <v>0.96499999999999997</v>
      </c>
      <c r="S33" s="20">
        <v>835</v>
      </c>
      <c r="T33" s="41">
        <v>25.3</v>
      </c>
      <c r="U33" s="8">
        <f t="shared" si="17"/>
        <v>3.5434173669467786E-2</v>
      </c>
      <c r="V33" s="41">
        <v>0.96699999999999997</v>
      </c>
    </row>
    <row r="34" spans="1:22" ht="15.75" customHeight="1">
      <c r="C34" s="20"/>
      <c r="D34" s="9"/>
      <c r="G34" s="9"/>
      <c r="H34" s="9"/>
      <c r="K34" s="20"/>
      <c r="O34" s="20"/>
      <c r="S34" s="20"/>
    </row>
    <row r="35" spans="1:22" ht="15.75" customHeight="1">
      <c r="B35" s="6" t="s">
        <v>4</v>
      </c>
      <c r="C35" s="20"/>
      <c r="D35" s="27">
        <f>SUMPRODUCT(C26:C33,D26:D33)/SUM(C26:C33)</f>
        <v>37.018233726684429</v>
      </c>
      <c r="E35" s="12">
        <f>SUMPRODUCT(C26:C33,E26:E33)/SUM(C26:C33)</f>
        <v>5.1846265723647672E-2</v>
      </c>
      <c r="G35" s="9"/>
      <c r="H35" s="27">
        <f>SUMPRODUCT(G26:G33,H26:H33)/SUM(G26:G33)</f>
        <v>29.124197002141326</v>
      </c>
      <c r="I35" s="12">
        <f>SUMPRODUCT(G26:G33,I26:I33)/SUM(G26:G33)</f>
        <v>4.0790191879749756E-2</v>
      </c>
      <c r="K35" s="20"/>
      <c r="L35" s="27">
        <f>SUMPRODUCT(K26:K33,L26:L33)/SUM(K26:K33)</f>
        <v>27.396769456681351</v>
      </c>
      <c r="M35" s="12">
        <f>SUMPRODUCT(K26:K33,M26:M33)/SUM(K26:K33)</f>
        <v>3.8370825569581726E-2</v>
      </c>
      <c r="O35" s="20"/>
      <c r="P35" s="27">
        <f>SUMPRODUCT(O26:O33,P26:P33)/SUM(O26:O33)</f>
        <v>26.662992575671044</v>
      </c>
      <c r="Q35" s="12">
        <f>SUMPRODUCT(O26:O33,Q26:Q33)/SUM(O26:O33)</f>
        <v>3.7343126856682125E-2</v>
      </c>
      <c r="S35" s="20"/>
      <c r="T35" s="27">
        <f>SUMPRODUCT(S26:S33,T26:T33)/SUM(S26:S33)</f>
        <v>25.180054832076763</v>
      </c>
      <c r="U35" s="12">
        <f>SUMPRODUCT(S26:S33,U26:U33)/SUM(S26:S33)</f>
        <v>3.5266183238202749E-2</v>
      </c>
    </row>
    <row r="36" spans="1:22" ht="15.75" customHeight="1">
      <c r="E36">
        <v>5.0199999999999996</v>
      </c>
      <c r="I36">
        <v>4.1500000000000004</v>
      </c>
      <c r="M36">
        <v>3.85</v>
      </c>
      <c r="Q36">
        <v>3.48</v>
      </c>
      <c r="U36">
        <v>3.44</v>
      </c>
    </row>
    <row r="37" spans="1:22" ht="15.75" customHeight="1">
      <c r="C37" s="6">
        <f>SUM(C26:C33)</f>
        <v>13135</v>
      </c>
      <c r="G37" s="6">
        <f>SUM(G26:G33)</f>
        <v>11675</v>
      </c>
      <c r="K37" s="6">
        <f>SUM(K26:K33)</f>
        <v>10215</v>
      </c>
      <c r="O37" s="6">
        <f>SUM(O26:O33)</f>
        <v>8755</v>
      </c>
      <c r="S37" s="6">
        <f>SUM(S26:S33)</f>
        <v>7295</v>
      </c>
    </row>
    <row r="38" spans="1:22" ht="15.75" customHeight="1"/>
    <row r="39" spans="1:22" ht="15.75" customHeight="1">
      <c r="A39" s="6" t="s">
        <v>19</v>
      </c>
      <c r="D39" s="32">
        <v>0.1</v>
      </c>
      <c r="E39" s="30"/>
      <c r="F39" s="30"/>
      <c r="G39" s="18"/>
      <c r="H39" s="32">
        <v>0.2</v>
      </c>
      <c r="I39" s="30"/>
      <c r="J39" s="30"/>
      <c r="K39" s="18"/>
      <c r="L39" s="32">
        <v>0.3</v>
      </c>
      <c r="M39" s="30"/>
      <c r="N39" s="30"/>
      <c r="O39" s="18"/>
      <c r="P39" s="32">
        <v>0.4</v>
      </c>
      <c r="Q39" s="30"/>
      <c r="R39" s="30"/>
      <c r="S39" s="18"/>
      <c r="T39" s="32">
        <v>0.5</v>
      </c>
      <c r="U39" s="30"/>
      <c r="V39" s="30"/>
    </row>
    <row r="40" spans="1:22" ht="15.75" customHeight="1">
      <c r="B40" s="3" t="s">
        <v>0</v>
      </c>
      <c r="C40" s="19" t="s">
        <v>17</v>
      </c>
      <c r="D40" s="4" t="s">
        <v>1</v>
      </c>
      <c r="E40" s="3" t="s">
        <v>2</v>
      </c>
      <c r="F40" s="3" t="s">
        <v>3</v>
      </c>
      <c r="G40" s="19" t="s">
        <v>17</v>
      </c>
      <c r="H40" s="4" t="s">
        <v>1</v>
      </c>
      <c r="I40" s="3" t="s">
        <v>2</v>
      </c>
      <c r="J40" s="3" t="s">
        <v>3</v>
      </c>
      <c r="K40" s="19" t="s">
        <v>17</v>
      </c>
      <c r="L40" s="3" t="s">
        <v>1</v>
      </c>
      <c r="M40" s="3" t="s">
        <v>2</v>
      </c>
      <c r="N40" s="3" t="s">
        <v>3</v>
      </c>
      <c r="O40" s="19" t="s">
        <v>17</v>
      </c>
      <c r="P40" s="3" t="s">
        <v>1</v>
      </c>
      <c r="Q40" s="3" t="s">
        <v>2</v>
      </c>
      <c r="R40" s="3" t="s">
        <v>3</v>
      </c>
      <c r="S40" s="19" t="s">
        <v>17</v>
      </c>
      <c r="T40" s="3" t="s">
        <v>1</v>
      </c>
      <c r="U40" s="3" t="s">
        <v>2</v>
      </c>
      <c r="V40" s="3" t="s">
        <v>3</v>
      </c>
    </row>
    <row r="41" spans="1:22" ht="15.75" customHeight="1">
      <c r="B41" s="6">
        <v>0</v>
      </c>
      <c r="C41" s="20">
        <v>1790</v>
      </c>
      <c r="D41" s="9">
        <v>24.7</v>
      </c>
      <c r="E41" s="8">
        <f t="shared" ref="E41:E48" si="18">D41/$A$5</f>
        <v>3.4593837535014008E-2</v>
      </c>
      <c r="F41" s="41">
        <v>0.871</v>
      </c>
      <c r="G41" s="9">
        <v>1545</v>
      </c>
      <c r="H41" s="9">
        <v>23.4</v>
      </c>
      <c r="I41" s="8">
        <f t="shared" ref="I41:I48" si="19">H41/$A$5</f>
        <v>3.2773109243697474E-2</v>
      </c>
      <c r="J41" s="41">
        <v>0.88600000000000001</v>
      </c>
      <c r="K41" s="20">
        <v>1330</v>
      </c>
      <c r="L41" s="41">
        <v>22.9</v>
      </c>
      <c r="M41" s="8">
        <f t="shared" ref="M41:M48" si="20">L41/$A$5</f>
        <v>3.2072829131652658E-2</v>
      </c>
      <c r="N41" s="41">
        <v>0.89300000000000002</v>
      </c>
      <c r="O41" s="20">
        <v>1120</v>
      </c>
      <c r="P41" s="41">
        <v>21.3</v>
      </c>
      <c r="Q41" s="8">
        <f t="shared" ref="Q41:Q48" si="21">P41/$A$5</f>
        <v>2.9831932773109245E-2</v>
      </c>
      <c r="R41" s="41">
        <v>0.89700000000000002</v>
      </c>
      <c r="S41" s="20">
        <v>1105</v>
      </c>
      <c r="T41" s="41">
        <v>24.9</v>
      </c>
      <c r="U41" s="8">
        <f t="shared" ref="U41:U48" si="22">T41/$A$5</f>
        <v>3.4873949579831934E-2</v>
      </c>
      <c r="V41" s="41">
        <v>0.89300000000000002</v>
      </c>
    </row>
    <row r="42" spans="1:22" ht="15.75" customHeight="1">
      <c r="B42" s="6">
        <v>1</v>
      </c>
      <c r="C42" s="20">
        <v>2775</v>
      </c>
      <c r="D42" s="9">
        <v>30.6</v>
      </c>
      <c r="E42" s="8">
        <f t="shared" si="18"/>
        <v>4.2857142857142858E-2</v>
      </c>
      <c r="F42" s="41">
        <v>0.91400000000000003</v>
      </c>
      <c r="G42" s="9">
        <v>2480</v>
      </c>
      <c r="H42" s="9">
        <v>25.7</v>
      </c>
      <c r="I42" s="8">
        <f t="shared" si="19"/>
        <v>3.5994397759103638E-2</v>
      </c>
      <c r="J42" s="41">
        <v>0.93100000000000005</v>
      </c>
      <c r="K42" s="20">
        <v>2140</v>
      </c>
      <c r="L42" s="41">
        <v>25</v>
      </c>
      <c r="M42" s="8">
        <f t="shared" si="20"/>
        <v>3.5014005602240897E-2</v>
      </c>
      <c r="N42" s="41">
        <v>0.93300000000000005</v>
      </c>
      <c r="O42" s="20">
        <v>1805</v>
      </c>
      <c r="P42" s="41">
        <v>25.7</v>
      </c>
      <c r="Q42" s="8">
        <f t="shared" si="21"/>
        <v>3.5994397759103638E-2</v>
      </c>
      <c r="R42" s="41">
        <v>0.93</v>
      </c>
      <c r="S42" s="20">
        <v>1385</v>
      </c>
      <c r="T42" s="41">
        <v>24.1</v>
      </c>
      <c r="U42" s="8">
        <f t="shared" si="22"/>
        <v>3.3753501400560229E-2</v>
      </c>
      <c r="V42" s="41">
        <v>0.92300000000000004</v>
      </c>
    </row>
    <row r="43" spans="1:22" ht="15.75" customHeight="1">
      <c r="B43" s="6">
        <v>2</v>
      </c>
      <c r="C43" s="20">
        <v>1140</v>
      </c>
      <c r="D43" s="9">
        <v>37.9</v>
      </c>
      <c r="E43" s="8">
        <f t="shared" si="18"/>
        <v>5.3081232492997198E-2</v>
      </c>
      <c r="F43" s="41">
        <v>0.95399999999999996</v>
      </c>
      <c r="G43" s="9">
        <v>1005</v>
      </c>
      <c r="H43" s="9">
        <v>35.200000000000003</v>
      </c>
      <c r="I43" s="8">
        <f t="shared" si="19"/>
        <v>4.9299719887955187E-2</v>
      </c>
      <c r="J43" s="41">
        <v>0.95699999999999996</v>
      </c>
      <c r="K43" s="20">
        <v>905</v>
      </c>
      <c r="L43" s="41">
        <v>32.4</v>
      </c>
      <c r="M43" s="8">
        <f t="shared" si="20"/>
        <v>4.53781512605042E-2</v>
      </c>
      <c r="N43" s="41">
        <v>0.96499999999999997</v>
      </c>
      <c r="O43" s="20">
        <v>810</v>
      </c>
      <c r="P43" s="41">
        <v>29.3</v>
      </c>
      <c r="Q43" s="8">
        <f t="shared" si="21"/>
        <v>4.103641456582633E-2</v>
      </c>
      <c r="R43" s="41">
        <v>0.97</v>
      </c>
      <c r="S43" s="20">
        <v>650</v>
      </c>
      <c r="T43" s="41">
        <v>26.9</v>
      </c>
      <c r="U43" s="8">
        <f t="shared" si="22"/>
        <v>3.7675070028011202E-2</v>
      </c>
      <c r="V43" s="41">
        <v>0.97499999999999998</v>
      </c>
    </row>
    <row r="44" spans="1:22" ht="15.75" customHeight="1">
      <c r="B44" s="6">
        <v>3</v>
      </c>
      <c r="C44" s="20">
        <v>1890</v>
      </c>
      <c r="D44" s="9">
        <v>33.5</v>
      </c>
      <c r="E44" s="8">
        <f t="shared" si="18"/>
        <v>4.6918767507002801E-2</v>
      </c>
      <c r="F44" s="41">
        <v>0.93899999999999995</v>
      </c>
      <c r="G44" s="9">
        <v>1675</v>
      </c>
      <c r="H44" s="9">
        <v>34.200000000000003</v>
      </c>
      <c r="I44" s="8">
        <f t="shared" si="19"/>
        <v>4.789915966386555E-2</v>
      </c>
      <c r="J44" s="41">
        <v>0.93799999999999994</v>
      </c>
      <c r="K44" s="20">
        <v>1470</v>
      </c>
      <c r="L44" s="41">
        <v>31.4</v>
      </c>
      <c r="M44" s="8">
        <f t="shared" si="20"/>
        <v>4.3977591036414562E-2</v>
      </c>
      <c r="N44" s="41">
        <v>0.94099999999999995</v>
      </c>
      <c r="O44" s="20">
        <v>1235</v>
      </c>
      <c r="P44" s="41">
        <v>29.6</v>
      </c>
      <c r="Q44" s="8">
        <f t="shared" si="21"/>
        <v>4.1456582633053227E-2</v>
      </c>
      <c r="R44" s="41">
        <v>0.94599999999999995</v>
      </c>
      <c r="S44" s="20">
        <v>950</v>
      </c>
      <c r="T44" s="41">
        <v>28.7</v>
      </c>
      <c r="U44" s="8">
        <f t="shared" si="22"/>
        <v>4.0196078431372545E-2</v>
      </c>
      <c r="V44" s="41">
        <v>0.94899999999999995</v>
      </c>
    </row>
    <row r="45" spans="1:22" ht="15.75" customHeight="1">
      <c r="B45" s="6">
        <v>4</v>
      </c>
      <c r="C45" s="20">
        <v>2050</v>
      </c>
      <c r="D45" s="9">
        <v>42</v>
      </c>
      <c r="E45" s="8">
        <f t="shared" si="18"/>
        <v>5.8823529411764705E-2</v>
      </c>
      <c r="F45" s="41">
        <v>0.94</v>
      </c>
      <c r="G45" s="9">
        <v>1810</v>
      </c>
      <c r="H45" s="9">
        <v>29.5</v>
      </c>
      <c r="I45" s="8">
        <f t="shared" si="19"/>
        <v>4.1316526610644257E-2</v>
      </c>
      <c r="J45" s="41">
        <v>0.96599999999999997</v>
      </c>
      <c r="K45" s="20">
        <v>1555</v>
      </c>
      <c r="L45" s="41">
        <v>28.2</v>
      </c>
      <c r="M45" s="8">
        <f t="shared" si="20"/>
        <v>3.949579831932773E-2</v>
      </c>
      <c r="N45" s="41">
        <v>0.96799999999999997</v>
      </c>
      <c r="O45" s="20">
        <v>1360</v>
      </c>
      <c r="P45" s="41">
        <v>24.8</v>
      </c>
      <c r="Q45" s="8">
        <f t="shared" si="21"/>
        <v>3.4733893557422971E-2</v>
      </c>
      <c r="R45" s="41">
        <v>0.97299999999999998</v>
      </c>
      <c r="S45" s="20">
        <v>1150</v>
      </c>
      <c r="T45" s="41">
        <v>23.9</v>
      </c>
      <c r="U45" s="8">
        <f t="shared" si="22"/>
        <v>3.3473389355742296E-2</v>
      </c>
      <c r="V45" s="41">
        <v>0.97499999999999998</v>
      </c>
    </row>
    <row r="46" spans="1:22" ht="15.75" customHeight="1">
      <c r="B46" s="6">
        <v>5</v>
      </c>
      <c r="C46" s="20">
        <v>1070</v>
      </c>
      <c r="D46" s="9">
        <v>40.4</v>
      </c>
      <c r="E46" s="8">
        <f t="shared" si="18"/>
        <v>5.6582633053221289E-2</v>
      </c>
      <c r="F46" s="41">
        <v>0.69599999999999995</v>
      </c>
      <c r="G46" s="9">
        <v>975</v>
      </c>
      <c r="H46" s="9">
        <v>27.3</v>
      </c>
      <c r="I46" s="8">
        <f t="shared" si="19"/>
        <v>3.8235294117647062E-2</v>
      </c>
      <c r="J46" s="41">
        <v>0.88300000000000001</v>
      </c>
      <c r="K46" s="20">
        <v>910</v>
      </c>
      <c r="L46" s="41">
        <v>26.5</v>
      </c>
      <c r="M46" s="8">
        <f t="shared" si="20"/>
        <v>3.711484593837535E-2</v>
      </c>
      <c r="N46" s="41">
        <v>0.89300000000000002</v>
      </c>
      <c r="O46" s="20">
        <v>810</v>
      </c>
      <c r="P46" s="41">
        <v>23.1</v>
      </c>
      <c r="Q46" s="8">
        <f t="shared" si="21"/>
        <v>3.2352941176470591E-2</v>
      </c>
      <c r="R46" s="41">
        <v>0.90500000000000003</v>
      </c>
      <c r="S46" s="20">
        <v>725</v>
      </c>
      <c r="T46" s="41">
        <v>24.5</v>
      </c>
      <c r="U46" s="8">
        <f t="shared" si="22"/>
        <v>3.4313725490196081E-2</v>
      </c>
      <c r="V46" s="41">
        <v>0.90700000000000003</v>
      </c>
    </row>
    <row r="47" spans="1:22" ht="15.75" customHeight="1">
      <c r="B47" s="6">
        <v>6</v>
      </c>
      <c r="C47" s="20">
        <v>995</v>
      </c>
      <c r="D47" s="9">
        <v>45.3</v>
      </c>
      <c r="E47" s="8">
        <f t="shared" si="18"/>
        <v>6.3445378151260501E-2</v>
      </c>
      <c r="F47" s="41">
        <v>0.94099999999999995</v>
      </c>
      <c r="G47" s="9">
        <v>910</v>
      </c>
      <c r="H47" s="9">
        <v>37.9</v>
      </c>
      <c r="I47" s="8">
        <f t="shared" si="19"/>
        <v>5.3081232492997198E-2</v>
      </c>
      <c r="J47" s="41">
        <v>0.95599999999999996</v>
      </c>
      <c r="K47" s="20">
        <v>785</v>
      </c>
      <c r="L47" s="41">
        <v>33.200000000000003</v>
      </c>
      <c r="M47" s="8">
        <f t="shared" si="20"/>
        <v>4.6498599439775912E-2</v>
      </c>
      <c r="N47" s="41">
        <v>0.96899999999999997</v>
      </c>
      <c r="O47" s="20">
        <v>630</v>
      </c>
      <c r="P47" s="41">
        <v>31.3</v>
      </c>
      <c r="Q47" s="8">
        <f t="shared" si="21"/>
        <v>4.3837535014005606E-2</v>
      </c>
      <c r="R47" s="41">
        <v>0.97</v>
      </c>
      <c r="S47" s="20">
        <v>515</v>
      </c>
      <c r="T47" s="41">
        <v>30.9</v>
      </c>
      <c r="U47" s="8">
        <f t="shared" si="22"/>
        <v>4.3277310924369747E-2</v>
      </c>
      <c r="V47" s="41">
        <v>0.96699999999999997</v>
      </c>
    </row>
    <row r="48" spans="1:22" ht="15.75" customHeight="1">
      <c r="B48" s="6">
        <v>7</v>
      </c>
      <c r="C48" s="20">
        <v>1425</v>
      </c>
      <c r="D48" s="9">
        <v>49.3</v>
      </c>
      <c r="E48" s="8">
        <f t="shared" si="18"/>
        <v>6.9047619047619038E-2</v>
      </c>
      <c r="F48" s="41">
        <v>0.90200000000000002</v>
      </c>
      <c r="G48" s="9">
        <v>1275</v>
      </c>
      <c r="H48" s="9">
        <v>32.9</v>
      </c>
      <c r="I48" s="8">
        <f t="shared" si="19"/>
        <v>4.6078431372549015E-2</v>
      </c>
      <c r="J48" s="41">
        <v>0.95099999999999996</v>
      </c>
      <c r="K48" s="20">
        <v>1120</v>
      </c>
      <c r="L48" s="41">
        <v>27.6</v>
      </c>
      <c r="M48" s="8">
        <f t="shared" si="20"/>
        <v>3.8655462184873951E-2</v>
      </c>
      <c r="N48" s="41">
        <v>0.96499999999999997</v>
      </c>
      <c r="O48" s="20">
        <v>985</v>
      </c>
      <c r="P48" s="41">
        <v>26.7</v>
      </c>
      <c r="Q48" s="8">
        <f t="shared" si="21"/>
        <v>3.7394957983193276E-2</v>
      </c>
      <c r="R48" s="41">
        <v>0.96799999999999997</v>
      </c>
      <c r="S48" s="20">
        <v>815</v>
      </c>
      <c r="T48" s="41">
        <v>26</v>
      </c>
      <c r="U48" s="8">
        <f t="shared" si="22"/>
        <v>3.6414565826330535E-2</v>
      </c>
      <c r="V48" s="41">
        <v>0.97</v>
      </c>
    </row>
    <row r="49" spans="1:22" ht="15.75" customHeight="1">
      <c r="C49" s="20"/>
      <c r="D49" s="9"/>
      <c r="G49" s="9"/>
      <c r="H49" s="9"/>
      <c r="K49" s="20"/>
      <c r="O49" s="20"/>
      <c r="S49" s="20"/>
    </row>
    <row r="50" spans="1:22" ht="15.75" customHeight="1">
      <c r="B50" s="6" t="s">
        <v>4</v>
      </c>
      <c r="C50" s="20"/>
      <c r="D50" s="27">
        <f>SUMPRODUCT(C41:C48,D41:D48)/SUM(C41:C48)</f>
        <v>36.566653977921582</v>
      </c>
      <c r="E50" s="12">
        <f>SUMPRODUCT(C41:C48,E41:E48)/SUM(C41:C48)</f>
        <v>5.1213801089526022E-2</v>
      </c>
      <c r="G50" s="9"/>
      <c r="H50" s="27">
        <f>SUMPRODUCT(G41:G48,H41:H48)/SUM(G41:G48)</f>
        <v>29.89284796573876</v>
      </c>
      <c r="I50" s="12">
        <f>SUMPRODUCT(G41:G48,I41:I48)/SUM(G41:G48)</f>
        <v>4.186673384557249E-2</v>
      </c>
      <c r="K50" s="20"/>
      <c r="L50" s="27">
        <f>SUMPRODUCT(K41:K48,L41:L48)/SUM(K41:K48)</f>
        <v>27.839158100832108</v>
      </c>
      <c r="M50" s="12">
        <f>SUMPRODUCT(K41:K48,M41:M48)/SUM(K41:K48)</f>
        <v>3.8990417508168215E-2</v>
      </c>
      <c r="O50" s="20"/>
      <c r="P50" s="27">
        <f>SUMPRODUCT(O41:O48,P41:P48)/SUM(O41:O48)</f>
        <v>26.155454026270704</v>
      </c>
      <c r="Q50" s="12">
        <f>SUMPRODUCT(O41:O48,Q41:Q48)/SUM(O41:O48)</f>
        <v>3.6632288552199868E-2</v>
      </c>
      <c r="S50" s="20"/>
      <c r="T50" s="27">
        <f>SUMPRODUCT(S41:S48,T41:T48)/SUM(S41:S48)</f>
        <v>25.770253598355037</v>
      </c>
      <c r="U50" s="12">
        <f>SUMPRODUCT(S41:S48,U41:U48)/SUM(S41:S48)</f>
        <v>3.6092792154558871E-2</v>
      </c>
    </row>
    <row r="51" spans="1:22" ht="15.75" customHeight="1">
      <c r="E51">
        <v>5.01</v>
      </c>
      <c r="I51">
        <v>4.16</v>
      </c>
      <c r="M51">
        <v>3.88</v>
      </c>
      <c r="Q51">
        <v>3.48</v>
      </c>
      <c r="U51">
        <v>3.44</v>
      </c>
    </row>
    <row r="52" spans="1:22" ht="15.75" customHeight="1">
      <c r="C52" s="6">
        <f>SUM(C41:C48)</f>
        <v>13135</v>
      </c>
      <c r="G52" s="6">
        <f>SUM(G41:G48)</f>
        <v>11675</v>
      </c>
      <c r="K52" s="6">
        <f>SUM(K41:K48)</f>
        <v>10215</v>
      </c>
      <c r="O52" s="6">
        <f>SUM(O41:O48)</f>
        <v>8755</v>
      </c>
      <c r="S52" s="6">
        <f>SUM(S41:S48)</f>
        <v>7295</v>
      </c>
    </row>
    <row r="53" spans="1:22" ht="15.75" customHeight="1"/>
    <row r="54" spans="1:22" ht="15.75" customHeight="1"/>
    <row r="55" spans="1:22" ht="15.75" customHeight="1">
      <c r="A55" s="6" t="s">
        <v>20</v>
      </c>
      <c r="D55" s="32">
        <v>0.1</v>
      </c>
      <c r="E55" s="30"/>
      <c r="F55" s="30"/>
      <c r="G55" s="18"/>
      <c r="H55" s="32">
        <v>0.2</v>
      </c>
      <c r="I55" s="30"/>
      <c r="J55" s="30"/>
      <c r="K55" s="18"/>
      <c r="L55" s="32">
        <v>0.3</v>
      </c>
      <c r="M55" s="30"/>
      <c r="N55" s="30"/>
      <c r="O55" s="18"/>
      <c r="P55" s="32">
        <v>0.4</v>
      </c>
      <c r="Q55" s="30"/>
      <c r="R55" s="30"/>
      <c r="S55" s="18"/>
      <c r="T55" s="32">
        <v>0.5</v>
      </c>
      <c r="U55" s="30"/>
      <c r="V55" s="30"/>
    </row>
    <row r="56" spans="1:22" ht="15.75" customHeight="1">
      <c r="B56" s="3" t="s">
        <v>0</v>
      </c>
      <c r="C56" s="19" t="s">
        <v>17</v>
      </c>
      <c r="D56" s="4" t="s">
        <v>1</v>
      </c>
      <c r="E56" s="3" t="s">
        <v>2</v>
      </c>
      <c r="F56" s="3" t="s">
        <v>3</v>
      </c>
      <c r="G56" s="19" t="s">
        <v>17</v>
      </c>
      <c r="H56" s="4" t="s">
        <v>1</v>
      </c>
      <c r="I56" s="3" t="s">
        <v>2</v>
      </c>
      <c r="J56" s="3" t="s">
        <v>3</v>
      </c>
      <c r="K56" s="19" t="s">
        <v>17</v>
      </c>
      <c r="L56" s="3" t="s">
        <v>1</v>
      </c>
      <c r="M56" s="3" t="s">
        <v>2</v>
      </c>
      <c r="N56" s="3" t="s">
        <v>3</v>
      </c>
      <c r="O56" s="19" t="s">
        <v>17</v>
      </c>
      <c r="P56" s="3" t="s">
        <v>1</v>
      </c>
      <c r="Q56" s="3" t="s">
        <v>2</v>
      </c>
      <c r="R56" s="3" t="s">
        <v>3</v>
      </c>
      <c r="S56" s="19" t="s">
        <v>17</v>
      </c>
      <c r="T56" s="3" t="s">
        <v>1</v>
      </c>
      <c r="U56" s="3" t="s">
        <v>2</v>
      </c>
      <c r="V56" s="3" t="s">
        <v>3</v>
      </c>
    </row>
    <row r="57" spans="1:22" ht="15.75" customHeight="1">
      <c r="B57" s="6">
        <v>0</v>
      </c>
      <c r="C57" s="20">
        <v>1900</v>
      </c>
      <c r="D57" s="9">
        <v>27.4</v>
      </c>
      <c r="E57" s="8">
        <f t="shared" ref="E57:E64" si="23">D57/$A$5</f>
        <v>3.8375350140056018E-2</v>
      </c>
      <c r="F57" s="41">
        <v>0.872</v>
      </c>
      <c r="G57" s="9">
        <v>1495</v>
      </c>
      <c r="H57" s="9">
        <v>22.4</v>
      </c>
      <c r="I57" s="8">
        <f t="shared" ref="I57:I64" si="24">H57/$A$5</f>
        <v>3.1372549019607843E-2</v>
      </c>
      <c r="J57" s="41">
        <v>0.89</v>
      </c>
      <c r="K57" s="20">
        <v>1215</v>
      </c>
      <c r="L57" s="41">
        <v>19.399999999999999</v>
      </c>
      <c r="M57" s="8">
        <f t="shared" ref="M57:M64" si="25">L57/$A$5</f>
        <v>2.7170868347338933E-2</v>
      </c>
      <c r="O57" s="20"/>
      <c r="P57" s="2"/>
      <c r="Q57" s="8">
        <f t="shared" ref="Q57:Q64" si="26">P57/$A$5</f>
        <v>0</v>
      </c>
      <c r="S57" s="20"/>
      <c r="T57" s="2"/>
      <c r="U57" s="8">
        <f t="shared" ref="U57:U64" si="27">T57/$A$5</f>
        <v>0</v>
      </c>
    </row>
    <row r="58" spans="1:22" ht="15.75" customHeight="1">
      <c r="B58" s="6">
        <v>1</v>
      </c>
      <c r="C58" s="20">
        <v>2525</v>
      </c>
      <c r="D58" s="9">
        <v>28.6</v>
      </c>
      <c r="E58" s="8">
        <f t="shared" si="23"/>
        <v>4.0056022408963589E-2</v>
      </c>
      <c r="F58" s="41">
        <v>0.92100000000000004</v>
      </c>
      <c r="G58" s="9">
        <v>2340</v>
      </c>
      <c r="H58" s="9">
        <v>26.1</v>
      </c>
      <c r="I58" s="8">
        <f t="shared" si="24"/>
        <v>3.6554621848739498E-2</v>
      </c>
      <c r="J58" s="41">
        <v>0.93700000000000006</v>
      </c>
      <c r="K58" s="20">
        <v>2120</v>
      </c>
      <c r="L58" s="41">
        <v>26.3</v>
      </c>
      <c r="M58" s="8">
        <f t="shared" si="25"/>
        <v>3.6834733893557424E-2</v>
      </c>
      <c r="O58" s="20"/>
      <c r="P58" s="2"/>
      <c r="Q58" s="8">
        <f t="shared" si="26"/>
        <v>0</v>
      </c>
      <c r="S58" s="20"/>
      <c r="T58" s="2"/>
      <c r="U58" s="8">
        <f t="shared" si="27"/>
        <v>0</v>
      </c>
    </row>
    <row r="59" spans="1:22" ht="15.75" customHeight="1">
      <c r="B59" s="6">
        <v>2</v>
      </c>
      <c r="C59" s="20">
        <v>1100</v>
      </c>
      <c r="D59" s="9">
        <v>32.799999999999997</v>
      </c>
      <c r="E59" s="8">
        <f t="shared" si="23"/>
        <v>4.5938375350140052E-2</v>
      </c>
      <c r="F59" s="41">
        <v>0.96099999999999997</v>
      </c>
      <c r="G59" s="9">
        <v>1030</v>
      </c>
      <c r="H59" s="9">
        <v>32.1</v>
      </c>
      <c r="I59" s="8">
        <f t="shared" si="24"/>
        <v>4.4957983193277311E-2</v>
      </c>
      <c r="J59" s="41">
        <v>0.96399999999999997</v>
      </c>
      <c r="K59" s="20">
        <v>940</v>
      </c>
      <c r="L59" s="41">
        <v>28.7</v>
      </c>
      <c r="M59" s="8">
        <f t="shared" si="25"/>
        <v>4.0196078431372545E-2</v>
      </c>
      <c r="O59" s="20"/>
      <c r="P59" s="2"/>
      <c r="Q59" s="8">
        <f t="shared" si="26"/>
        <v>0</v>
      </c>
      <c r="S59" s="20"/>
      <c r="T59" s="2"/>
      <c r="U59" s="8">
        <f t="shared" si="27"/>
        <v>0</v>
      </c>
    </row>
    <row r="60" spans="1:22" ht="15.75" customHeight="1">
      <c r="B60" s="6">
        <v>3</v>
      </c>
      <c r="C60" s="20">
        <v>2015</v>
      </c>
      <c r="D60" s="9">
        <v>38.1</v>
      </c>
      <c r="E60" s="8">
        <f t="shared" si="23"/>
        <v>5.3361344537815131E-2</v>
      </c>
      <c r="F60" s="41">
        <v>0.92100000000000004</v>
      </c>
      <c r="G60" s="9">
        <v>1775</v>
      </c>
      <c r="H60" s="9">
        <v>30.5</v>
      </c>
      <c r="I60" s="8">
        <f t="shared" si="24"/>
        <v>4.2717086834733894E-2</v>
      </c>
      <c r="J60" s="41">
        <v>0.94799999999999995</v>
      </c>
      <c r="K60" s="20">
        <v>1620</v>
      </c>
      <c r="L60" s="41">
        <v>28.5</v>
      </c>
      <c r="M60" s="8">
        <f t="shared" si="25"/>
        <v>3.9915966386554619E-2</v>
      </c>
      <c r="O60" s="20"/>
      <c r="P60" s="2"/>
      <c r="Q60" s="8">
        <f t="shared" si="26"/>
        <v>0</v>
      </c>
      <c r="S60" s="20"/>
      <c r="T60" s="2"/>
      <c r="U60" s="8">
        <f t="shared" si="27"/>
        <v>0</v>
      </c>
    </row>
    <row r="61" spans="1:22" ht="15.75" customHeight="1">
      <c r="B61" s="6">
        <v>4</v>
      </c>
      <c r="C61" s="20">
        <v>1065</v>
      </c>
      <c r="D61" s="9">
        <v>42.5</v>
      </c>
      <c r="E61" s="8">
        <f t="shared" si="23"/>
        <v>5.9523809523809521E-2</v>
      </c>
      <c r="F61" s="41">
        <v>0.92900000000000005</v>
      </c>
      <c r="G61" s="9">
        <v>1895</v>
      </c>
      <c r="H61" s="9">
        <v>30.8</v>
      </c>
      <c r="I61" s="8">
        <f t="shared" si="24"/>
        <v>4.3137254901960784E-2</v>
      </c>
      <c r="J61" s="41">
        <v>0.96099999999999997</v>
      </c>
      <c r="K61" s="20">
        <v>1595</v>
      </c>
      <c r="L61" s="41">
        <v>28.7</v>
      </c>
      <c r="M61" s="8">
        <f t="shared" si="25"/>
        <v>4.0196078431372545E-2</v>
      </c>
      <c r="O61" s="20"/>
      <c r="P61" s="2"/>
      <c r="Q61" s="8">
        <f t="shared" si="26"/>
        <v>0</v>
      </c>
      <c r="S61" s="20"/>
      <c r="T61" s="2"/>
      <c r="U61" s="8">
        <f t="shared" si="27"/>
        <v>0</v>
      </c>
    </row>
    <row r="62" spans="1:22" ht="15.75" customHeight="1">
      <c r="B62" s="6">
        <v>5</v>
      </c>
      <c r="C62" s="20">
        <v>1075</v>
      </c>
      <c r="D62" s="9">
        <v>30.5</v>
      </c>
      <c r="E62" s="8">
        <f t="shared" si="23"/>
        <v>4.2717086834733894E-2</v>
      </c>
      <c r="F62" s="41">
        <v>0.878</v>
      </c>
      <c r="G62" s="9">
        <v>965</v>
      </c>
      <c r="H62" s="9">
        <v>26.1</v>
      </c>
      <c r="I62" s="8">
        <f t="shared" si="24"/>
        <v>3.6554621848739498E-2</v>
      </c>
      <c r="J62" s="41">
        <v>0.89200000000000002</v>
      </c>
      <c r="K62" s="20">
        <v>810</v>
      </c>
      <c r="L62" s="41">
        <v>25</v>
      </c>
      <c r="M62" s="8">
        <f t="shared" si="25"/>
        <v>3.5014005602240897E-2</v>
      </c>
      <c r="O62" s="20"/>
      <c r="P62" s="2"/>
      <c r="Q62" s="8">
        <f t="shared" si="26"/>
        <v>0</v>
      </c>
      <c r="S62" s="20"/>
      <c r="T62" s="2"/>
      <c r="U62" s="8">
        <f t="shared" si="27"/>
        <v>0</v>
      </c>
    </row>
    <row r="63" spans="1:22" ht="15.75" customHeight="1">
      <c r="B63" s="6">
        <v>6</v>
      </c>
      <c r="C63" s="20">
        <v>1000</v>
      </c>
      <c r="D63" s="9">
        <v>58.3</v>
      </c>
      <c r="E63" s="8">
        <f t="shared" si="23"/>
        <v>8.1652661064425772E-2</v>
      </c>
      <c r="F63" s="41">
        <v>0.91300000000000003</v>
      </c>
      <c r="G63" s="9">
        <v>935</v>
      </c>
      <c r="H63" s="9">
        <v>42.5</v>
      </c>
      <c r="I63" s="8">
        <f t="shared" si="24"/>
        <v>5.9523809523809521E-2</v>
      </c>
      <c r="J63" s="41">
        <v>0.95099999999999996</v>
      </c>
      <c r="K63" s="20">
        <v>835</v>
      </c>
      <c r="L63" s="41">
        <v>34.1</v>
      </c>
      <c r="M63" s="8">
        <f t="shared" si="25"/>
        <v>4.7759103641456586E-2</v>
      </c>
      <c r="O63" s="20"/>
      <c r="P63" s="2"/>
      <c r="Q63" s="8">
        <f t="shared" si="26"/>
        <v>0</v>
      </c>
      <c r="S63" s="20"/>
      <c r="T63" s="2"/>
      <c r="U63" s="8">
        <f t="shared" si="27"/>
        <v>0</v>
      </c>
    </row>
    <row r="64" spans="1:22" ht="15.75" customHeight="1">
      <c r="B64" s="6">
        <v>7</v>
      </c>
      <c r="C64" s="20">
        <v>1455</v>
      </c>
      <c r="D64" s="9">
        <v>44.5</v>
      </c>
      <c r="E64" s="8">
        <f t="shared" si="23"/>
        <v>6.2324929971988796E-2</v>
      </c>
      <c r="F64" s="41">
        <v>0.92200000000000004</v>
      </c>
      <c r="G64" s="9">
        <v>1240</v>
      </c>
      <c r="H64" s="9">
        <v>35.299999999999997</v>
      </c>
      <c r="I64" s="8">
        <f t="shared" si="24"/>
        <v>4.9439775910364143E-2</v>
      </c>
      <c r="J64" s="41">
        <v>0.93600000000000005</v>
      </c>
      <c r="K64" s="20">
        <v>1080</v>
      </c>
      <c r="L64" s="41">
        <v>29</v>
      </c>
      <c r="M64" s="8">
        <f t="shared" si="25"/>
        <v>4.0616246498599441E-2</v>
      </c>
      <c r="O64" s="20"/>
      <c r="P64" s="2"/>
      <c r="Q64" s="8">
        <f t="shared" si="26"/>
        <v>0</v>
      </c>
      <c r="S64" s="20"/>
      <c r="T64" s="2"/>
      <c r="U64" s="8">
        <f t="shared" si="27"/>
        <v>0</v>
      </c>
    </row>
    <row r="65" spans="2:21" ht="15.75" customHeight="1">
      <c r="C65" s="20"/>
      <c r="D65" s="9"/>
      <c r="G65" s="9"/>
      <c r="H65" s="9"/>
      <c r="K65" s="20"/>
      <c r="O65" s="20"/>
      <c r="S65" s="20"/>
    </row>
    <row r="66" spans="2:21" ht="15.75" customHeight="1">
      <c r="B66" s="6" t="s">
        <v>4</v>
      </c>
      <c r="C66" s="20"/>
      <c r="D66" s="27">
        <f>SUMPRODUCT(C57:C64,D57:D64)/SUM(C57:C64)</f>
        <v>36.112402142562836</v>
      </c>
      <c r="E66" s="12">
        <f>SUMPRODUCT(C57:C64,E57:E64)/SUM(C57:C64)</f>
        <v>5.0577594037202842E-2</v>
      </c>
      <c r="G66" s="9"/>
      <c r="H66" s="27">
        <f>SUMPRODUCT(G57:G64,H57:H64)/SUM(G57:G64)</f>
        <v>29.877901498929337</v>
      </c>
      <c r="I66" s="12">
        <f>SUMPRODUCT(G57:G64,I57:I64)/SUM(G57:G64)</f>
        <v>4.184580041866854E-2</v>
      </c>
      <c r="K66" s="20"/>
      <c r="L66" s="27">
        <f>SUMPRODUCT(K57:K64,L57:L64)/SUM(K57:K64)</f>
        <v>27.243759177679884</v>
      </c>
      <c r="M66" s="12">
        <f>SUMPRODUCT(K57:K64,M57:M64)/SUM(K57:K64)</f>
        <v>3.8156525458935407E-2</v>
      </c>
      <c r="O66" s="20"/>
      <c r="P66" s="27" t="e">
        <f>SUMPRODUCT(O57:O64,P57:P64)/SUM(O57:O64)</f>
        <v>#DIV/0!</v>
      </c>
      <c r="Q66" s="12" t="e">
        <f>SUMPRODUCT(O57:O64,Q57:Q64)/SUM(O57:O64)</f>
        <v>#DIV/0!</v>
      </c>
      <c r="S66" s="20"/>
      <c r="T66" s="27" t="e">
        <f>SUMPRODUCT(S57:S64,T57:T64)/SUM(S57:S64)</f>
        <v>#DIV/0!</v>
      </c>
      <c r="U66" s="12" t="e">
        <f>SUMPRODUCT(S57:S64,U57:U64)/SUM(S57:S64)</f>
        <v>#DIV/0!</v>
      </c>
    </row>
    <row r="67" spans="2:21" ht="15.75" customHeight="1">
      <c r="E67">
        <v>4.96</v>
      </c>
      <c r="I67">
        <v>4.1500000000000004</v>
      </c>
      <c r="M67">
        <v>3.87</v>
      </c>
      <c r="Q67">
        <v>3.48</v>
      </c>
      <c r="U67">
        <v>3.43</v>
      </c>
    </row>
    <row r="68" spans="2:21" ht="15.75" customHeight="1">
      <c r="C68" s="6">
        <f>SUM(C57:C64)</f>
        <v>12135</v>
      </c>
      <c r="G68" s="6">
        <f>SUM(G57:G64)</f>
        <v>11675</v>
      </c>
      <c r="K68" s="6">
        <f>SUM(K57:K64)</f>
        <v>10215</v>
      </c>
      <c r="O68" s="6">
        <f>SUM(O57:O64)</f>
        <v>0</v>
      </c>
      <c r="S68" s="6">
        <f>SUM(S57:S64)</f>
        <v>0</v>
      </c>
    </row>
    <row r="69" spans="2:21" ht="15.75" customHeight="1"/>
    <row r="70" spans="2:21" ht="15.75" customHeight="1"/>
    <row r="71" spans="2:21" ht="15.75" customHeight="1"/>
    <row r="72" spans="2:21" ht="15.75" customHeight="1"/>
    <row r="73" spans="2:21" ht="15.75" customHeight="1"/>
    <row r="74" spans="2:21" ht="15.75" customHeight="1"/>
    <row r="75" spans="2:21" ht="15.75" customHeight="1"/>
    <row r="76" spans="2:21" ht="15.75" customHeight="1"/>
    <row r="77" spans="2:21" ht="15.75" customHeight="1"/>
    <row r="78" spans="2:21" ht="15.75" customHeight="1"/>
    <row r="79" spans="2:21" ht="15.75" customHeight="1"/>
    <row r="80" spans="2:21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D24:F24"/>
    <mergeCell ref="H24:J24"/>
    <mergeCell ref="T24:V24"/>
    <mergeCell ref="D55:F55"/>
    <mergeCell ref="H55:J55"/>
    <mergeCell ref="L55:N55"/>
    <mergeCell ref="P55:R55"/>
    <mergeCell ref="T55:V55"/>
    <mergeCell ref="L24:N24"/>
    <mergeCell ref="P24:R24"/>
    <mergeCell ref="D39:F39"/>
    <mergeCell ref="H39:J39"/>
    <mergeCell ref="L39:N39"/>
    <mergeCell ref="P39:R39"/>
    <mergeCell ref="T39:V39"/>
    <mergeCell ref="D7:F7"/>
    <mergeCell ref="H7:J7"/>
    <mergeCell ref="L7:N7"/>
    <mergeCell ref="P7:R7"/>
    <mergeCell ref="T7:V7"/>
  </mergeCells>
  <pageMargins left="0.7" right="0.7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Source Results</vt:lpstr>
      <vt:lpstr>Overall</vt:lpstr>
      <vt:lpstr>Horns Rev</vt:lpstr>
      <vt:lpstr>Seagreen</vt:lpstr>
      <vt:lpstr>Gemini</vt:lpstr>
      <vt:lpstr>Hollandse_Noord</vt:lpstr>
      <vt:lpstr>Dieppe</vt:lpstr>
      <vt:lpstr>Moray Firth</vt:lpstr>
      <vt:lpstr>Kriegers</vt:lpstr>
      <vt:lpstr>East Anglia 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rss_prakti4</dc:creator>
  <cp:lastModifiedBy>rss_prakti4</cp:lastModifiedBy>
  <dcterms:created xsi:type="dcterms:W3CDTF">2025-12-10T08:14:19Z</dcterms:created>
  <dcterms:modified xsi:type="dcterms:W3CDTF">2025-12-19T14:28:45Z</dcterms:modified>
</cp:coreProperties>
</file>